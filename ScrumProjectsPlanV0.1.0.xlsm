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lockStructure="1"/>
  <bookViews>
    <workbookView xWindow="9780" yWindow="1740" windowWidth="13020" windowHeight="7500"/>
  </bookViews>
  <sheets>
    <sheet name="StoryMapping" sheetId="1" r:id="rId1"/>
    <sheet name="ReleaseProgress" sheetId="2" r:id="rId2"/>
    <sheet name="Setting" sheetId="6" state="hidden" r:id="rId3"/>
  </sheets>
  <functionGroups builtInGroupCount="17"/>
  <externalReferences>
    <externalReference r:id="rId4"/>
  </externalReferences>
  <definedNames>
    <definedName name="_xlnm._FilterDatabase" localSheetId="2" hidden="1">Setting!$B$3:$C$33</definedName>
    <definedName name="_xlnm._FilterDatabase" localSheetId="0" hidden="1">StoryMapping!$F$10:$R$1009</definedName>
    <definedName name="DATA_LEFT">StoryMapping!$I$11:$N$1009</definedName>
    <definedName name="DATA_MATRIX">StoryMapping!$I$11:$Q$1009</definedName>
    <definedName name="DATA_RIGHT">StoryMapping!$O$11:$Q$1009</definedName>
    <definedName name="DataSheetName">Setting!$F$4</definedName>
    <definedName name="LB_PRJ_NAMES">Setting!$B$4:$B$34</definedName>
    <definedName name="LB_PROJECTS">Setting!$B$4:$C$34</definedName>
    <definedName name="PRIORITY_VAL">Setting!$B$70:$B$74</definedName>
    <definedName name="RefColumns">StoryMapping!$H$11:$H$1009</definedName>
    <definedName name="RowBegin" comment="Story/Task first line in PlanAtions sheet">Setting!$D$62</definedName>
    <definedName name="RowEnd" comment="Story/Task last line in PlanAtions sheet">Setting!$D$63</definedName>
    <definedName name="stat">Setting!$B$51:$B$58</definedName>
    <definedName name="statut">[1]Admin!$A$1:$A$7</definedName>
    <definedName name="TASK_TYPES">Setting!$B$39:$B$46</definedName>
    <definedName name="TYPE_ALL">StoryMapping!$I$11:$I$1009</definedName>
    <definedName name="_xlnm.Print_Area" localSheetId="0">StoryMapping!$F$10:$R$1009</definedName>
  </definedNames>
  <calcPr calcId="145621"/>
</workbook>
</file>

<file path=xl/calcChain.xml><?xml version="1.0" encoding="utf-8"?>
<calcChain xmlns="http://schemas.openxmlformats.org/spreadsheetml/2006/main">
  <c r="R1009" i="1" l="1"/>
  <c r="R1008" i="1"/>
  <c r="R1007" i="1"/>
  <c r="R1006" i="1"/>
  <c r="R1005" i="1"/>
  <c r="R1004" i="1"/>
  <c r="R1003" i="1"/>
  <c r="R1002" i="1"/>
  <c r="R1001" i="1"/>
  <c r="R1000" i="1"/>
  <c r="R999" i="1"/>
  <c r="R998" i="1"/>
  <c r="R997" i="1"/>
  <c r="R996" i="1"/>
  <c r="R995" i="1"/>
  <c r="R994" i="1"/>
  <c r="R993" i="1"/>
  <c r="R992" i="1"/>
  <c r="R991" i="1"/>
  <c r="R990" i="1"/>
  <c r="R989" i="1"/>
  <c r="R988" i="1"/>
  <c r="R987" i="1"/>
  <c r="R986" i="1"/>
  <c r="R985" i="1"/>
  <c r="R984" i="1"/>
  <c r="R983" i="1"/>
  <c r="R982" i="1"/>
  <c r="R981" i="1"/>
  <c r="R980" i="1"/>
  <c r="R979" i="1"/>
  <c r="R978" i="1"/>
  <c r="R977" i="1"/>
  <c r="R976" i="1"/>
  <c r="R975" i="1"/>
  <c r="R974" i="1"/>
  <c r="R973" i="1"/>
  <c r="R972" i="1"/>
  <c r="R971" i="1"/>
  <c r="R970" i="1"/>
  <c r="R969" i="1"/>
  <c r="R968" i="1"/>
  <c r="R967" i="1"/>
  <c r="R966" i="1"/>
  <c r="R965" i="1"/>
  <c r="R964" i="1"/>
  <c r="R963" i="1"/>
  <c r="R962" i="1"/>
  <c r="R961" i="1"/>
  <c r="R960" i="1"/>
  <c r="R959" i="1"/>
  <c r="R958" i="1"/>
  <c r="R957" i="1"/>
  <c r="R956" i="1"/>
  <c r="R955" i="1"/>
  <c r="R954" i="1"/>
  <c r="R953" i="1"/>
  <c r="R952" i="1"/>
  <c r="R951" i="1"/>
  <c r="R950" i="1"/>
  <c r="R949" i="1"/>
  <c r="R948" i="1"/>
  <c r="R947" i="1"/>
  <c r="R946" i="1"/>
  <c r="R945" i="1"/>
  <c r="R944" i="1"/>
  <c r="R943" i="1"/>
  <c r="R942" i="1"/>
  <c r="R941" i="1"/>
  <c r="R940" i="1"/>
  <c r="R939" i="1"/>
  <c r="R938" i="1"/>
  <c r="R937" i="1"/>
  <c r="R936" i="1"/>
  <c r="R935" i="1"/>
  <c r="R934" i="1"/>
  <c r="R933" i="1"/>
  <c r="R932" i="1"/>
  <c r="R931" i="1"/>
  <c r="R930" i="1"/>
  <c r="R929" i="1"/>
  <c r="R928" i="1"/>
  <c r="R927" i="1"/>
  <c r="R926" i="1"/>
  <c r="R925" i="1"/>
  <c r="R924" i="1"/>
  <c r="R923" i="1"/>
  <c r="R922" i="1"/>
  <c r="R921" i="1"/>
  <c r="R920" i="1"/>
  <c r="R919" i="1"/>
  <c r="R918" i="1"/>
  <c r="R917" i="1"/>
  <c r="R916" i="1"/>
  <c r="R915" i="1"/>
  <c r="R914" i="1"/>
  <c r="R913" i="1"/>
  <c r="R912" i="1"/>
  <c r="R911" i="1"/>
  <c r="R910" i="1"/>
  <c r="R909" i="1"/>
  <c r="R908" i="1"/>
  <c r="R907" i="1"/>
  <c r="R906" i="1"/>
  <c r="R905" i="1"/>
  <c r="R904" i="1"/>
  <c r="R903" i="1"/>
  <c r="R902" i="1"/>
  <c r="R901" i="1"/>
  <c r="R900" i="1"/>
  <c r="R899" i="1"/>
  <c r="R898" i="1"/>
  <c r="R897" i="1"/>
  <c r="R896" i="1"/>
  <c r="R895" i="1"/>
  <c r="R894" i="1"/>
  <c r="R893" i="1"/>
  <c r="R892" i="1"/>
  <c r="R891" i="1"/>
  <c r="R890" i="1"/>
  <c r="R889" i="1"/>
  <c r="R888" i="1"/>
  <c r="R887" i="1"/>
  <c r="R886" i="1"/>
  <c r="R885" i="1"/>
  <c r="R884" i="1"/>
  <c r="R883" i="1"/>
  <c r="R882" i="1"/>
  <c r="R881" i="1"/>
  <c r="R880" i="1"/>
  <c r="R879" i="1"/>
  <c r="R878" i="1"/>
  <c r="R877" i="1"/>
  <c r="R876" i="1"/>
  <c r="R875" i="1"/>
  <c r="R874" i="1"/>
  <c r="R873" i="1"/>
  <c r="R872" i="1"/>
  <c r="R871" i="1"/>
  <c r="R870" i="1"/>
  <c r="R869" i="1"/>
  <c r="R868" i="1"/>
  <c r="R867" i="1"/>
  <c r="R866" i="1"/>
  <c r="R865" i="1"/>
  <c r="R864" i="1"/>
  <c r="R863" i="1"/>
  <c r="R862" i="1"/>
  <c r="R861" i="1"/>
  <c r="R860" i="1"/>
  <c r="R859" i="1"/>
  <c r="R858" i="1"/>
  <c r="R857" i="1"/>
  <c r="R856" i="1"/>
  <c r="R855" i="1"/>
  <c r="R854" i="1"/>
  <c r="R853" i="1"/>
  <c r="R852" i="1"/>
  <c r="R851" i="1"/>
  <c r="R850" i="1"/>
  <c r="R849" i="1"/>
  <c r="R848" i="1"/>
  <c r="R847" i="1"/>
  <c r="R846" i="1"/>
  <c r="R845" i="1"/>
  <c r="R844" i="1"/>
  <c r="R843" i="1"/>
  <c r="R842" i="1"/>
  <c r="R841" i="1"/>
  <c r="R840" i="1"/>
  <c r="R839" i="1"/>
  <c r="R838" i="1"/>
  <c r="R837" i="1"/>
  <c r="R836" i="1"/>
  <c r="R835" i="1"/>
  <c r="R834" i="1"/>
  <c r="R833" i="1"/>
  <c r="R832" i="1"/>
  <c r="R831" i="1"/>
  <c r="R830" i="1"/>
  <c r="R829" i="1"/>
  <c r="R828" i="1"/>
  <c r="R827" i="1"/>
  <c r="R826" i="1"/>
  <c r="R825" i="1"/>
  <c r="R824" i="1"/>
  <c r="R823" i="1"/>
  <c r="R822" i="1"/>
  <c r="R821" i="1"/>
  <c r="R820" i="1"/>
  <c r="R819" i="1"/>
  <c r="R818" i="1"/>
  <c r="R817" i="1"/>
  <c r="R816" i="1"/>
  <c r="R815" i="1"/>
  <c r="R814" i="1"/>
  <c r="R813" i="1"/>
  <c r="R812" i="1"/>
  <c r="R811" i="1"/>
  <c r="R810" i="1"/>
  <c r="R809" i="1"/>
  <c r="R808" i="1"/>
  <c r="R807" i="1"/>
  <c r="R806" i="1"/>
  <c r="R805" i="1"/>
  <c r="R804" i="1"/>
  <c r="R803" i="1"/>
  <c r="R802" i="1"/>
  <c r="R801" i="1"/>
  <c r="R800" i="1"/>
  <c r="R799" i="1"/>
  <c r="R798" i="1"/>
  <c r="R797" i="1"/>
  <c r="R796" i="1"/>
  <c r="R795" i="1"/>
  <c r="R794" i="1"/>
  <c r="R793" i="1"/>
  <c r="R792" i="1"/>
  <c r="R791" i="1"/>
  <c r="R790" i="1"/>
  <c r="R789" i="1"/>
  <c r="R788" i="1"/>
  <c r="R787" i="1"/>
  <c r="R786" i="1"/>
  <c r="R785" i="1"/>
  <c r="R784" i="1"/>
  <c r="R783" i="1"/>
  <c r="R782" i="1"/>
  <c r="R781" i="1"/>
  <c r="R780" i="1"/>
  <c r="R779" i="1"/>
  <c r="R778" i="1"/>
  <c r="R777" i="1"/>
  <c r="R776" i="1"/>
  <c r="R775" i="1"/>
  <c r="R774" i="1"/>
  <c r="R773" i="1"/>
  <c r="R772" i="1"/>
  <c r="R771" i="1"/>
  <c r="R770" i="1"/>
  <c r="R769" i="1"/>
  <c r="R768" i="1"/>
  <c r="R767" i="1"/>
  <c r="R766" i="1"/>
  <c r="R765" i="1"/>
  <c r="R764" i="1"/>
  <c r="R763" i="1"/>
  <c r="R762" i="1"/>
  <c r="R761" i="1"/>
  <c r="R760" i="1"/>
  <c r="R759" i="1"/>
  <c r="R758" i="1"/>
  <c r="R757" i="1"/>
  <c r="R756" i="1"/>
  <c r="R755" i="1"/>
  <c r="R754" i="1"/>
  <c r="R753" i="1"/>
  <c r="R752" i="1"/>
  <c r="R751" i="1"/>
  <c r="R750" i="1"/>
  <c r="R749" i="1"/>
  <c r="R748" i="1"/>
  <c r="R747" i="1"/>
  <c r="R746" i="1"/>
  <c r="R745" i="1"/>
  <c r="R744" i="1"/>
  <c r="R743" i="1"/>
  <c r="R742" i="1"/>
  <c r="R741" i="1"/>
  <c r="R740" i="1"/>
  <c r="R739" i="1"/>
  <c r="R738" i="1"/>
  <c r="R737" i="1"/>
  <c r="R736" i="1"/>
  <c r="R735" i="1"/>
  <c r="R734" i="1"/>
  <c r="R733" i="1"/>
  <c r="R732" i="1"/>
  <c r="R731" i="1"/>
  <c r="R730" i="1"/>
  <c r="R729" i="1"/>
  <c r="R728" i="1"/>
  <c r="R727" i="1"/>
  <c r="R726" i="1"/>
  <c r="R725" i="1"/>
  <c r="R724" i="1"/>
  <c r="R723" i="1"/>
  <c r="R722" i="1"/>
  <c r="R721" i="1"/>
  <c r="R720" i="1"/>
  <c r="R719" i="1"/>
  <c r="R718" i="1"/>
  <c r="R717" i="1"/>
  <c r="R716" i="1"/>
  <c r="R715" i="1"/>
  <c r="R714" i="1"/>
  <c r="R713" i="1"/>
  <c r="R712" i="1"/>
  <c r="R711" i="1"/>
  <c r="R710" i="1"/>
  <c r="R709" i="1"/>
  <c r="R708" i="1"/>
  <c r="R707" i="1"/>
  <c r="R706" i="1"/>
  <c r="R705" i="1"/>
  <c r="R704" i="1"/>
  <c r="R703" i="1"/>
  <c r="R702" i="1"/>
  <c r="R701" i="1"/>
  <c r="R700" i="1"/>
  <c r="R699" i="1"/>
  <c r="R698" i="1"/>
  <c r="R697" i="1"/>
  <c r="R696" i="1"/>
  <c r="R695" i="1"/>
  <c r="R694" i="1"/>
  <c r="R693" i="1"/>
  <c r="R692" i="1"/>
  <c r="R691" i="1"/>
  <c r="R690" i="1"/>
  <c r="R689" i="1"/>
  <c r="R688" i="1"/>
  <c r="R687" i="1"/>
  <c r="R686" i="1"/>
  <c r="R685" i="1"/>
  <c r="R684" i="1"/>
  <c r="R683" i="1"/>
  <c r="R682" i="1"/>
  <c r="R681" i="1"/>
  <c r="R680" i="1"/>
  <c r="R679" i="1"/>
  <c r="R678" i="1"/>
  <c r="R677" i="1"/>
  <c r="R676" i="1"/>
  <c r="R675" i="1"/>
  <c r="R674" i="1"/>
  <c r="R673" i="1"/>
  <c r="R672" i="1"/>
  <c r="R671" i="1"/>
  <c r="R670" i="1"/>
  <c r="R669" i="1"/>
  <c r="R668" i="1"/>
  <c r="R667" i="1"/>
  <c r="R666" i="1"/>
  <c r="R665" i="1"/>
  <c r="R664" i="1"/>
  <c r="R663" i="1"/>
  <c r="R662" i="1"/>
  <c r="R661" i="1"/>
  <c r="R660" i="1"/>
  <c r="R659" i="1"/>
  <c r="R658" i="1"/>
  <c r="R657" i="1"/>
  <c r="R656" i="1"/>
  <c r="R655" i="1"/>
  <c r="R654" i="1"/>
  <c r="R653" i="1"/>
  <c r="R652" i="1"/>
  <c r="R651" i="1"/>
  <c r="R650" i="1"/>
  <c r="R649" i="1"/>
  <c r="R648" i="1"/>
  <c r="R647" i="1"/>
  <c r="R646" i="1"/>
  <c r="R645" i="1"/>
  <c r="R644" i="1"/>
  <c r="R643" i="1"/>
  <c r="R642" i="1"/>
  <c r="R641" i="1"/>
  <c r="R640" i="1"/>
  <c r="R639" i="1"/>
  <c r="R638" i="1"/>
  <c r="R637" i="1"/>
  <c r="R636" i="1"/>
  <c r="R635" i="1"/>
  <c r="R634" i="1"/>
  <c r="R633" i="1"/>
  <c r="R632" i="1"/>
  <c r="R631" i="1"/>
  <c r="R630" i="1"/>
  <c r="R629" i="1"/>
  <c r="R628" i="1"/>
  <c r="R627" i="1"/>
  <c r="R626" i="1"/>
  <c r="R625" i="1"/>
  <c r="R624" i="1"/>
  <c r="R623" i="1"/>
  <c r="R622" i="1"/>
  <c r="R621" i="1"/>
  <c r="R620" i="1"/>
  <c r="R619" i="1"/>
  <c r="R618" i="1"/>
  <c r="R617" i="1"/>
  <c r="R616" i="1"/>
  <c r="R615" i="1"/>
  <c r="R614" i="1"/>
  <c r="R613" i="1"/>
  <c r="R612" i="1"/>
  <c r="R611" i="1"/>
  <c r="R610" i="1"/>
  <c r="R609" i="1"/>
  <c r="R608" i="1"/>
  <c r="R607" i="1"/>
  <c r="R606" i="1"/>
  <c r="R605" i="1"/>
  <c r="R604" i="1"/>
  <c r="R603" i="1"/>
  <c r="R602" i="1"/>
  <c r="R601" i="1"/>
  <c r="R600" i="1"/>
  <c r="R599" i="1"/>
  <c r="R598" i="1"/>
  <c r="R597" i="1"/>
  <c r="R596" i="1"/>
  <c r="R595" i="1"/>
  <c r="R594" i="1"/>
  <c r="R593" i="1"/>
  <c r="R592" i="1"/>
  <c r="R591" i="1"/>
  <c r="R590" i="1"/>
  <c r="R589" i="1"/>
  <c r="R588" i="1"/>
  <c r="R587" i="1"/>
  <c r="R586" i="1"/>
  <c r="R585" i="1"/>
  <c r="R584" i="1"/>
  <c r="R583" i="1"/>
  <c r="R582" i="1"/>
  <c r="R581" i="1"/>
  <c r="R580" i="1"/>
  <c r="R579" i="1"/>
  <c r="R578" i="1"/>
  <c r="R577" i="1"/>
  <c r="R576" i="1"/>
  <c r="R575" i="1"/>
  <c r="R574" i="1"/>
  <c r="R573" i="1"/>
  <c r="R572" i="1"/>
  <c r="R571" i="1"/>
  <c r="R570" i="1"/>
  <c r="R569" i="1"/>
  <c r="R568" i="1"/>
  <c r="R567" i="1"/>
  <c r="R566" i="1"/>
  <c r="R565" i="1"/>
  <c r="R564" i="1"/>
  <c r="R563" i="1"/>
  <c r="R562" i="1"/>
  <c r="R561" i="1"/>
  <c r="R560" i="1"/>
  <c r="R559" i="1"/>
  <c r="R558" i="1"/>
  <c r="R557" i="1"/>
  <c r="R556" i="1"/>
  <c r="R555" i="1"/>
  <c r="R554" i="1"/>
  <c r="R553" i="1"/>
  <c r="R552" i="1"/>
  <c r="R551" i="1"/>
  <c r="R550" i="1"/>
  <c r="R549" i="1"/>
  <c r="R548" i="1"/>
  <c r="R547" i="1"/>
  <c r="R546" i="1"/>
  <c r="R545" i="1"/>
  <c r="R544" i="1"/>
  <c r="R543" i="1"/>
  <c r="R542" i="1"/>
  <c r="R541" i="1"/>
  <c r="R540" i="1"/>
  <c r="R539" i="1"/>
  <c r="R538" i="1"/>
  <c r="R537" i="1"/>
  <c r="R536" i="1"/>
  <c r="R535" i="1"/>
  <c r="R534" i="1"/>
  <c r="R533" i="1"/>
  <c r="R532" i="1"/>
  <c r="R531" i="1"/>
  <c r="R530" i="1"/>
  <c r="R529" i="1"/>
  <c r="R528" i="1"/>
  <c r="R527" i="1"/>
  <c r="R526" i="1"/>
  <c r="R525" i="1"/>
  <c r="R524" i="1"/>
  <c r="R523" i="1"/>
  <c r="R522" i="1"/>
  <c r="R521" i="1"/>
  <c r="R520" i="1"/>
  <c r="R519" i="1"/>
  <c r="R518" i="1"/>
  <c r="R517" i="1"/>
  <c r="R516" i="1"/>
  <c r="R515" i="1"/>
  <c r="R514" i="1"/>
  <c r="R513" i="1"/>
  <c r="R512" i="1"/>
  <c r="R511" i="1"/>
  <c r="R510" i="1"/>
  <c r="R509" i="1"/>
  <c r="R508" i="1"/>
  <c r="R507" i="1"/>
  <c r="R506" i="1"/>
  <c r="R505" i="1"/>
  <c r="R504" i="1"/>
  <c r="R503" i="1"/>
  <c r="R502" i="1"/>
  <c r="R501" i="1"/>
  <c r="R500" i="1"/>
  <c r="R499" i="1"/>
  <c r="R498" i="1"/>
  <c r="R497" i="1"/>
  <c r="R496" i="1"/>
  <c r="R495" i="1"/>
  <c r="R494" i="1"/>
  <c r="R493" i="1"/>
  <c r="R492" i="1"/>
  <c r="R491" i="1"/>
  <c r="R490" i="1"/>
  <c r="R489" i="1"/>
  <c r="R488" i="1"/>
  <c r="R487" i="1"/>
  <c r="R486" i="1"/>
  <c r="R485" i="1"/>
  <c r="R484" i="1"/>
  <c r="R483" i="1"/>
  <c r="R482" i="1"/>
  <c r="R481" i="1"/>
  <c r="R480" i="1"/>
  <c r="R479" i="1"/>
  <c r="R478" i="1"/>
  <c r="R477" i="1"/>
  <c r="R476" i="1"/>
  <c r="R475" i="1"/>
  <c r="R474" i="1"/>
  <c r="R473" i="1"/>
  <c r="R472" i="1"/>
  <c r="R471" i="1"/>
  <c r="R470" i="1"/>
  <c r="R469" i="1"/>
  <c r="R468" i="1"/>
  <c r="R467" i="1"/>
  <c r="R466" i="1"/>
  <c r="R465" i="1"/>
  <c r="R464" i="1"/>
  <c r="R463" i="1"/>
  <c r="R462" i="1"/>
  <c r="R461" i="1"/>
  <c r="R460" i="1"/>
  <c r="R459" i="1"/>
  <c r="R458" i="1"/>
  <c r="R457" i="1"/>
  <c r="R456" i="1"/>
  <c r="R455" i="1"/>
  <c r="R454" i="1"/>
  <c r="R453" i="1"/>
  <c r="R452" i="1"/>
  <c r="R451" i="1"/>
  <c r="R450" i="1"/>
  <c r="R449" i="1"/>
  <c r="R448" i="1"/>
  <c r="R447" i="1"/>
  <c r="R446" i="1"/>
  <c r="R445" i="1"/>
  <c r="R444" i="1"/>
  <c r="R443" i="1"/>
  <c r="R442" i="1"/>
  <c r="R441" i="1"/>
  <c r="R440" i="1"/>
  <c r="R439" i="1"/>
  <c r="R438" i="1"/>
  <c r="R437" i="1"/>
  <c r="R436" i="1"/>
  <c r="R435" i="1"/>
  <c r="R434" i="1"/>
  <c r="R433" i="1"/>
  <c r="R432" i="1"/>
  <c r="R431" i="1"/>
  <c r="R430" i="1"/>
  <c r="R429" i="1"/>
  <c r="R428" i="1"/>
  <c r="R427" i="1"/>
  <c r="R426" i="1"/>
  <c r="R425" i="1"/>
  <c r="R424" i="1"/>
  <c r="R423" i="1"/>
  <c r="R422" i="1"/>
  <c r="R421" i="1"/>
  <c r="R420" i="1"/>
  <c r="R419" i="1"/>
  <c r="R418" i="1"/>
  <c r="R417" i="1"/>
  <c r="R416" i="1"/>
  <c r="R415" i="1"/>
  <c r="R414" i="1"/>
  <c r="R413" i="1"/>
  <c r="R41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R201" i="1"/>
  <c r="R200" i="1"/>
  <c r="R199" i="1"/>
  <c r="R198" i="1"/>
  <c r="R197" i="1"/>
  <c r="R196" i="1"/>
  <c r="R195" i="1"/>
  <c r="R194" i="1"/>
  <c r="R193" i="1"/>
  <c r="R192" i="1"/>
  <c r="R191" i="1"/>
  <c r="R190" i="1"/>
  <c r="R189" i="1"/>
  <c r="R188" i="1"/>
  <c r="R187" i="1"/>
  <c r="R186" i="1"/>
  <c r="R185" i="1"/>
  <c r="R184" i="1"/>
  <c r="R183" i="1"/>
  <c r="R182" i="1"/>
  <c r="R181" i="1"/>
  <c r="R180" i="1"/>
  <c r="R179" i="1"/>
  <c r="R178" i="1"/>
  <c r="R177" i="1"/>
  <c r="R176" i="1"/>
  <c r="R175" i="1"/>
  <c r="R174" i="1"/>
  <c r="R173" i="1"/>
  <c r="R172" i="1"/>
  <c r="R171" i="1"/>
  <c r="R170" i="1"/>
  <c r="R169" i="1"/>
  <c r="R168" i="1"/>
  <c r="R167" i="1"/>
  <c r="R166" i="1"/>
  <c r="R165" i="1"/>
  <c r="R164" i="1"/>
  <c r="R163" i="1"/>
  <c r="R162" i="1"/>
  <c r="R161" i="1"/>
  <c r="R160" i="1"/>
  <c r="R159" i="1"/>
  <c r="R158" i="1"/>
  <c r="R157" i="1"/>
  <c r="R156" i="1"/>
  <c r="R155" i="1"/>
  <c r="R154" i="1"/>
  <c r="R153" i="1"/>
  <c r="R152" i="1"/>
  <c r="R151" i="1"/>
  <c r="R150" i="1"/>
  <c r="R149" i="1"/>
  <c r="R148" i="1"/>
  <c r="R147" i="1"/>
  <c r="R146" i="1"/>
  <c r="R145" i="1"/>
  <c r="R144" i="1"/>
  <c r="R143" i="1"/>
  <c r="R142" i="1"/>
  <c r="R141" i="1"/>
  <c r="R140" i="1"/>
  <c r="R139" i="1"/>
  <c r="R138" i="1"/>
  <c r="R137" i="1"/>
  <c r="R136" i="1"/>
  <c r="R135" i="1"/>
  <c r="R134" i="1"/>
  <c r="R133" i="1"/>
  <c r="R132" i="1"/>
  <c r="R131" i="1"/>
  <c r="R130" i="1"/>
  <c r="R129" i="1"/>
  <c r="R128" i="1"/>
  <c r="R127" i="1"/>
  <c r="R126" i="1"/>
  <c r="R125" i="1"/>
  <c r="R124" i="1"/>
  <c r="R123" i="1"/>
  <c r="R122" i="1"/>
  <c r="R121" i="1"/>
  <c r="R120" i="1"/>
  <c r="R119" i="1"/>
  <c r="R118" i="1"/>
  <c r="R117" i="1"/>
  <c r="R116" i="1"/>
  <c r="R115" i="1"/>
  <c r="R114" i="1"/>
  <c r="R113" i="1"/>
  <c r="R112" i="1"/>
  <c r="R111" i="1"/>
  <c r="R110" i="1"/>
  <c r="R109" i="1"/>
  <c r="R108" i="1"/>
  <c r="R107" i="1"/>
  <c r="R106" i="1"/>
  <c r="R105" i="1"/>
  <c r="R104" i="1"/>
  <c r="R103" i="1"/>
  <c r="R102" i="1"/>
  <c r="R101" i="1"/>
  <c r="R100" i="1"/>
  <c r="R99" i="1"/>
  <c r="R98" i="1"/>
  <c r="R97" i="1"/>
  <c r="R96" i="1"/>
  <c r="R95" i="1"/>
  <c r="R94" i="1"/>
  <c r="R93" i="1"/>
  <c r="R92" i="1"/>
  <c r="R91" i="1"/>
  <c r="R90" i="1"/>
  <c r="R89" i="1"/>
  <c r="R88" i="1"/>
  <c r="R87" i="1"/>
  <c r="R86" i="1"/>
  <c r="R85" i="1"/>
  <c r="R84" i="1"/>
  <c r="R83" i="1"/>
  <c r="R82" i="1"/>
  <c r="R81" i="1"/>
  <c r="R80" i="1"/>
  <c r="R79" i="1"/>
  <c r="R78" i="1"/>
  <c r="R77" i="1"/>
  <c r="R76" i="1"/>
  <c r="R75" i="1"/>
  <c r="R74" i="1"/>
  <c r="R73" i="1"/>
  <c r="R72" i="1"/>
  <c r="R71" i="1"/>
  <c r="R70" i="1"/>
  <c r="R69" i="1"/>
  <c r="R68" i="1"/>
  <c r="R67" i="1"/>
  <c r="R66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E1009" i="1" l="1"/>
  <c r="D1009" i="1"/>
  <c r="E1008" i="1"/>
  <c r="D1008" i="1"/>
  <c r="E1007" i="1"/>
  <c r="D1007" i="1"/>
  <c r="E1006" i="1"/>
  <c r="D1006" i="1"/>
  <c r="E1005" i="1"/>
  <c r="D1005" i="1"/>
  <c r="E1004" i="1"/>
  <c r="D1004" i="1"/>
  <c r="E1003" i="1"/>
  <c r="D1003" i="1"/>
  <c r="E1002" i="1"/>
  <c r="D1002" i="1"/>
  <c r="E1001" i="1"/>
  <c r="D1001" i="1"/>
  <c r="E1000" i="1"/>
  <c r="D1000" i="1"/>
  <c r="E999" i="1"/>
  <c r="D999" i="1"/>
  <c r="E998" i="1"/>
  <c r="D998" i="1"/>
  <c r="E997" i="1"/>
  <c r="D997" i="1"/>
  <c r="E996" i="1"/>
  <c r="D996" i="1"/>
  <c r="E995" i="1"/>
  <c r="D995" i="1"/>
  <c r="E994" i="1"/>
  <c r="D994" i="1"/>
  <c r="E993" i="1"/>
  <c r="D993" i="1"/>
  <c r="E992" i="1"/>
  <c r="D992" i="1"/>
  <c r="E991" i="1"/>
  <c r="D991" i="1"/>
  <c r="E990" i="1"/>
  <c r="D990" i="1"/>
  <c r="E989" i="1"/>
  <c r="D989" i="1"/>
  <c r="E988" i="1"/>
  <c r="D988" i="1"/>
  <c r="E987" i="1"/>
  <c r="D987" i="1"/>
  <c r="E986" i="1"/>
  <c r="D986" i="1"/>
  <c r="E985" i="1"/>
  <c r="D985" i="1"/>
  <c r="E984" i="1"/>
  <c r="D984" i="1"/>
  <c r="E983" i="1"/>
  <c r="D983" i="1"/>
  <c r="E982" i="1"/>
  <c r="D982" i="1"/>
  <c r="E981" i="1"/>
  <c r="D981" i="1"/>
  <c r="E980" i="1"/>
  <c r="D980" i="1"/>
  <c r="E979" i="1"/>
  <c r="D979" i="1"/>
  <c r="E978" i="1"/>
  <c r="D978" i="1"/>
  <c r="E977" i="1"/>
  <c r="D977" i="1"/>
  <c r="E976" i="1"/>
  <c r="D976" i="1"/>
  <c r="E975" i="1"/>
  <c r="D975" i="1"/>
  <c r="E974" i="1"/>
  <c r="D974" i="1"/>
  <c r="E973" i="1"/>
  <c r="D973" i="1"/>
  <c r="E972" i="1"/>
  <c r="D972" i="1"/>
  <c r="E971" i="1"/>
  <c r="D971" i="1"/>
  <c r="E970" i="1"/>
  <c r="D970" i="1"/>
  <c r="E969" i="1"/>
  <c r="D969" i="1"/>
  <c r="E968" i="1"/>
  <c r="D968" i="1"/>
  <c r="E967" i="1"/>
  <c r="D967" i="1"/>
  <c r="E966" i="1"/>
  <c r="D966" i="1"/>
  <c r="E965" i="1"/>
  <c r="D965" i="1"/>
  <c r="E964" i="1"/>
  <c r="D964" i="1"/>
  <c r="E963" i="1"/>
  <c r="D963" i="1"/>
  <c r="E962" i="1"/>
  <c r="D962" i="1"/>
  <c r="E961" i="1"/>
  <c r="D961" i="1"/>
  <c r="E960" i="1"/>
  <c r="D960" i="1"/>
  <c r="E959" i="1"/>
  <c r="D959" i="1"/>
  <c r="E958" i="1"/>
  <c r="D958" i="1"/>
  <c r="E957" i="1"/>
  <c r="D957" i="1"/>
  <c r="E956" i="1"/>
  <c r="D956" i="1"/>
  <c r="E955" i="1"/>
  <c r="D955" i="1"/>
  <c r="E954" i="1"/>
  <c r="D954" i="1"/>
  <c r="E953" i="1"/>
  <c r="D953" i="1"/>
  <c r="E952" i="1"/>
  <c r="D952" i="1"/>
  <c r="E951" i="1"/>
  <c r="D951" i="1"/>
  <c r="E950" i="1"/>
  <c r="D950" i="1"/>
  <c r="E949" i="1"/>
  <c r="D949" i="1"/>
  <c r="E948" i="1"/>
  <c r="D948" i="1"/>
  <c r="E947" i="1"/>
  <c r="D947" i="1"/>
  <c r="E946" i="1"/>
  <c r="D946" i="1"/>
  <c r="E945" i="1"/>
  <c r="D945" i="1"/>
  <c r="E944" i="1"/>
  <c r="D944" i="1"/>
  <c r="E943" i="1"/>
  <c r="D943" i="1"/>
  <c r="E942" i="1"/>
  <c r="D942" i="1"/>
  <c r="E941" i="1"/>
  <c r="D941" i="1"/>
  <c r="E940" i="1"/>
  <c r="D940" i="1"/>
  <c r="E939" i="1"/>
  <c r="D939" i="1"/>
  <c r="E938" i="1"/>
  <c r="D938" i="1"/>
  <c r="E937" i="1"/>
  <c r="D937" i="1"/>
  <c r="E936" i="1"/>
  <c r="D936" i="1"/>
  <c r="E935" i="1"/>
  <c r="D935" i="1"/>
  <c r="E934" i="1"/>
  <c r="D934" i="1"/>
  <c r="E933" i="1"/>
  <c r="D933" i="1"/>
  <c r="E932" i="1"/>
  <c r="D932" i="1"/>
  <c r="E931" i="1"/>
  <c r="D931" i="1"/>
  <c r="E930" i="1"/>
  <c r="D930" i="1"/>
  <c r="E929" i="1"/>
  <c r="D929" i="1"/>
  <c r="E928" i="1"/>
  <c r="D928" i="1"/>
  <c r="E927" i="1"/>
  <c r="D927" i="1"/>
  <c r="E926" i="1"/>
  <c r="D926" i="1"/>
  <c r="E925" i="1"/>
  <c r="D925" i="1"/>
  <c r="E924" i="1"/>
  <c r="D924" i="1"/>
  <c r="E923" i="1"/>
  <c r="D923" i="1"/>
  <c r="E922" i="1"/>
  <c r="D922" i="1"/>
  <c r="E921" i="1"/>
  <c r="D921" i="1"/>
  <c r="E920" i="1"/>
  <c r="D920" i="1"/>
  <c r="E919" i="1"/>
  <c r="D919" i="1"/>
  <c r="E918" i="1"/>
  <c r="D918" i="1"/>
  <c r="E917" i="1"/>
  <c r="D917" i="1"/>
  <c r="E916" i="1"/>
  <c r="D916" i="1"/>
  <c r="E915" i="1"/>
  <c r="D915" i="1"/>
  <c r="E914" i="1"/>
  <c r="D914" i="1"/>
  <c r="E913" i="1"/>
  <c r="D913" i="1"/>
  <c r="E912" i="1"/>
  <c r="D912" i="1"/>
  <c r="E911" i="1"/>
  <c r="D911" i="1"/>
  <c r="E910" i="1"/>
  <c r="D910" i="1"/>
  <c r="E909" i="1"/>
  <c r="D909" i="1"/>
  <c r="E908" i="1"/>
  <c r="D908" i="1"/>
  <c r="E907" i="1"/>
  <c r="D907" i="1"/>
  <c r="E906" i="1"/>
  <c r="D906" i="1"/>
  <c r="E905" i="1"/>
  <c r="D905" i="1"/>
  <c r="E904" i="1"/>
  <c r="D904" i="1"/>
  <c r="E903" i="1"/>
  <c r="D903" i="1"/>
  <c r="E902" i="1"/>
  <c r="D902" i="1"/>
  <c r="E901" i="1"/>
  <c r="D901" i="1"/>
  <c r="E900" i="1"/>
  <c r="D900" i="1"/>
  <c r="E899" i="1"/>
  <c r="D899" i="1"/>
  <c r="E898" i="1"/>
  <c r="D898" i="1"/>
  <c r="E897" i="1"/>
  <c r="D897" i="1"/>
  <c r="E896" i="1"/>
  <c r="D896" i="1"/>
  <c r="E895" i="1"/>
  <c r="D895" i="1"/>
  <c r="E894" i="1"/>
  <c r="D894" i="1"/>
  <c r="E893" i="1"/>
  <c r="D893" i="1"/>
  <c r="E892" i="1"/>
  <c r="D892" i="1"/>
  <c r="E891" i="1"/>
  <c r="D891" i="1"/>
  <c r="E890" i="1"/>
  <c r="D890" i="1"/>
  <c r="E889" i="1"/>
  <c r="D889" i="1"/>
  <c r="E888" i="1"/>
  <c r="D888" i="1"/>
  <c r="E887" i="1"/>
  <c r="D887" i="1"/>
  <c r="E886" i="1"/>
  <c r="D886" i="1"/>
  <c r="E885" i="1"/>
  <c r="D885" i="1"/>
  <c r="E884" i="1"/>
  <c r="D884" i="1"/>
  <c r="E883" i="1"/>
  <c r="D883" i="1"/>
  <c r="E882" i="1"/>
  <c r="D882" i="1"/>
  <c r="E881" i="1"/>
  <c r="D881" i="1"/>
  <c r="E880" i="1"/>
  <c r="D880" i="1"/>
  <c r="E879" i="1"/>
  <c r="D879" i="1"/>
  <c r="E878" i="1"/>
  <c r="D878" i="1"/>
  <c r="E877" i="1"/>
  <c r="D877" i="1"/>
  <c r="E876" i="1"/>
  <c r="D876" i="1"/>
  <c r="E875" i="1"/>
  <c r="D875" i="1"/>
  <c r="E874" i="1"/>
  <c r="D874" i="1"/>
  <c r="E873" i="1"/>
  <c r="D873" i="1"/>
  <c r="E872" i="1"/>
  <c r="D872" i="1"/>
  <c r="E871" i="1"/>
  <c r="D871" i="1"/>
  <c r="E870" i="1"/>
  <c r="D870" i="1"/>
  <c r="E869" i="1"/>
  <c r="D869" i="1"/>
  <c r="E868" i="1"/>
  <c r="D868" i="1"/>
  <c r="E867" i="1"/>
  <c r="D867" i="1"/>
  <c r="E866" i="1"/>
  <c r="D866" i="1"/>
  <c r="E865" i="1"/>
  <c r="D865" i="1"/>
  <c r="E864" i="1"/>
  <c r="D864" i="1"/>
  <c r="E863" i="1"/>
  <c r="D863" i="1"/>
  <c r="E862" i="1"/>
  <c r="D862" i="1"/>
  <c r="E861" i="1"/>
  <c r="D861" i="1"/>
  <c r="E860" i="1"/>
  <c r="D860" i="1"/>
  <c r="E859" i="1"/>
  <c r="D859" i="1"/>
  <c r="E858" i="1"/>
  <c r="D858" i="1"/>
  <c r="E857" i="1"/>
  <c r="D857" i="1"/>
  <c r="E856" i="1"/>
  <c r="D856" i="1"/>
  <c r="E855" i="1"/>
  <c r="D855" i="1"/>
  <c r="E854" i="1"/>
  <c r="D854" i="1"/>
  <c r="E853" i="1"/>
  <c r="D853" i="1"/>
  <c r="E852" i="1"/>
  <c r="D852" i="1"/>
  <c r="E851" i="1"/>
  <c r="D851" i="1"/>
  <c r="E850" i="1"/>
  <c r="D850" i="1"/>
  <c r="E849" i="1"/>
  <c r="D849" i="1"/>
  <c r="E848" i="1"/>
  <c r="D848" i="1"/>
  <c r="E847" i="1"/>
  <c r="D847" i="1"/>
  <c r="E846" i="1"/>
  <c r="D846" i="1"/>
  <c r="E845" i="1"/>
  <c r="D845" i="1"/>
  <c r="E844" i="1"/>
  <c r="D844" i="1"/>
  <c r="E843" i="1"/>
  <c r="D843" i="1"/>
  <c r="E842" i="1"/>
  <c r="D842" i="1"/>
  <c r="E841" i="1"/>
  <c r="D841" i="1"/>
  <c r="E840" i="1"/>
  <c r="D840" i="1"/>
  <c r="E839" i="1"/>
  <c r="D839" i="1"/>
  <c r="E838" i="1"/>
  <c r="D838" i="1"/>
  <c r="E837" i="1"/>
  <c r="D837" i="1"/>
  <c r="E836" i="1"/>
  <c r="D836" i="1"/>
  <c r="E835" i="1"/>
  <c r="D835" i="1"/>
  <c r="E834" i="1"/>
  <c r="D834" i="1"/>
  <c r="E833" i="1"/>
  <c r="D833" i="1"/>
  <c r="E832" i="1"/>
  <c r="D832" i="1"/>
  <c r="E831" i="1"/>
  <c r="D831" i="1"/>
  <c r="E830" i="1"/>
  <c r="D830" i="1"/>
  <c r="E829" i="1"/>
  <c r="D829" i="1"/>
  <c r="E828" i="1"/>
  <c r="D828" i="1"/>
  <c r="E827" i="1"/>
  <c r="D827" i="1"/>
  <c r="E826" i="1"/>
  <c r="D826" i="1"/>
  <c r="E825" i="1"/>
  <c r="D825" i="1"/>
  <c r="E824" i="1"/>
  <c r="D824" i="1"/>
  <c r="E823" i="1"/>
  <c r="D823" i="1"/>
  <c r="E822" i="1"/>
  <c r="D822" i="1"/>
  <c r="E821" i="1"/>
  <c r="D821" i="1"/>
  <c r="E820" i="1"/>
  <c r="D820" i="1"/>
  <c r="E819" i="1"/>
  <c r="D819" i="1"/>
  <c r="E818" i="1"/>
  <c r="D818" i="1"/>
  <c r="E817" i="1"/>
  <c r="D817" i="1"/>
  <c r="E816" i="1"/>
  <c r="D816" i="1"/>
  <c r="E815" i="1"/>
  <c r="D815" i="1"/>
  <c r="E814" i="1"/>
  <c r="D814" i="1"/>
  <c r="E813" i="1"/>
  <c r="D813" i="1"/>
  <c r="E812" i="1"/>
  <c r="D812" i="1"/>
  <c r="E811" i="1"/>
  <c r="D811" i="1"/>
  <c r="E810" i="1"/>
  <c r="D810" i="1"/>
  <c r="E809" i="1"/>
  <c r="D809" i="1"/>
  <c r="E808" i="1"/>
  <c r="D808" i="1"/>
  <c r="E807" i="1"/>
  <c r="D807" i="1"/>
  <c r="E806" i="1"/>
  <c r="D806" i="1"/>
  <c r="E805" i="1"/>
  <c r="D805" i="1"/>
  <c r="E804" i="1"/>
  <c r="D804" i="1"/>
  <c r="E803" i="1"/>
  <c r="D803" i="1"/>
  <c r="E802" i="1"/>
  <c r="D802" i="1"/>
  <c r="E801" i="1"/>
  <c r="D801" i="1"/>
  <c r="E800" i="1"/>
  <c r="D800" i="1"/>
  <c r="E799" i="1"/>
  <c r="D799" i="1"/>
  <c r="E798" i="1"/>
  <c r="D798" i="1"/>
  <c r="E797" i="1"/>
  <c r="D797" i="1"/>
  <c r="E796" i="1"/>
  <c r="D796" i="1"/>
  <c r="E795" i="1"/>
  <c r="D795" i="1"/>
  <c r="E794" i="1"/>
  <c r="D794" i="1"/>
  <c r="E793" i="1"/>
  <c r="D793" i="1"/>
  <c r="E792" i="1"/>
  <c r="D792" i="1"/>
  <c r="E791" i="1"/>
  <c r="D791" i="1"/>
  <c r="E790" i="1"/>
  <c r="D790" i="1"/>
  <c r="E789" i="1"/>
  <c r="D789" i="1"/>
  <c r="E788" i="1"/>
  <c r="D788" i="1"/>
  <c r="E787" i="1"/>
  <c r="D787" i="1"/>
  <c r="E786" i="1"/>
  <c r="D786" i="1"/>
  <c r="E785" i="1"/>
  <c r="D785" i="1"/>
  <c r="E784" i="1"/>
  <c r="D784" i="1"/>
  <c r="E783" i="1"/>
  <c r="D783" i="1"/>
  <c r="E782" i="1"/>
  <c r="D782" i="1"/>
  <c r="E781" i="1"/>
  <c r="D781" i="1"/>
  <c r="E780" i="1"/>
  <c r="D780" i="1"/>
  <c r="E779" i="1"/>
  <c r="D779" i="1"/>
  <c r="E778" i="1"/>
  <c r="D778" i="1"/>
  <c r="E777" i="1"/>
  <c r="D777" i="1"/>
  <c r="E776" i="1"/>
  <c r="D776" i="1"/>
  <c r="E775" i="1"/>
  <c r="D775" i="1"/>
  <c r="E774" i="1"/>
  <c r="D774" i="1"/>
  <c r="E773" i="1"/>
  <c r="D773" i="1"/>
  <c r="E772" i="1"/>
  <c r="D772" i="1"/>
  <c r="E771" i="1"/>
  <c r="D771" i="1"/>
  <c r="E770" i="1"/>
  <c r="D770" i="1"/>
  <c r="E769" i="1"/>
  <c r="D769" i="1"/>
  <c r="E768" i="1"/>
  <c r="D768" i="1"/>
  <c r="E767" i="1"/>
  <c r="D767" i="1"/>
  <c r="E766" i="1"/>
  <c r="D766" i="1"/>
  <c r="E765" i="1"/>
  <c r="D765" i="1"/>
  <c r="E764" i="1"/>
  <c r="D764" i="1"/>
  <c r="E763" i="1"/>
  <c r="D763" i="1"/>
  <c r="E762" i="1"/>
  <c r="D762" i="1"/>
  <c r="E761" i="1"/>
  <c r="D761" i="1"/>
  <c r="E760" i="1"/>
  <c r="D760" i="1"/>
  <c r="E759" i="1"/>
  <c r="D759" i="1"/>
  <c r="E758" i="1"/>
  <c r="D758" i="1"/>
  <c r="E757" i="1"/>
  <c r="D757" i="1"/>
  <c r="E756" i="1"/>
  <c r="D756" i="1"/>
  <c r="E755" i="1"/>
  <c r="D755" i="1"/>
  <c r="E754" i="1"/>
  <c r="D754" i="1"/>
  <c r="E753" i="1"/>
  <c r="D753" i="1"/>
  <c r="E752" i="1"/>
  <c r="D752" i="1"/>
  <c r="E751" i="1"/>
  <c r="D751" i="1"/>
  <c r="E750" i="1"/>
  <c r="D750" i="1"/>
  <c r="E749" i="1"/>
  <c r="D749" i="1"/>
  <c r="E748" i="1"/>
  <c r="D748" i="1"/>
  <c r="E747" i="1"/>
  <c r="D747" i="1"/>
  <c r="E746" i="1"/>
  <c r="D746" i="1"/>
  <c r="E745" i="1"/>
  <c r="D745" i="1"/>
  <c r="E744" i="1"/>
  <c r="D744" i="1"/>
  <c r="E743" i="1"/>
  <c r="D743" i="1"/>
  <c r="E742" i="1"/>
  <c r="D742" i="1"/>
  <c r="E741" i="1"/>
  <c r="D741" i="1"/>
  <c r="E740" i="1"/>
  <c r="D740" i="1"/>
  <c r="E739" i="1"/>
  <c r="D739" i="1"/>
  <c r="E738" i="1"/>
  <c r="D738" i="1"/>
  <c r="E737" i="1"/>
  <c r="D737" i="1"/>
  <c r="E736" i="1"/>
  <c r="D736" i="1"/>
  <c r="E735" i="1"/>
  <c r="D735" i="1"/>
  <c r="E734" i="1"/>
  <c r="D734" i="1"/>
  <c r="E733" i="1"/>
  <c r="D733" i="1"/>
  <c r="E732" i="1"/>
  <c r="D732" i="1"/>
  <c r="E731" i="1"/>
  <c r="D731" i="1"/>
  <c r="E730" i="1"/>
  <c r="D730" i="1"/>
  <c r="E729" i="1"/>
  <c r="D729" i="1"/>
  <c r="E728" i="1"/>
  <c r="D728" i="1"/>
  <c r="E727" i="1"/>
  <c r="D727" i="1"/>
  <c r="E726" i="1"/>
  <c r="D726" i="1"/>
  <c r="E725" i="1"/>
  <c r="D725" i="1"/>
  <c r="E724" i="1"/>
  <c r="D724" i="1"/>
  <c r="E723" i="1"/>
  <c r="D723" i="1"/>
  <c r="E722" i="1"/>
  <c r="D722" i="1"/>
  <c r="E721" i="1"/>
  <c r="D721" i="1"/>
  <c r="E720" i="1"/>
  <c r="D720" i="1"/>
  <c r="E719" i="1"/>
  <c r="D719" i="1"/>
  <c r="E718" i="1"/>
  <c r="D718" i="1"/>
  <c r="E717" i="1"/>
  <c r="D717" i="1"/>
  <c r="E716" i="1"/>
  <c r="D716" i="1"/>
  <c r="E715" i="1"/>
  <c r="D715" i="1"/>
  <c r="E714" i="1"/>
  <c r="D714" i="1"/>
  <c r="E713" i="1"/>
  <c r="D713" i="1"/>
  <c r="E712" i="1"/>
  <c r="D712" i="1"/>
  <c r="E711" i="1"/>
  <c r="D711" i="1"/>
  <c r="E710" i="1"/>
  <c r="D710" i="1"/>
  <c r="E709" i="1"/>
  <c r="D709" i="1"/>
  <c r="E708" i="1"/>
  <c r="D708" i="1"/>
  <c r="E707" i="1"/>
  <c r="D707" i="1"/>
  <c r="E706" i="1"/>
  <c r="D706" i="1"/>
  <c r="E705" i="1"/>
  <c r="D705" i="1"/>
  <c r="E704" i="1"/>
  <c r="D704" i="1"/>
  <c r="E703" i="1"/>
  <c r="D703" i="1"/>
  <c r="E702" i="1"/>
  <c r="D702" i="1"/>
  <c r="E701" i="1"/>
  <c r="D701" i="1"/>
  <c r="E700" i="1"/>
  <c r="D700" i="1"/>
  <c r="E699" i="1"/>
  <c r="D699" i="1"/>
  <c r="E698" i="1"/>
  <c r="D698" i="1"/>
  <c r="E697" i="1"/>
  <c r="D697" i="1"/>
  <c r="E696" i="1"/>
  <c r="D696" i="1"/>
  <c r="E695" i="1"/>
  <c r="D695" i="1"/>
  <c r="E694" i="1"/>
  <c r="D694" i="1"/>
  <c r="E693" i="1"/>
  <c r="D693" i="1"/>
  <c r="E692" i="1"/>
  <c r="D692" i="1"/>
  <c r="E691" i="1"/>
  <c r="D691" i="1"/>
  <c r="E690" i="1"/>
  <c r="D690" i="1"/>
  <c r="E689" i="1"/>
  <c r="D689" i="1"/>
  <c r="E688" i="1"/>
  <c r="D688" i="1"/>
  <c r="E687" i="1"/>
  <c r="D687" i="1"/>
  <c r="E686" i="1"/>
  <c r="D686" i="1"/>
  <c r="E685" i="1"/>
  <c r="D685" i="1"/>
  <c r="E684" i="1"/>
  <c r="D684" i="1"/>
  <c r="E683" i="1"/>
  <c r="D683" i="1"/>
  <c r="E682" i="1"/>
  <c r="D682" i="1"/>
  <c r="E681" i="1"/>
  <c r="D681" i="1"/>
  <c r="E680" i="1"/>
  <c r="D680" i="1"/>
  <c r="E679" i="1"/>
  <c r="D679" i="1"/>
  <c r="E678" i="1"/>
  <c r="D678" i="1"/>
  <c r="E677" i="1"/>
  <c r="D677" i="1"/>
  <c r="E676" i="1"/>
  <c r="D676" i="1"/>
  <c r="E675" i="1"/>
  <c r="D675" i="1"/>
  <c r="E674" i="1"/>
  <c r="D674" i="1"/>
  <c r="E673" i="1"/>
  <c r="D673" i="1"/>
  <c r="E672" i="1"/>
  <c r="D672" i="1"/>
  <c r="E671" i="1"/>
  <c r="D671" i="1"/>
  <c r="E670" i="1"/>
  <c r="D670" i="1"/>
  <c r="E669" i="1"/>
  <c r="D669" i="1"/>
  <c r="E668" i="1"/>
  <c r="D668" i="1"/>
  <c r="E667" i="1"/>
  <c r="D667" i="1"/>
  <c r="E666" i="1"/>
  <c r="D666" i="1"/>
  <c r="E665" i="1"/>
  <c r="D665" i="1"/>
  <c r="E664" i="1"/>
  <c r="D664" i="1"/>
  <c r="E663" i="1"/>
  <c r="D663" i="1"/>
  <c r="E662" i="1"/>
  <c r="D662" i="1"/>
  <c r="E661" i="1"/>
  <c r="D661" i="1"/>
  <c r="E660" i="1"/>
  <c r="D660" i="1"/>
  <c r="E659" i="1"/>
  <c r="D659" i="1"/>
  <c r="E658" i="1"/>
  <c r="D658" i="1"/>
  <c r="E657" i="1"/>
  <c r="D657" i="1"/>
  <c r="E656" i="1"/>
  <c r="D656" i="1"/>
  <c r="E655" i="1"/>
  <c r="D655" i="1"/>
  <c r="E654" i="1"/>
  <c r="D654" i="1"/>
  <c r="E653" i="1"/>
  <c r="D653" i="1"/>
  <c r="E652" i="1"/>
  <c r="D652" i="1"/>
  <c r="E651" i="1"/>
  <c r="D651" i="1"/>
  <c r="E650" i="1"/>
  <c r="D650" i="1"/>
  <c r="E649" i="1"/>
  <c r="D649" i="1"/>
  <c r="E648" i="1"/>
  <c r="D648" i="1"/>
  <c r="E647" i="1"/>
  <c r="D647" i="1"/>
  <c r="E646" i="1"/>
  <c r="D646" i="1"/>
  <c r="E645" i="1"/>
  <c r="D645" i="1"/>
  <c r="E644" i="1"/>
  <c r="D644" i="1"/>
  <c r="E643" i="1"/>
  <c r="D643" i="1"/>
  <c r="E642" i="1"/>
  <c r="D642" i="1"/>
  <c r="E641" i="1"/>
  <c r="D641" i="1"/>
  <c r="E640" i="1"/>
  <c r="D640" i="1"/>
  <c r="E639" i="1"/>
  <c r="D639" i="1"/>
  <c r="E638" i="1"/>
  <c r="D638" i="1"/>
  <c r="E637" i="1"/>
  <c r="D637" i="1"/>
  <c r="E636" i="1"/>
  <c r="D636" i="1"/>
  <c r="E635" i="1"/>
  <c r="D635" i="1"/>
  <c r="E634" i="1"/>
  <c r="D634" i="1"/>
  <c r="E633" i="1"/>
  <c r="D633" i="1"/>
  <c r="E632" i="1"/>
  <c r="D632" i="1"/>
  <c r="E631" i="1"/>
  <c r="D631" i="1"/>
  <c r="E630" i="1"/>
  <c r="D630" i="1"/>
  <c r="E629" i="1"/>
  <c r="D629" i="1"/>
  <c r="E628" i="1"/>
  <c r="D628" i="1"/>
  <c r="E627" i="1"/>
  <c r="D627" i="1"/>
  <c r="E626" i="1"/>
  <c r="D626" i="1"/>
  <c r="E625" i="1"/>
  <c r="D625" i="1"/>
  <c r="E624" i="1"/>
  <c r="D624" i="1"/>
  <c r="E623" i="1"/>
  <c r="D623" i="1"/>
  <c r="E622" i="1"/>
  <c r="D622" i="1"/>
  <c r="E621" i="1"/>
  <c r="D621" i="1"/>
  <c r="E620" i="1"/>
  <c r="D620" i="1"/>
  <c r="E619" i="1"/>
  <c r="D619" i="1"/>
  <c r="E618" i="1"/>
  <c r="D618" i="1"/>
  <c r="E617" i="1"/>
  <c r="D617" i="1"/>
  <c r="E616" i="1"/>
  <c r="D616" i="1"/>
  <c r="E615" i="1"/>
  <c r="D615" i="1"/>
  <c r="E614" i="1"/>
  <c r="D614" i="1"/>
  <c r="E613" i="1"/>
  <c r="D613" i="1"/>
  <c r="E612" i="1"/>
  <c r="D612" i="1"/>
  <c r="E611" i="1"/>
  <c r="D611" i="1"/>
  <c r="E610" i="1"/>
  <c r="D610" i="1"/>
  <c r="E609" i="1"/>
  <c r="D609" i="1"/>
  <c r="E608" i="1"/>
  <c r="D608" i="1"/>
  <c r="E607" i="1"/>
  <c r="D607" i="1"/>
  <c r="E606" i="1"/>
  <c r="D606" i="1"/>
  <c r="E605" i="1"/>
  <c r="D605" i="1"/>
  <c r="E604" i="1"/>
  <c r="D604" i="1"/>
  <c r="E603" i="1"/>
  <c r="D603" i="1"/>
  <c r="E602" i="1"/>
  <c r="D602" i="1"/>
  <c r="E601" i="1"/>
  <c r="D601" i="1"/>
  <c r="E600" i="1"/>
  <c r="D600" i="1"/>
  <c r="E599" i="1"/>
  <c r="D599" i="1"/>
  <c r="E598" i="1"/>
  <c r="D598" i="1"/>
  <c r="E597" i="1"/>
  <c r="D597" i="1"/>
  <c r="E596" i="1"/>
  <c r="D596" i="1"/>
  <c r="E595" i="1"/>
  <c r="D595" i="1"/>
  <c r="E594" i="1"/>
  <c r="D594" i="1"/>
  <c r="E593" i="1"/>
  <c r="D593" i="1"/>
  <c r="E592" i="1"/>
  <c r="D592" i="1"/>
  <c r="E591" i="1"/>
  <c r="D591" i="1"/>
  <c r="E590" i="1"/>
  <c r="D590" i="1"/>
  <c r="E589" i="1"/>
  <c r="D589" i="1"/>
  <c r="E588" i="1"/>
  <c r="D588" i="1"/>
  <c r="E587" i="1"/>
  <c r="D587" i="1"/>
  <c r="E586" i="1"/>
  <c r="D586" i="1"/>
  <c r="E585" i="1"/>
  <c r="D585" i="1"/>
  <c r="E584" i="1"/>
  <c r="D584" i="1"/>
  <c r="E583" i="1"/>
  <c r="D583" i="1"/>
  <c r="E582" i="1"/>
  <c r="D582" i="1"/>
  <c r="E581" i="1"/>
  <c r="D581" i="1"/>
  <c r="E580" i="1"/>
  <c r="D580" i="1"/>
  <c r="E579" i="1"/>
  <c r="D579" i="1"/>
  <c r="E578" i="1"/>
  <c r="D578" i="1"/>
  <c r="E577" i="1"/>
  <c r="D577" i="1"/>
  <c r="E576" i="1"/>
  <c r="D576" i="1"/>
  <c r="E575" i="1"/>
  <c r="D575" i="1"/>
  <c r="E574" i="1"/>
  <c r="D574" i="1"/>
  <c r="E573" i="1"/>
  <c r="D573" i="1"/>
  <c r="E572" i="1"/>
  <c r="D572" i="1"/>
  <c r="E571" i="1"/>
  <c r="D571" i="1"/>
  <c r="E570" i="1"/>
  <c r="D570" i="1"/>
  <c r="E569" i="1"/>
  <c r="D569" i="1"/>
  <c r="E568" i="1"/>
  <c r="D568" i="1"/>
  <c r="E567" i="1"/>
  <c r="D567" i="1"/>
  <c r="E566" i="1"/>
  <c r="D566" i="1"/>
  <c r="E565" i="1"/>
  <c r="D565" i="1"/>
  <c r="E564" i="1"/>
  <c r="D564" i="1"/>
  <c r="E563" i="1"/>
  <c r="D563" i="1"/>
  <c r="E562" i="1"/>
  <c r="D562" i="1"/>
  <c r="E561" i="1"/>
  <c r="D561" i="1"/>
  <c r="E560" i="1"/>
  <c r="D560" i="1"/>
  <c r="E559" i="1"/>
  <c r="D559" i="1"/>
  <c r="E558" i="1"/>
  <c r="D558" i="1"/>
  <c r="E557" i="1"/>
  <c r="D557" i="1"/>
  <c r="E556" i="1"/>
  <c r="D556" i="1"/>
  <c r="E555" i="1"/>
  <c r="D555" i="1"/>
  <c r="E554" i="1"/>
  <c r="D554" i="1"/>
  <c r="E553" i="1"/>
  <c r="D553" i="1"/>
  <c r="E552" i="1"/>
  <c r="D552" i="1"/>
  <c r="E551" i="1"/>
  <c r="D551" i="1"/>
  <c r="E550" i="1"/>
  <c r="D550" i="1"/>
  <c r="E549" i="1"/>
  <c r="D549" i="1"/>
  <c r="E548" i="1"/>
  <c r="D548" i="1"/>
  <c r="E547" i="1"/>
  <c r="D547" i="1"/>
  <c r="E546" i="1"/>
  <c r="D546" i="1"/>
  <c r="E545" i="1"/>
  <c r="D545" i="1"/>
  <c r="E544" i="1"/>
  <c r="D544" i="1"/>
  <c r="E543" i="1"/>
  <c r="D543" i="1"/>
  <c r="E542" i="1"/>
  <c r="D542" i="1"/>
  <c r="E541" i="1"/>
  <c r="D541" i="1"/>
  <c r="E540" i="1"/>
  <c r="D540" i="1"/>
  <c r="E539" i="1"/>
  <c r="D539" i="1"/>
  <c r="E538" i="1"/>
  <c r="D538" i="1"/>
  <c r="E537" i="1"/>
  <c r="D537" i="1"/>
  <c r="E536" i="1"/>
  <c r="D536" i="1"/>
  <c r="E535" i="1"/>
  <c r="D535" i="1"/>
  <c r="E534" i="1"/>
  <c r="D534" i="1"/>
  <c r="E533" i="1"/>
  <c r="D533" i="1"/>
  <c r="E532" i="1"/>
  <c r="D532" i="1"/>
  <c r="E531" i="1"/>
  <c r="D531" i="1"/>
  <c r="E530" i="1"/>
  <c r="D530" i="1"/>
  <c r="E529" i="1"/>
  <c r="D529" i="1"/>
  <c r="E528" i="1"/>
  <c r="D528" i="1"/>
  <c r="E527" i="1"/>
  <c r="D527" i="1"/>
  <c r="E526" i="1"/>
  <c r="D526" i="1"/>
  <c r="E525" i="1"/>
  <c r="D525" i="1"/>
  <c r="E524" i="1"/>
  <c r="D524" i="1"/>
  <c r="E523" i="1"/>
  <c r="D523" i="1"/>
  <c r="E522" i="1"/>
  <c r="D522" i="1"/>
  <c r="E521" i="1"/>
  <c r="D521" i="1"/>
  <c r="E520" i="1"/>
  <c r="D520" i="1"/>
  <c r="E519" i="1"/>
  <c r="D519" i="1"/>
  <c r="E518" i="1"/>
  <c r="D518" i="1"/>
  <c r="E517" i="1"/>
  <c r="D517" i="1"/>
  <c r="E516" i="1"/>
  <c r="D516" i="1"/>
  <c r="E515" i="1"/>
  <c r="D515" i="1"/>
  <c r="E514" i="1"/>
  <c r="D514" i="1"/>
  <c r="E513" i="1"/>
  <c r="D513" i="1"/>
  <c r="E512" i="1"/>
  <c r="D512" i="1"/>
  <c r="E511" i="1"/>
  <c r="D511" i="1"/>
  <c r="E510" i="1"/>
  <c r="D510" i="1"/>
  <c r="E509" i="1"/>
  <c r="D509" i="1"/>
  <c r="E508" i="1"/>
  <c r="D508" i="1"/>
  <c r="E507" i="1"/>
  <c r="D507" i="1"/>
  <c r="E506" i="1"/>
  <c r="D506" i="1"/>
  <c r="E505" i="1"/>
  <c r="D505" i="1"/>
  <c r="E504" i="1"/>
  <c r="D504" i="1"/>
  <c r="E503" i="1"/>
  <c r="D503" i="1"/>
  <c r="E502" i="1"/>
  <c r="D502" i="1"/>
  <c r="E501" i="1"/>
  <c r="D501" i="1"/>
  <c r="E500" i="1"/>
  <c r="D500" i="1"/>
  <c r="E499" i="1"/>
  <c r="D499" i="1"/>
  <c r="E498" i="1"/>
  <c r="D498" i="1"/>
  <c r="E497" i="1"/>
  <c r="D497" i="1"/>
  <c r="E496" i="1"/>
  <c r="D496" i="1"/>
  <c r="E495" i="1"/>
  <c r="D495" i="1"/>
  <c r="E494" i="1"/>
  <c r="D494" i="1"/>
  <c r="E493" i="1"/>
  <c r="D493" i="1"/>
  <c r="E492" i="1"/>
  <c r="D492" i="1"/>
  <c r="E491" i="1"/>
  <c r="D491" i="1"/>
  <c r="E490" i="1"/>
  <c r="D490" i="1"/>
  <c r="E489" i="1"/>
  <c r="D489" i="1"/>
  <c r="E488" i="1"/>
  <c r="D488" i="1"/>
  <c r="E487" i="1"/>
  <c r="D487" i="1"/>
  <c r="E486" i="1"/>
  <c r="D486" i="1"/>
  <c r="E485" i="1"/>
  <c r="D485" i="1"/>
  <c r="E484" i="1"/>
  <c r="D484" i="1"/>
  <c r="E483" i="1"/>
  <c r="D483" i="1"/>
  <c r="E482" i="1"/>
  <c r="D482" i="1"/>
  <c r="E481" i="1"/>
  <c r="D481" i="1"/>
  <c r="E480" i="1"/>
  <c r="D480" i="1"/>
  <c r="E479" i="1"/>
  <c r="D479" i="1"/>
  <c r="E478" i="1"/>
  <c r="D478" i="1"/>
  <c r="E477" i="1"/>
  <c r="D477" i="1"/>
  <c r="E476" i="1"/>
  <c r="D476" i="1"/>
  <c r="E475" i="1"/>
  <c r="D475" i="1"/>
  <c r="E474" i="1"/>
  <c r="D474" i="1"/>
  <c r="E473" i="1"/>
  <c r="D473" i="1"/>
  <c r="E472" i="1"/>
  <c r="D472" i="1"/>
  <c r="E471" i="1"/>
  <c r="D471" i="1"/>
  <c r="E470" i="1"/>
  <c r="D470" i="1"/>
  <c r="E469" i="1"/>
  <c r="D469" i="1"/>
  <c r="E468" i="1"/>
  <c r="D468" i="1"/>
  <c r="E467" i="1"/>
  <c r="D467" i="1"/>
  <c r="E466" i="1"/>
  <c r="D466" i="1"/>
  <c r="E465" i="1"/>
  <c r="D465" i="1"/>
  <c r="E464" i="1"/>
  <c r="D464" i="1"/>
  <c r="E463" i="1"/>
  <c r="D463" i="1"/>
  <c r="E462" i="1"/>
  <c r="D462" i="1"/>
  <c r="E461" i="1"/>
  <c r="D461" i="1"/>
  <c r="E460" i="1"/>
  <c r="D460" i="1"/>
  <c r="E459" i="1"/>
  <c r="D459" i="1"/>
  <c r="E458" i="1"/>
  <c r="D458" i="1"/>
  <c r="E457" i="1"/>
  <c r="D457" i="1"/>
  <c r="E456" i="1"/>
  <c r="D456" i="1"/>
  <c r="E455" i="1"/>
  <c r="D455" i="1"/>
  <c r="E454" i="1"/>
  <c r="D454" i="1"/>
  <c r="E453" i="1"/>
  <c r="D453" i="1"/>
  <c r="E452" i="1"/>
  <c r="D452" i="1"/>
  <c r="E451" i="1"/>
  <c r="D451" i="1"/>
  <c r="E450" i="1"/>
  <c r="D450" i="1"/>
  <c r="E449" i="1"/>
  <c r="D449" i="1"/>
  <c r="E448" i="1"/>
  <c r="D448" i="1"/>
  <c r="E447" i="1"/>
  <c r="D447" i="1"/>
  <c r="E446" i="1"/>
  <c r="D446" i="1"/>
  <c r="E445" i="1"/>
  <c r="D445" i="1"/>
  <c r="E444" i="1"/>
  <c r="D444" i="1"/>
  <c r="E443" i="1"/>
  <c r="D443" i="1"/>
  <c r="E442" i="1"/>
  <c r="D442" i="1"/>
  <c r="E441" i="1"/>
  <c r="D441" i="1"/>
  <c r="E440" i="1"/>
  <c r="D440" i="1"/>
  <c r="E439" i="1"/>
  <c r="D439" i="1"/>
  <c r="E438" i="1"/>
  <c r="D438" i="1"/>
  <c r="E437" i="1"/>
  <c r="D437" i="1"/>
  <c r="E436" i="1"/>
  <c r="D436" i="1"/>
  <c r="E435" i="1"/>
  <c r="D435" i="1"/>
  <c r="E434" i="1"/>
  <c r="D434" i="1"/>
  <c r="E433" i="1"/>
  <c r="D433" i="1"/>
  <c r="E432" i="1"/>
  <c r="D432" i="1"/>
  <c r="E431" i="1"/>
  <c r="D431" i="1"/>
  <c r="E430" i="1"/>
  <c r="D430" i="1"/>
  <c r="E429" i="1"/>
  <c r="D429" i="1"/>
  <c r="E428" i="1"/>
  <c r="D428" i="1"/>
  <c r="E427" i="1"/>
  <c r="D427" i="1"/>
  <c r="E426" i="1"/>
  <c r="D426" i="1"/>
  <c r="E425" i="1"/>
  <c r="D425" i="1"/>
  <c r="E424" i="1"/>
  <c r="D424" i="1"/>
  <c r="E423" i="1"/>
  <c r="D423" i="1"/>
  <c r="E422" i="1"/>
  <c r="D422" i="1"/>
  <c r="E421" i="1"/>
  <c r="D421" i="1"/>
  <c r="E420" i="1"/>
  <c r="D420" i="1"/>
  <c r="E419" i="1"/>
  <c r="D419" i="1"/>
  <c r="E418" i="1"/>
  <c r="D418" i="1"/>
  <c r="E417" i="1"/>
  <c r="D417" i="1"/>
  <c r="E416" i="1"/>
  <c r="D416" i="1"/>
  <c r="E415" i="1"/>
  <c r="D415" i="1"/>
  <c r="E414" i="1"/>
  <c r="D414" i="1"/>
  <c r="E413" i="1"/>
  <c r="D413" i="1"/>
  <c r="E412" i="1"/>
  <c r="D412" i="1"/>
  <c r="E411" i="1"/>
  <c r="D411" i="1"/>
  <c r="E410" i="1"/>
  <c r="D410" i="1"/>
  <c r="E409" i="1"/>
  <c r="D409" i="1"/>
  <c r="E408" i="1"/>
  <c r="D408" i="1"/>
  <c r="E407" i="1"/>
  <c r="D407" i="1"/>
  <c r="E406" i="1"/>
  <c r="D406" i="1"/>
  <c r="E405" i="1"/>
  <c r="D405" i="1"/>
  <c r="E404" i="1"/>
  <c r="D404" i="1"/>
  <c r="E403" i="1"/>
  <c r="D403" i="1"/>
  <c r="E402" i="1"/>
  <c r="D402" i="1"/>
  <c r="E401" i="1"/>
  <c r="D401" i="1"/>
  <c r="E400" i="1"/>
  <c r="D400" i="1"/>
  <c r="E399" i="1"/>
  <c r="D399" i="1"/>
  <c r="E398" i="1"/>
  <c r="D398" i="1"/>
  <c r="E397" i="1"/>
  <c r="D397" i="1"/>
  <c r="E396" i="1"/>
  <c r="D396" i="1"/>
  <c r="E395" i="1"/>
  <c r="D395" i="1"/>
  <c r="E394" i="1"/>
  <c r="D394" i="1"/>
  <c r="E393" i="1"/>
  <c r="D393" i="1"/>
  <c r="E392" i="1"/>
  <c r="D392" i="1"/>
  <c r="E391" i="1"/>
  <c r="D391" i="1"/>
  <c r="E390" i="1"/>
  <c r="D390" i="1"/>
  <c r="E389" i="1"/>
  <c r="D389" i="1"/>
  <c r="E388" i="1"/>
  <c r="D388" i="1"/>
  <c r="E387" i="1"/>
  <c r="D387" i="1"/>
  <c r="E386" i="1"/>
  <c r="D386" i="1"/>
  <c r="E385" i="1"/>
  <c r="D385" i="1"/>
  <c r="E384" i="1"/>
  <c r="D384" i="1"/>
  <c r="E383" i="1"/>
  <c r="D383" i="1"/>
  <c r="E382" i="1"/>
  <c r="D382" i="1"/>
  <c r="E381" i="1"/>
  <c r="D381" i="1"/>
  <c r="E380" i="1"/>
  <c r="D380" i="1"/>
  <c r="E379" i="1"/>
  <c r="D379" i="1"/>
  <c r="E378" i="1"/>
  <c r="D378" i="1"/>
  <c r="E377" i="1"/>
  <c r="D377" i="1"/>
  <c r="E376" i="1"/>
  <c r="D376" i="1"/>
  <c r="E375" i="1"/>
  <c r="D375" i="1"/>
  <c r="E374" i="1"/>
  <c r="D374" i="1"/>
  <c r="E373" i="1"/>
  <c r="D373" i="1"/>
  <c r="E372" i="1"/>
  <c r="D372" i="1"/>
  <c r="E371" i="1"/>
  <c r="D371" i="1"/>
  <c r="E370" i="1"/>
  <c r="D370" i="1"/>
  <c r="E369" i="1"/>
  <c r="D369" i="1"/>
  <c r="E368" i="1"/>
  <c r="D368" i="1"/>
  <c r="E367" i="1"/>
  <c r="D367" i="1"/>
  <c r="E366" i="1"/>
  <c r="D366" i="1"/>
  <c r="E365" i="1"/>
  <c r="D365" i="1"/>
  <c r="E364" i="1"/>
  <c r="D364" i="1"/>
  <c r="E363" i="1"/>
  <c r="D363" i="1"/>
  <c r="E362" i="1"/>
  <c r="D362" i="1"/>
  <c r="E361" i="1"/>
  <c r="D361" i="1"/>
  <c r="E360" i="1"/>
  <c r="D360" i="1"/>
  <c r="E359" i="1"/>
  <c r="D359" i="1"/>
  <c r="E358" i="1"/>
  <c r="D358" i="1"/>
  <c r="E357" i="1"/>
  <c r="D357" i="1"/>
  <c r="E356" i="1"/>
  <c r="D356" i="1"/>
  <c r="E355" i="1"/>
  <c r="D355" i="1"/>
  <c r="E354" i="1"/>
  <c r="D354" i="1"/>
  <c r="E353" i="1"/>
  <c r="D353" i="1"/>
  <c r="E352" i="1"/>
  <c r="D352" i="1"/>
  <c r="E351" i="1"/>
  <c r="D351" i="1"/>
  <c r="E350" i="1"/>
  <c r="D350" i="1"/>
  <c r="E349" i="1"/>
  <c r="D349" i="1"/>
  <c r="E348" i="1"/>
  <c r="D348" i="1"/>
  <c r="E347" i="1"/>
  <c r="D347" i="1"/>
  <c r="E346" i="1"/>
  <c r="D346" i="1"/>
  <c r="E345" i="1"/>
  <c r="D345" i="1"/>
  <c r="E344" i="1"/>
  <c r="D344" i="1"/>
  <c r="E343" i="1"/>
  <c r="D343" i="1"/>
  <c r="E342" i="1"/>
  <c r="D342" i="1"/>
  <c r="E341" i="1"/>
  <c r="D341" i="1"/>
  <c r="E340" i="1"/>
  <c r="D340" i="1"/>
  <c r="E339" i="1"/>
  <c r="D339" i="1"/>
  <c r="E338" i="1"/>
  <c r="D338" i="1"/>
  <c r="E337" i="1"/>
  <c r="D337" i="1"/>
  <c r="E336" i="1"/>
  <c r="D336" i="1"/>
  <c r="E335" i="1"/>
  <c r="D335" i="1"/>
  <c r="E334" i="1"/>
  <c r="D334" i="1"/>
  <c r="E333" i="1"/>
  <c r="D333" i="1"/>
  <c r="E332" i="1"/>
  <c r="D332" i="1"/>
  <c r="E331" i="1"/>
  <c r="D331" i="1"/>
  <c r="E330" i="1"/>
  <c r="D330" i="1"/>
  <c r="E329" i="1"/>
  <c r="D329" i="1"/>
  <c r="E328" i="1"/>
  <c r="D328" i="1"/>
  <c r="E327" i="1"/>
  <c r="D327" i="1"/>
  <c r="E326" i="1"/>
  <c r="D326" i="1"/>
  <c r="E325" i="1"/>
  <c r="D325" i="1"/>
  <c r="E324" i="1"/>
  <c r="D324" i="1"/>
  <c r="E323" i="1"/>
  <c r="D323" i="1"/>
  <c r="E322" i="1"/>
  <c r="D322" i="1"/>
  <c r="E321" i="1"/>
  <c r="D321" i="1"/>
  <c r="E320" i="1"/>
  <c r="D320" i="1"/>
  <c r="E319" i="1"/>
  <c r="D319" i="1"/>
  <c r="E318" i="1"/>
  <c r="D318" i="1"/>
  <c r="E317" i="1"/>
  <c r="D317" i="1"/>
  <c r="E316" i="1"/>
  <c r="D316" i="1"/>
  <c r="E315" i="1"/>
  <c r="D315" i="1"/>
  <c r="E314" i="1"/>
  <c r="D314" i="1"/>
  <c r="E313" i="1"/>
  <c r="D313" i="1"/>
  <c r="E312" i="1"/>
  <c r="D312" i="1"/>
  <c r="E311" i="1"/>
  <c r="D311" i="1"/>
  <c r="E310" i="1"/>
  <c r="D310" i="1"/>
  <c r="E309" i="1"/>
  <c r="D309" i="1"/>
  <c r="E308" i="1"/>
  <c r="D308" i="1"/>
  <c r="E307" i="1"/>
  <c r="D307" i="1"/>
  <c r="E306" i="1"/>
  <c r="D306" i="1"/>
  <c r="E305" i="1"/>
  <c r="D305" i="1"/>
  <c r="E304" i="1"/>
  <c r="D304" i="1"/>
  <c r="E303" i="1"/>
  <c r="D303" i="1"/>
  <c r="E302" i="1"/>
  <c r="D302" i="1"/>
  <c r="E301" i="1"/>
  <c r="D301" i="1"/>
  <c r="E300" i="1"/>
  <c r="D300" i="1"/>
  <c r="E299" i="1"/>
  <c r="D299" i="1"/>
  <c r="E298" i="1"/>
  <c r="D298" i="1"/>
  <c r="E297" i="1"/>
  <c r="D297" i="1"/>
  <c r="E296" i="1"/>
  <c r="D296" i="1"/>
  <c r="E295" i="1"/>
  <c r="D295" i="1"/>
  <c r="E294" i="1"/>
  <c r="D294" i="1"/>
  <c r="E293" i="1"/>
  <c r="D293" i="1"/>
  <c r="E292" i="1"/>
  <c r="D292" i="1"/>
  <c r="E291" i="1"/>
  <c r="D291" i="1"/>
  <c r="E290" i="1"/>
  <c r="D290" i="1"/>
  <c r="E289" i="1"/>
  <c r="D289" i="1"/>
  <c r="E288" i="1"/>
  <c r="D288" i="1"/>
  <c r="E287" i="1"/>
  <c r="D287" i="1"/>
  <c r="E286" i="1"/>
  <c r="D286" i="1"/>
  <c r="E285" i="1"/>
  <c r="D285" i="1"/>
  <c r="E284" i="1"/>
  <c r="D284" i="1"/>
  <c r="E283" i="1"/>
  <c r="D283" i="1"/>
  <c r="E282" i="1"/>
  <c r="D282" i="1"/>
  <c r="E281" i="1"/>
  <c r="D281" i="1"/>
  <c r="E280" i="1"/>
  <c r="D280" i="1"/>
  <c r="E279" i="1"/>
  <c r="D279" i="1"/>
  <c r="E278" i="1"/>
  <c r="D278" i="1"/>
  <c r="E277" i="1"/>
  <c r="D277" i="1"/>
  <c r="E276" i="1"/>
  <c r="D276" i="1"/>
  <c r="E275" i="1"/>
  <c r="D275" i="1"/>
  <c r="E274" i="1"/>
  <c r="D274" i="1"/>
  <c r="E273" i="1"/>
  <c r="D273" i="1"/>
  <c r="E272" i="1"/>
  <c r="D272" i="1"/>
  <c r="E271" i="1"/>
  <c r="D271" i="1"/>
  <c r="E270" i="1"/>
  <c r="D270" i="1"/>
  <c r="E269" i="1"/>
  <c r="D269" i="1"/>
  <c r="E268" i="1"/>
  <c r="D268" i="1"/>
  <c r="E267" i="1"/>
  <c r="D267" i="1"/>
  <c r="E266" i="1"/>
  <c r="D266" i="1"/>
  <c r="E265" i="1"/>
  <c r="D265" i="1"/>
  <c r="E264" i="1"/>
  <c r="D264" i="1"/>
  <c r="E263" i="1"/>
  <c r="D263" i="1"/>
  <c r="E262" i="1"/>
  <c r="D262" i="1"/>
  <c r="E261" i="1"/>
  <c r="D261" i="1"/>
  <c r="E260" i="1"/>
  <c r="D260" i="1"/>
  <c r="E259" i="1"/>
  <c r="D259" i="1"/>
  <c r="E258" i="1"/>
  <c r="D258" i="1"/>
  <c r="E257" i="1"/>
  <c r="D257" i="1"/>
  <c r="E256" i="1"/>
  <c r="D256" i="1"/>
  <c r="E255" i="1"/>
  <c r="D255" i="1"/>
  <c r="E254" i="1"/>
  <c r="D254" i="1"/>
  <c r="E253" i="1"/>
  <c r="D253" i="1"/>
  <c r="E252" i="1"/>
  <c r="D252" i="1"/>
  <c r="E251" i="1"/>
  <c r="D251" i="1"/>
  <c r="E250" i="1"/>
  <c r="D250" i="1"/>
  <c r="E249" i="1"/>
  <c r="D249" i="1"/>
  <c r="E248" i="1"/>
  <c r="D248" i="1"/>
  <c r="E247" i="1"/>
  <c r="D247" i="1"/>
  <c r="E246" i="1"/>
  <c r="D246" i="1"/>
  <c r="E245" i="1"/>
  <c r="D245" i="1"/>
  <c r="E244" i="1"/>
  <c r="D244" i="1"/>
  <c r="E243" i="1"/>
  <c r="D243" i="1"/>
  <c r="E242" i="1"/>
  <c r="D242" i="1"/>
  <c r="E241" i="1"/>
  <c r="D241" i="1"/>
  <c r="E240" i="1"/>
  <c r="D240" i="1"/>
  <c r="E239" i="1"/>
  <c r="D239" i="1"/>
  <c r="E238" i="1"/>
  <c r="D238" i="1"/>
  <c r="E237" i="1"/>
  <c r="D237" i="1"/>
  <c r="E236" i="1"/>
  <c r="D236" i="1"/>
  <c r="E235" i="1"/>
  <c r="D235" i="1"/>
  <c r="E234" i="1"/>
  <c r="D234" i="1"/>
  <c r="E233" i="1"/>
  <c r="D233" i="1"/>
  <c r="E232" i="1"/>
  <c r="D232" i="1"/>
  <c r="E231" i="1"/>
  <c r="D231" i="1"/>
  <c r="E230" i="1"/>
  <c r="D230" i="1"/>
  <c r="E229" i="1"/>
  <c r="D229" i="1"/>
  <c r="E228" i="1"/>
  <c r="D228" i="1"/>
  <c r="E227" i="1"/>
  <c r="D227" i="1"/>
  <c r="E226" i="1"/>
  <c r="D226" i="1"/>
  <c r="E225" i="1"/>
  <c r="D225" i="1"/>
  <c r="E224" i="1"/>
  <c r="D224" i="1"/>
  <c r="E223" i="1"/>
  <c r="D223" i="1"/>
  <c r="E222" i="1"/>
  <c r="D222" i="1"/>
  <c r="E221" i="1"/>
  <c r="D221" i="1"/>
  <c r="E220" i="1"/>
  <c r="D220" i="1"/>
  <c r="E219" i="1"/>
  <c r="D219" i="1"/>
  <c r="E218" i="1"/>
  <c r="D218" i="1"/>
  <c r="E217" i="1"/>
  <c r="D217" i="1"/>
  <c r="E216" i="1"/>
  <c r="D216" i="1"/>
  <c r="E215" i="1"/>
  <c r="D215" i="1"/>
  <c r="E214" i="1"/>
  <c r="D214" i="1"/>
  <c r="E213" i="1"/>
  <c r="D213" i="1"/>
  <c r="E212" i="1"/>
  <c r="D212" i="1"/>
  <c r="E211" i="1"/>
  <c r="D211" i="1"/>
  <c r="E210" i="1"/>
  <c r="D210" i="1"/>
  <c r="E209" i="1"/>
  <c r="D209" i="1"/>
  <c r="E208" i="1"/>
  <c r="D208" i="1"/>
  <c r="E207" i="1"/>
  <c r="D207" i="1"/>
  <c r="E206" i="1"/>
  <c r="D206" i="1"/>
  <c r="E205" i="1"/>
  <c r="D205" i="1"/>
  <c r="E204" i="1"/>
  <c r="D204" i="1"/>
  <c r="E203" i="1"/>
  <c r="D203" i="1"/>
  <c r="E202" i="1"/>
  <c r="D202" i="1"/>
  <c r="E201" i="1"/>
  <c r="D201" i="1"/>
  <c r="E200" i="1"/>
  <c r="D200" i="1"/>
  <c r="E199" i="1"/>
  <c r="D199" i="1"/>
  <c r="E198" i="1"/>
  <c r="D198" i="1"/>
  <c r="E197" i="1"/>
  <c r="D197" i="1"/>
  <c r="E196" i="1"/>
  <c r="D196" i="1"/>
  <c r="E195" i="1"/>
  <c r="D195" i="1"/>
  <c r="E194" i="1"/>
  <c r="D194" i="1"/>
  <c r="E193" i="1"/>
  <c r="D193" i="1"/>
  <c r="E192" i="1"/>
  <c r="D192" i="1"/>
  <c r="E191" i="1"/>
  <c r="D191" i="1"/>
  <c r="E190" i="1"/>
  <c r="D190" i="1"/>
  <c r="E189" i="1"/>
  <c r="D189" i="1"/>
  <c r="E188" i="1"/>
  <c r="D188" i="1"/>
  <c r="E187" i="1"/>
  <c r="D187" i="1"/>
  <c r="E186" i="1"/>
  <c r="D186" i="1"/>
  <c r="E185" i="1"/>
  <c r="D185" i="1"/>
  <c r="E184" i="1"/>
  <c r="D184" i="1"/>
  <c r="E183" i="1"/>
  <c r="D183" i="1"/>
  <c r="E182" i="1"/>
  <c r="D182" i="1"/>
  <c r="E181" i="1"/>
  <c r="D181" i="1"/>
  <c r="E180" i="1"/>
  <c r="D180" i="1"/>
  <c r="E179" i="1"/>
  <c r="D179" i="1"/>
  <c r="E178" i="1"/>
  <c r="D178" i="1"/>
  <c r="E177" i="1"/>
  <c r="D177" i="1"/>
  <c r="E176" i="1"/>
  <c r="D176" i="1"/>
  <c r="E175" i="1"/>
  <c r="D175" i="1"/>
  <c r="E174" i="1"/>
  <c r="D174" i="1"/>
  <c r="E173" i="1"/>
  <c r="D173" i="1"/>
  <c r="E172" i="1"/>
  <c r="D172" i="1"/>
  <c r="E171" i="1"/>
  <c r="D171" i="1"/>
  <c r="E170" i="1"/>
  <c r="D170" i="1"/>
  <c r="E169" i="1"/>
  <c r="D169" i="1"/>
  <c r="E168" i="1"/>
  <c r="D168" i="1"/>
  <c r="E167" i="1"/>
  <c r="D167" i="1"/>
  <c r="E166" i="1"/>
  <c r="D166" i="1"/>
  <c r="E165" i="1"/>
  <c r="D165" i="1"/>
  <c r="E164" i="1"/>
  <c r="D164" i="1"/>
  <c r="E163" i="1"/>
  <c r="D163" i="1"/>
  <c r="E162" i="1"/>
  <c r="D162" i="1"/>
  <c r="E161" i="1"/>
  <c r="D161" i="1"/>
  <c r="E160" i="1"/>
  <c r="D160" i="1"/>
  <c r="E159" i="1"/>
  <c r="D159" i="1"/>
  <c r="E158" i="1"/>
  <c r="D158" i="1"/>
  <c r="E157" i="1"/>
  <c r="D157" i="1"/>
  <c r="E156" i="1"/>
  <c r="D156" i="1"/>
  <c r="E155" i="1"/>
  <c r="D155" i="1"/>
  <c r="E154" i="1"/>
  <c r="D154" i="1"/>
  <c r="E153" i="1"/>
  <c r="D153" i="1"/>
  <c r="E152" i="1"/>
  <c r="D152" i="1"/>
  <c r="E151" i="1"/>
  <c r="D151" i="1"/>
  <c r="E150" i="1"/>
  <c r="D150" i="1"/>
  <c r="E149" i="1"/>
  <c r="D149" i="1"/>
  <c r="E148" i="1"/>
  <c r="D148" i="1"/>
  <c r="E147" i="1"/>
  <c r="D147" i="1"/>
  <c r="E146" i="1"/>
  <c r="D146" i="1"/>
  <c r="E145" i="1"/>
  <c r="D145" i="1"/>
  <c r="E144" i="1"/>
  <c r="D144" i="1"/>
  <c r="E143" i="1"/>
  <c r="D143" i="1"/>
  <c r="E142" i="1"/>
  <c r="D142" i="1"/>
  <c r="E141" i="1"/>
  <c r="D141" i="1"/>
  <c r="E140" i="1"/>
  <c r="D140" i="1"/>
  <c r="E139" i="1"/>
  <c r="D139" i="1"/>
  <c r="E138" i="1"/>
  <c r="D138" i="1"/>
  <c r="E137" i="1"/>
  <c r="D137" i="1"/>
  <c r="E136" i="1"/>
  <c r="D136" i="1"/>
  <c r="E135" i="1"/>
  <c r="D135" i="1"/>
  <c r="E134" i="1"/>
  <c r="D134" i="1"/>
  <c r="E133" i="1"/>
  <c r="D133" i="1"/>
  <c r="E132" i="1"/>
  <c r="D132" i="1"/>
  <c r="E131" i="1"/>
  <c r="D131" i="1"/>
  <c r="E130" i="1"/>
  <c r="D130" i="1"/>
  <c r="E129" i="1"/>
  <c r="D129" i="1"/>
  <c r="E128" i="1"/>
  <c r="D128" i="1"/>
  <c r="E127" i="1"/>
  <c r="D127" i="1"/>
  <c r="E126" i="1"/>
  <c r="D126" i="1"/>
  <c r="E125" i="1"/>
  <c r="D125" i="1"/>
  <c r="E124" i="1"/>
  <c r="D124" i="1"/>
  <c r="E123" i="1"/>
  <c r="D123" i="1"/>
  <c r="E122" i="1"/>
  <c r="D122" i="1"/>
  <c r="E121" i="1"/>
  <c r="D121" i="1"/>
  <c r="E120" i="1"/>
  <c r="D120" i="1"/>
  <c r="E119" i="1"/>
  <c r="D119" i="1"/>
  <c r="E118" i="1"/>
  <c r="D118" i="1"/>
  <c r="E117" i="1"/>
  <c r="D117" i="1"/>
  <c r="E116" i="1"/>
  <c r="D116" i="1"/>
  <c r="E115" i="1"/>
  <c r="D115" i="1"/>
  <c r="E114" i="1"/>
  <c r="D114" i="1"/>
  <c r="E113" i="1"/>
  <c r="D113" i="1"/>
  <c r="E112" i="1"/>
  <c r="D112" i="1"/>
  <c r="E111" i="1"/>
  <c r="D111" i="1"/>
  <c r="E110" i="1"/>
  <c r="D110" i="1"/>
  <c r="E109" i="1"/>
  <c r="D109" i="1"/>
  <c r="E108" i="1"/>
  <c r="D108" i="1"/>
  <c r="E107" i="1"/>
  <c r="D107" i="1"/>
  <c r="E106" i="1"/>
  <c r="D106" i="1"/>
  <c r="E105" i="1"/>
  <c r="D105" i="1"/>
  <c r="E104" i="1"/>
  <c r="D104" i="1"/>
  <c r="E103" i="1"/>
  <c r="D103" i="1"/>
  <c r="E102" i="1"/>
  <c r="D102" i="1"/>
  <c r="E101" i="1"/>
  <c r="D101" i="1"/>
  <c r="E100" i="1"/>
  <c r="D100" i="1"/>
  <c r="E99" i="1"/>
  <c r="D99" i="1"/>
  <c r="E98" i="1"/>
  <c r="D98" i="1"/>
  <c r="E97" i="1"/>
  <c r="D97" i="1"/>
  <c r="E96" i="1"/>
  <c r="D96" i="1"/>
  <c r="E95" i="1"/>
  <c r="D95" i="1"/>
  <c r="E94" i="1"/>
  <c r="D94" i="1"/>
  <c r="E93" i="1"/>
  <c r="D93" i="1"/>
  <c r="E92" i="1"/>
  <c r="D92" i="1"/>
  <c r="E91" i="1"/>
  <c r="D91" i="1"/>
  <c r="E90" i="1"/>
  <c r="D90" i="1"/>
  <c r="E89" i="1"/>
  <c r="D89" i="1"/>
  <c r="E88" i="1"/>
  <c r="D88" i="1"/>
  <c r="E87" i="1"/>
  <c r="D87" i="1"/>
  <c r="E86" i="1"/>
  <c r="D86" i="1"/>
  <c r="E85" i="1"/>
  <c r="D85" i="1"/>
  <c r="E84" i="1"/>
  <c r="D84" i="1"/>
  <c r="E83" i="1"/>
  <c r="D83" i="1"/>
  <c r="E82" i="1"/>
  <c r="D82" i="1"/>
  <c r="E81" i="1"/>
  <c r="D81" i="1"/>
  <c r="E80" i="1"/>
  <c r="D80" i="1"/>
  <c r="E79" i="1"/>
  <c r="D79" i="1"/>
  <c r="E78" i="1"/>
  <c r="D78" i="1"/>
  <c r="E77" i="1"/>
  <c r="D77" i="1"/>
  <c r="E76" i="1"/>
  <c r="D76" i="1"/>
  <c r="E75" i="1"/>
  <c r="D75" i="1"/>
  <c r="E74" i="1"/>
  <c r="D74" i="1"/>
  <c r="E73" i="1"/>
  <c r="D73" i="1"/>
  <c r="E72" i="1"/>
  <c r="D72" i="1"/>
  <c r="E71" i="1"/>
  <c r="D71" i="1"/>
  <c r="E70" i="1"/>
  <c r="D70" i="1"/>
  <c r="E69" i="1"/>
  <c r="D69" i="1"/>
  <c r="E68" i="1"/>
  <c r="D68" i="1"/>
  <c r="E67" i="1"/>
  <c r="D67" i="1"/>
  <c r="E66" i="1"/>
  <c r="D66" i="1"/>
  <c r="E65" i="1"/>
  <c r="D65" i="1"/>
  <c r="E64" i="1"/>
  <c r="D64" i="1"/>
  <c r="E63" i="1"/>
  <c r="D63" i="1"/>
  <c r="E62" i="1"/>
  <c r="D62" i="1"/>
  <c r="E61" i="1"/>
  <c r="D61" i="1"/>
  <c r="E60" i="1"/>
  <c r="D60" i="1"/>
  <c r="E59" i="1"/>
  <c r="D59" i="1"/>
  <c r="E58" i="1"/>
  <c r="D58" i="1"/>
  <c r="E57" i="1"/>
  <c r="D57" i="1"/>
  <c r="E56" i="1"/>
  <c r="D56" i="1"/>
  <c r="E55" i="1"/>
  <c r="D55" i="1"/>
  <c r="E54" i="1"/>
  <c r="D54" i="1"/>
  <c r="E53" i="1"/>
  <c r="D53" i="1"/>
  <c r="E52" i="1"/>
  <c r="D52" i="1"/>
  <c r="E51" i="1"/>
  <c r="D51" i="1"/>
  <c r="E50" i="1"/>
  <c r="D50" i="1"/>
  <c r="E49" i="1"/>
  <c r="D49" i="1"/>
  <c r="E48" i="1"/>
  <c r="D48" i="1"/>
  <c r="E47" i="1"/>
  <c r="D47" i="1"/>
  <c r="E46" i="1"/>
  <c r="D46" i="1"/>
  <c r="E45" i="1"/>
  <c r="D45" i="1"/>
  <c r="E44" i="1"/>
  <c r="D44" i="1"/>
  <c r="E43" i="1"/>
  <c r="D43" i="1"/>
  <c r="E42" i="1"/>
  <c r="D42" i="1"/>
  <c r="E41" i="1"/>
  <c r="D41" i="1"/>
  <c r="E40" i="1"/>
  <c r="D40" i="1"/>
  <c r="E39" i="1"/>
  <c r="D39" i="1"/>
  <c r="E38" i="1"/>
  <c r="D38" i="1"/>
  <c r="E37" i="1"/>
  <c r="D37" i="1"/>
  <c r="E36" i="1"/>
  <c r="D36" i="1"/>
  <c r="E35" i="1"/>
  <c r="D35" i="1"/>
  <c r="E34" i="1"/>
  <c r="D34" i="1"/>
  <c r="E33" i="1"/>
  <c r="D33" i="1"/>
  <c r="E32" i="1"/>
  <c r="D32" i="1"/>
  <c r="E31" i="1"/>
  <c r="D31" i="1"/>
  <c r="E30" i="1"/>
  <c r="D30" i="1"/>
  <c r="E29" i="1"/>
  <c r="D29" i="1"/>
  <c r="E28" i="1"/>
  <c r="D28" i="1"/>
  <c r="E27" i="1"/>
  <c r="D27" i="1"/>
  <c r="E26" i="1"/>
  <c r="D26" i="1"/>
  <c r="E25" i="1"/>
  <c r="D25" i="1"/>
  <c r="E24" i="1"/>
  <c r="D24" i="1"/>
  <c r="E23" i="1"/>
  <c r="D23" i="1"/>
  <c r="E22" i="1"/>
  <c r="D22" i="1"/>
  <c r="E21" i="1"/>
  <c r="D21" i="1"/>
  <c r="E20" i="1"/>
  <c r="D20" i="1"/>
  <c r="E19" i="1"/>
  <c r="D19" i="1"/>
  <c r="E18" i="1"/>
  <c r="D18" i="1"/>
  <c r="E17" i="1"/>
  <c r="D17" i="1"/>
  <c r="E16" i="1"/>
  <c r="D16" i="1"/>
  <c r="E15" i="1"/>
  <c r="D15" i="1"/>
  <c r="E14" i="1"/>
  <c r="D14" i="1"/>
  <c r="E13" i="1"/>
  <c r="D13" i="1"/>
  <c r="E12" i="1"/>
  <c r="D12" i="1"/>
  <c r="E11" i="1" l="1"/>
  <c r="D11" i="1"/>
  <c r="B6" i="2" l="1"/>
  <c r="N8" i="1" l="1"/>
  <c r="N5" i="1"/>
  <c r="N7" i="1"/>
  <c r="N6" i="1"/>
  <c r="N4" i="1"/>
  <c r="N3" i="1"/>
  <c r="N2" i="1"/>
  <c r="P5" i="1" l="1"/>
  <c r="F8" i="1"/>
  <c r="C1009" i="1"/>
  <c r="B1009" i="1"/>
  <c r="F1009" i="1" s="1"/>
  <c r="C1008" i="1"/>
  <c r="B1008" i="1"/>
  <c r="F1008" i="1" s="1"/>
  <c r="C1007" i="1"/>
  <c r="B1007" i="1"/>
  <c r="F1007" i="1" s="1"/>
  <c r="C1006" i="1"/>
  <c r="B1006" i="1"/>
  <c r="F1006" i="1" s="1"/>
  <c r="C1005" i="1"/>
  <c r="B1005" i="1"/>
  <c r="F1005" i="1" s="1"/>
  <c r="C1004" i="1"/>
  <c r="B1004" i="1"/>
  <c r="F1004" i="1" s="1"/>
  <c r="C1003" i="1"/>
  <c r="B1003" i="1"/>
  <c r="F1003" i="1" s="1"/>
  <c r="C1002" i="1"/>
  <c r="B1002" i="1"/>
  <c r="F1002" i="1" s="1"/>
  <c r="C1001" i="1"/>
  <c r="B1001" i="1"/>
  <c r="F1001" i="1" s="1"/>
  <c r="C1000" i="1"/>
  <c r="B1000" i="1"/>
  <c r="F1000" i="1" s="1"/>
  <c r="C999" i="1"/>
  <c r="B999" i="1"/>
  <c r="F999" i="1" s="1"/>
  <c r="C998" i="1"/>
  <c r="B998" i="1"/>
  <c r="F998" i="1" s="1"/>
  <c r="C997" i="1"/>
  <c r="B997" i="1"/>
  <c r="F997" i="1" s="1"/>
  <c r="C996" i="1"/>
  <c r="B996" i="1"/>
  <c r="F996" i="1" s="1"/>
  <c r="C995" i="1"/>
  <c r="B995" i="1"/>
  <c r="F995" i="1" s="1"/>
  <c r="C994" i="1"/>
  <c r="B994" i="1"/>
  <c r="F994" i="1" s="1"/>
  <c r="C993" i="1"/>
  <c r="B993" i="1"/>
  <c r="F993" i="1" s="1"/>
  <c r="C992" i="1"/>
  <c r="B992" i="1"/>
  <c r="F992" i="1" s="1"/>
  <c r="C991" i="1"/>
  <c r="B991" i="1"/>
  <c r="F991" i="1" s="1"/>
  <c r="C990" i="1"/>
  <c r="B990" i="1"/>
  <c r="F990" i="1" s="1"/>
  <c r="C989" i="1"/>
  <c r="B989" i="1"/>
  <c r="F989" i="1" s="1"/>
  <c r="C988" i="1"/>
  <c r="B988" i="1"/>
  <c r="F988" i="1" s="1"/>
  <c r="C987" i="1"/>
  <c r="B987" i="1"/>
  <c r="F987" i="1" s="1"/>
  <c r="C986" i="1"/>
  <c r="B986" i="1"/>
  <c r="F986" i="1" s="1"/>
  <c r="C985" i="1"/>
  <c r="B985" i="1"/>
  <c r="F985" i="1" s="1"/>
  <c r="C984" i="1"/>
  <c r="B984" i="1"/>
  <c r="F984" i="1" s="1"/>
  <c r="C983" i="1"/>
  <c r="B983" i="1"/>
  <c r="F983" i="1" s="1"/>
  <c r="C982" i="1"/>
  <c r="B982" i="1"/>
  <c r="F982" i="1" s="1"/>
  <c r="C981" i="1"/>
  <c r="B981" i="1"/>
  <c r="F981" i="1" s="1"/>
  <c r="C980" i="1"/>
  <c r="B980" i="1"/>
  <c r="F980" i="1" s="1"/>
  <c r="C979" i="1"/>
  <c r="B979" i="1"/>
  <c r="F979" i="1" s="1"/>
  <c r="C978" i="1"/>
  <c r="B978" i="1"/>
  <c r="F978" i="1" s="1"/>
  <c r="C977" i="1"/>
  <c r="B977" i="1"/>
  <c r="F977" i="1" s="1"/>
  <c r="C976" i="1"/>
  <c r="B976" i="1"/>
  <c r="F976" i="1" s="1"/>
  <c r="C975" i="1"/>
  <c r="B975" i="1"/>
  <c r="F975" i="1" s="1"/>
  <c r="C974" i="1"/>
  <c r="B974" i="1"/>
  <c r="F974" i="1" s="1"/>
  <c r="C973" i="1"/>
  <c r="B973" i="1"/>
  <c r="F973" i="1" s="1"/>
  <c r="C972" i="1"/>
  <c r="B972" i="1"/>
  <c r="F972" i="1" s="1"/>
  <c r="C971" i="1"/>
  <c r="B971" i="1"/>
  <c r="F971" i="1" s="1"/>
  <c r="C970" i="1"/>
  <c r="B970" i="1"/>
  <c r="F970" i="1" s="1"/>
  <c r="C969" i="1"/>
  <c r="B969" i="1"/>
  <c r="F969" i="1" s="1"/>
  <c r="C968" i="1"/>
  <c r="B968" i="1"/>
  <c r="F968" i="1" s="1"/>
  <c r="C967" i="1"/>
  <c r="B967" i="1"/>
  <c r="F967" i="1" s="1"/>
  <c r="C966" i="1"/>
  <c r="B966" i="1"/>
  <c r="F966" i="1" s="1"/>
  <c r="C965" i="1"/>
  <c r="B965" i="1"/>
  <c r="F965" i="1" s="1"/>
  <c r="C964" i="1"/>
  <c r="B964" i="1"/>
  <c r="F964" i="1" s="1"/>
  <c r="C963" i="1"/>
  <c r="B963" i="1"/>
  <c r="F963" i="1" s="1"/>
  <c r="C962" i="1"/>
  <c r="B962" i="1"/>
  <c r="F962" i="1" s="1"/>
  <c r="C961" i="1"/>
  <c r="B961" i="1"/>
  <c r="F961" i="1" s="1"/>
  <c r="C960" i="1"/>
  <c r="B960" i="1"/>
  <c r="F960" i="1" s="1"/>
  <c r="C959" i="1"/>
  <c r="B959" i="1"/>
  <c r="F959" i="1" s="1"/>
  <c r="C958" i="1"/>
  <c r="B958" i="1"/>
  <c r="F958" i="1" s="1"/>
  <c r="C957" i="1"/>
  <c r="B957" i="1"/>
  <c r="F957" i="1" s="1"/>
  <c r="C956" i="1"/>
  <c r="B956" i="1"/>
  <c r="F956" i="1" s="1"/>
  <c r="C955" i="1"/>
  <c r="B955" i="1"/>
  <c r="F955" i="1" s="1"/>
  <c r="C954" i="1"/>
  <c r="B954" i="1"/>
  <c r="F954" i="1" s="1"/>
  <c r="C953" i="1"/>
  <c r="B953" i="1"/>
  <c r="F953" i="1" s="1"/>
  <c r="C952" i="1"/>
  <c r="B952" i="1"/>
  <c r="F952" i="1" s="1"/>
  <c r="C951" i="1"/>
  <c r="B951" i="1"/>
  <c r="F951" i="1" s="1"/>
  <c r="C950" i="1"/>
  <c r="B950" i="1"/>
  <c r="F950" i="1" s="1"/>
  <c r="C949" i="1"/>
  <c r="B949" i="1"/>
  <c r="F949" i="1" s="1"/>
  <c r="C948" i="1"/>
  <c r="B948" i="1"/>
  <c r="F948" i="1" s="1"/>
  <c r="C947" i="1"/>
  <c r="B947" i="1"/>
  <c r="F947" i="1" s="1"/>
  <c r="C946" i="1"/>
  <c r="B946" i="1"/>
  <c r="F946" i="1" s="1"/>
  <c r="C945" i="1"/>
  <c r="B945" i="1"/>
  <c r="F945" i="1" s="1"/>
  <c r="C944" i="1"/>
  <c r="B944" i="1"/>
  <c r="F944" i="1" s="1"/>
  <c r="C943" i="1"/>
  <c r="B943" i="1"/>
  <c r="F943" i="1" s="1"/>
  <c r="C942" i="1"/>
  <c r="B942" i="1"/>
  <c r="F942" i="1" s="1"/>
  <c r="C941" i="1"/>
  <c r="B941" i="1"/>
  <c r="F941" i="1" s="1"/>
  <c r="C940" i="1"/>
  <c r="B940" i="1"/>
  <c r="F940" i="1" s="1"/>
  <c r="C939" i="1"/>
  <c r="B939" i="1"/>
  <c r="F939" i="1" s="1"/>
  <c r="C938" i="1"/>
  <c r="B938" i="1"/>
  <c r="F938" i="1" s="1"/>
  <c r="C937" i="1"/>
  <c r="B937" i="1"/>
  <c r="F937" i="1" s="1"/>
  <c r="C936" i="1"/>
  <c r="B936" i="1"/>
  <c r="F936" i="1" s="1"/>
  <c r="C935" i="1"/>
  <c r="B935" i="1"/>
  <c r="F935" i="1" s="1"/>
  <c r="C934" i="1"/>
  <c r="B934" i="1"/>
  <c r="F934" i="1" s="1"/>
  <c r="C933" i="1"/>
  <c r="B933" i="1"/>
  <c r="F933" i="1" s="1"/>
  <c r="C932" i="1"/>
  <c r="B932" i="1"/>
  <c r="F932" i="1" s="1"/>
  <c r="C931" i="1"/>
  <c r="B931" i="1"/>
  <c r="F931" i="1" s="1"/>
  <c r="C930" i="1"/>
  <c r="B930" i="1"/>
  <c r="F930" i="1" s="1"/>
  <c r="C929" i="1"/>
  <c r="B929" i="1"/>
  <c r="F929" i="1" s="1"/>
  <c r="C928" i="1"/>
  <c r="B928" i="1"/>
  <c r="F928" i="1" s="1"/>
  <c r="C927" i="1"/>
  <c r="B927" i="1"/>
  <c r="F927" i="1" s="1"/>
  <c r="C926" i="1"/>
  <c r="B926" i="1"/>
  <c r="F926" i="1" s="1"/>
  <c r="C925" i="1"/>
  <c r="B925" i="1"/>
  <c r="F925" i="1" s="1"/>
  <c r="C924" i="1"/>
  <c r="B924" i="1"/>
  <c r="F924" i="1" s="1"/>
  <c r="C923" i="1"/>
  <c r="B923" i="1"/>
  <c r="F923" i="1" s="1"/>
  <c r="C922" i="1"/>
  <c r="B922" i="1"/>
  <c r="F922" i="1" s="1"/>
  <c r="C921" i="1"/>
  <c r="B921" i="1"/>
  <c r="F921" i="1" s="1"/>
  <c r="C920" i="1"/>
  <c r="B920" i="1"/>
  <c r="F920" i="1" s="1"/>
  <c r="C919" i="1"/>
  <c r="B919" i="1"/>
  <c r="F919" i="1" s="1"/>
  <c r="C918" i="1"/>
  <c r="B918" i="1"/>
  <c r="F918" i="1" s="1"/>
  <c r="C917" i="1"/>
  <c r="B917" i="1"/>
  <c r="F917" i="1" s="1"/>
  <c r="C916" i="1"/>
  <c r="B916" i="1"/>
  <c r="F916" i="1" s="1"/>
  <c r="C915" i="1"/>
  <c r="B915" i="1"/>
  <c r="F915" i="1" s="1"/>
  <c r="C914" i="1"/>
  <c r="B914" i="1"/>
  <c r="F914" i="1" s="1"/>
  <c r="C913" i="1"/>
  <c r="B913" i="1"/>
  <c r="F913" i="1" s="1"/>
  <c r="C912" i="1"/>
  <c r="B912" i="1"/>
  <c r="F912" i="1" s="1"/>
  <c r="C911" i="1"/>
  <c r="B911" i="1"/>
  <c r="F911" i="1" s="1"/>
  <c r="C910" i="1"/>
  <c r="B910" i="1"/>
  <c r="F910" i="1" s="1"/>
  <c r="C909" i="1"/>
  <c r="B909" i="1"/>
  <c r="F909" i="1" s="1"/>
  <c r="C908" i="1"/>
  <c r="B908" i="1"/>
  <c r="F908" i="1" s="1"/>
  <c r="C907" i="1"/>
  <c r="B907" i="1"/>
  <c r="F907" i="1" s="1"/>
  <c r="C906" i="1"/>
  <c r="B906" i="1"/>
  <c r="F906" i="1" s="1"/>
  <c r="C905" i="1"/>
  <c r="B905" i="1"/>
  <c r="F905" i="1" s="1"/>
  <c r="C904" i="1"/>
  <c r="B904" i="1"/>
  <c r="F904" i="1" s="1"/>
  <c r="C903" i="1"/>
  <c r="B903" i="1"/>
  <c r="F903" i="1" s="1"/>
  <c r="C902" i="1"/>
  <c r="B902" i="1"/>
  <c r="F902" i="1" s="1"/>
  <c r="C901" i="1"/>
  <c r="B901" i="1"/>
  <c r="F901" i="1" s="1"/>
  <c r="C900" i="1"/>
  <c r="B900" i="1"/>
  <c r="F900" i="1" s="1"/>
  <c r="C899" i="1"/>
  <c r="B899" i="1"/>
  <c r="F899" i="1" s="1"/>
  <c r="C898" i="1"/>
  <c r="B898" i="1"/>
  <c r="F898" i="1" s="1"/>
  <c r="C897" i="1"/>
  <c r="B897" i="1"/>
  <c r="F897" i="1" s="1"/>
  <c r="C896" i="1"/>
  <c r="B896" i="1"/>
  <c r="F896" i="1" s="1"/>
  <c r="C895" i="1"/>
  <c r="B895" i="1"/>
  <c r="F895" i="1" s="1"/>
  <c r="C894" i="1"/>
  <c r="B894" i="1"/>
  <c r="F894" i="1" s="1"/>
  <c r="C893" i="1"/>
  <c r="B893" i="1"/>
  <c r="F893" i="1" s="1"/>
  <c r="C892" i="1"/>
  <c r="B892" i="1"/>
  <c r="F892" i="1" s="1"/>
  <c r="C891" i="1"/>
  <c r="B891" i="1"/>
  <c r="F891" i="1" s="1"/>
  <c r="C890" i="1"/>
  <c r="B890" i="1"/>
  <c r="F890" i="1" s="1"/>
  <c r="C889" i="1"/>
  <c r="B889" i="1"/>
  <c r="F889" i="1" s="1"/>
  <c r="C888" i="1"/>
  <c r="B888" i="1"/>
  <c r="F888" i="1" s="1"/>
  <c r="C887" i="1"/>
  <c r="B887" i="1"/>
  <c r="F887" i="1" s="1"/>
  <c r="C886" i="1"/>
  <c r="B886" i="1"/>
  <c r="F886" i="1" s="1"/>
  <c r="C885" i="1"/>
  <c r="B885" i="1"/>
  <c r="F885" i="1" s="1"/>
  <c r="C884" i="1"/>
  <c r="B884" i="1"/>
  <c r="F884" i="1" s="1"/>
  <c r="C883" i="1"/>
  <c r="B883" i="1"/>
  <c r="F883" i="1" s="1"/>
  <c r="C882" i="1"/>
  <c r="B882" i="1"/>
  <c r="F882" i="1" s="1"/>
  <c r="C881" i="1"/>
  <c r="B881" i="1"/>
  <c r="F881" i="1" s="1"/>
  <c r="C880" i="1"/>
  <c r="B880" i="1"/>
  <c r="F880" i="1" s="1"/>
  <c r="C879" i="1"/>
  <c r="B879" i="1"/>
  <c r="F879" i="1" s="1"/>
  <c r="C878" i="1"/>
  <c r="B878" i="1"/>
  <c r="F878" i="1" s="1"/>
  <c r="C877" i="1"/>
  <c r="B877" i="1"/>
  <c r="F877" i="1" s="1"/>
  <c r="C876" i="1"/>
  <c r="B876" i="1"/>
  <c r="F876" i="1" s="1"/>
  <c r="C875" i="1"/>
  <c r="B875" i="1"/>
  <c r="F875" i="1" s="1"/>
  <c r="C874" i="1"/>
  <c r="B874" i="1"/>
  <c r="F874" i="1" s="1"/>
  <c r="C873" i="1"/>
  <c r="B873" i="1"/>
  <c r="F873" i="1" s="1"/>
  <c r="C872" i="1"/>
  <c r="B872" i="1"/>
  <c r="F872" i="1" s="1"/>
  <c r="C871" i="1"/>
  <c r="B871" i="1"/>
  <c r="F871" i="1" s="1"/>
  <c r="C870" i="1"/>
  <c r="B870" i="1"/>
  <c r="F870" i="1" s="1"/>
  <c r="C869" i="1"/>
  <c r="B869" i="1"/>
  <c r="F869" i="1" s="1"/>
  <c r="C868" i="1"/>
  <c r="B868" i="1"/>
  <c r="F868" i="1" s="1"/>
  <c r="C867" i="1"/>
  <c r="B867" i="1"/>
  <c r="F867" i="1" s="1"/>
  <c r="C866" i="1"/>
  <c r="B866" i="1"/>
  <c r="F866" i="1" s="1"/>
  <c r="C865" i="1"/>
  <c r="B865" i="1"/>
  <c r="F865" i="1" s="1"/>
  <c r="C864" i="1"/>
  <c r="B864" i="1"/>
  <c r="F864" i="1" s="1"/>
  <c r="C863" i="1"/>
  <c r="B863" i="1"/>
  <c r="F863" i="1" s="1"/>
  <c r="C862" i="1"/>
  <c r="B862" i="1"/>
  <c r="F862" i="1" s="1"/>
  <c r="C861" i="1"/>
  <c r="B861" i="1"/>
  <c r="F861" i="1" s="1"/>
  <c r="C860" i="1"/>
  <c r="B860" i="1"/>
  <c r="F860" i="1" s="1"/>
  <c r="C859" i="1"/>
  <c r="B859" i="1"/>
  <c r="F859" i="1" s="1"/>
  <c r="C858" i="1"/>
  <c r="B858" i="1"/>
  <c r="F858" i="1" s="1"/>
  <c r="C857" i="1"/>
  <c r="B857" i="1"/>
  <c r="F857" i="1" s="1"/>
  <c r="C856" i="1"/>
  <c r="B856" i="1"/>
  <c r="F856" i="1" s="1"/>
  <c r="C855" i="1"/>
  <c r="B855" i="1"/>
  <c r="F855" i="1" s="1"/>
  <c r="C854" i="1"/>
  <c r="B854" i="1"/>
  <c r="F854" i="1" s="1"/>
  <c r="C853" i="1"/>
  <c r="B853" i="1"/>
  <c r="F853" i="1" s="1"/>
  <c r="C852" i="1"/>
  <c r="B852" i="1"/>
  <c r="F852" i="1" s="1"/>
  <c r="C851" i="1"/>
  <c r="B851" i="1"/>
  <c r="F851" i="1" s="1"/>
  <c r="C850" i="1"/>
  <c r="B850" i="1"/>
  <c r="F850" i="1" s="1"/>
  <c r="C849" i="1"/>
  <c r="B849" i="1"/>
  <c r="F849" i="1" s="1"/>
  <c r="C848" i="1"/>
  <c r="B848" i="1"/>
  <c r="F848" i="1" s="1"/>
  <c r="C847" i="1"/>
  <c r="B847" i="1"/>
  <c r="F847" i="1" s="1"/>
  <c r="C846" i="1"/>
  <c r="B846" i="1"/>
  <c r="F846" i="1" s="1"/>
  <c r="C845" i="1"/>
  <c r="B845" i="1"/>
  <c r="F845" i="1" s="1"/>
  <c r="C844" i="1"/>
  <c r="B844" i="1"/>
  <c r="F844" i="1" s="1"/>
  <c r="C843" i="1"/>
  <c r="B843" i="1"/>
  <c r="F843" i="1" s="1"/>
  <c r="C842" i="1"/>
  <c r="B842" i="1"/>
  <c r="F842" i="1" s="1"/>
  <c r="C841" i="1"/>
  <c r="B841" i="1"/>
  <c r="F841" i="1" s="1"/>
  <c r="C840" i="1"/>
  <c r="B840" i="1"/>
  <c r="F840" i="1" s="1"/>
  <c r="C839" i="1"/>
  <c r="B839" i="1"/>
  <c r="F839" i="1" s="1"/>
  <c r="C838" i="1"/>
  <c r="B838" i="1"/>
  <c r="F838" i="1" s="1"/>
  <c r="C837" i="1"/>
  <c r="B837" i="1"/>
  <c r="F837" i="1" s="1"/>
  <c r="C836" i="1"/>
  <c r="B836" i="1"/>
  <c r="F836" i="1" s="1"/>
  <c r="C835" i="1"/>
  <c r="B835" i="1"/>
  <c r="F835" i="1" s="1"/>
  <c r="C834" i="1"/>
  <c r="B834" i="1"/>
  <c r="F834" i="1" s="1"/>
  <c r="C833" i="1"/>
  <c r="B833" i="1"/>
  <c r="F833" i="1" s="1"/>
  <c r="C832" i="1"/>
  <c r="B832" i="1"/>
  <c r="F832" i="1" s="1"/>
  <c r="C831" i="1"/>
  <c r="B831" i="1"/>
  <c r="F831" i="1" s="1"/>
  <c r="C830" i="1"/>
  <c r="B830" i="1"/>
  <c r="F830" i="1" s="1"/>
  <c r="C829" i="1"/>
  <c r="B829" i="1"/>
  <c r="F829" i="1" s="1"/>
  <c r="C828" i="1"/>
  <c r="B828" i="1"/>
  <c r="F828" i="1" s="1"/>
  <c r="C827" i="1"/>
  <c r="B827" i="1"/>
  <c r="F827" i="1" s="1"/>
  <c r="C826" i="1"/>
  <c r="B826" i="1"/>
  <c r="F826" i="1" s="1"/>
  <c r="C825" i="1"/>
  <c r="B825" i="1"/>
  <c r="F825" i="1" s="1"/>
  <c r="C824" i="1"/>
  <c r="B824" i="1"/>
  <c r="F824" i="1" s="1"/>
  <c r="C823" i="1"/>
  <c r="B823" i="1"/>
  <c r="F823" i="1" s="1"/>
  <c r="C822" i="1"/>
  <c r="B822" i="1"/>
  <c r="F822" i="1" s="1"/>
  <c r="C821" i="1"/>
  <c r="B821" i="1"/>
  <c r="F821" i="1" s="1"/>
  <c r="C820" i="1"/>
  <c r="B820" i="1"/>
  <c r="F820" i="1" s="1"/>
  <c r="C819" i="1"/>
  <c r="B819" i="1"/>
  <c r="F819" i="1" s="1"/>
  <c r="C818" i="1"/>
  <c r="B818" i="1"/>
  <c r="F818" i="1" s="1"/>
  <c r="C817" i="1"/>
  <c r="B817" i="1"/>
  <c r="F817" i="1" s="1"/>
  <c r="C816" i="1"/>
  <c r="B816" i="1"/>
  <c r="F816" i="1" s="1"/>
  <c r="C815" i="1"/>
  <c r="B815" i="1"/>
  <c r="F815" i="1" s="1"/>
  <c r="C814" i="1"/>
  <c r="B814" i="1"/>
  <c r="F814" i="1" s="1"/>
  <c r="C813" i="1"/>
  <c r="B813" i="1"/>
  <c r="F813" i="1" s="1"/>
  <c r="C812" i="1"/>
  <c r="B812" i="1"/>
  <c r="F812" i="1" s="1"/>
  <c r="C811" i="1"/>
  <c r="B811" i="1"/>
  <c r="F811" i="1" s="1"/>
  <c r="C810" i="1"/>
  <c r="B810" i="1"/>
  <c r="F810" i="1" s="1"/>
  <c r="C809" i="1"/>
  <c r="B809" i="1"/>
  <c r="F809" i="1" s="1"/>
  <c r="C808" i="1"/>
  <c r="B808" i="1"/>
  <c r="F808" i="1" s="1"/>
  <c r="C807" i="1"/>
  <c r="B807" i="1"/>
  <c r="F807" i="1" s="1"/>
  <c r="C806" i="1"/>
  <c r="B806" i="1"/>
  <c r="F806" i="1" s="1"/>
  <c r="C805" i="1"/>
  <c r="B805" i="1"/>
  <c r="F805" i="1" s="1"/>
  <c r="C804" i="1"/>
  <c r="B804" i="1"/>
  <c r="F804" i="1" s="1"/>
  <c r="C803" i="1"/>
  <c r="B803" i="1"/>
  <c r="F803" i="1" s="1"/>
  <c r="C802" i="1"/>
  <c r="B802" i="1"/>
  <c r="F802" i="1" s="1"/>
  <c r="C801" i="1"/>
  <c r="B801" i="1"/>
  <c r="F801" i="1" s="1"/>
  <c r="C800" i="1"/>
  <c r="B800" i="1"/>
  <c r="F800" i="1" s="1"/>
  <c r="C799" i="1"/>
  <c r="B799" i="1"/>
  <c r="F799" i="1" s="1"/>
  <c r="C798" i="1"/>
  <c r="B798" i="1"/>
  <c r="F798" i="1" s="1"/>
  <c r="C797" i="1"/>
  <c r="B797" i="1"/>
  <c r="F797" i="1" s="1"/>
  <c r="C796" i="1"/>
  <c r="B796" i="1"/>
  <c r="F796" i="1" s="1"/>
  <c r="C795" i="1"/>
  <c r="B795" i="1"/>
  <c r="F795" i="1" s="1"/>
  <c r="C794" i="1"/>
  <c r="B794" i="1"/>
  <c r="F794" i="1" s="1"/>
  <c r="C793" i="1"/>
  <c r="B793" i="1"/>
  <c r="F793" i="1" s="1"/>
  <c r="C792" i="1"/>
  <c r="B792" i="1"/>
  <c r="F792" i="1" s="1"/>
  <c r="C791" i="1"/>
  <c r="B791" i="1"/>
  <c r="F791" i="1" s="1"/>
  <c r="C790" i="1"/>
  <c r="B790" i="1"/>
  <c r="F790" i="1" s="1"/>
  <c r="C789" i="1"/>
  <c r="B789" i="1"/>
  <c r="F789" i="1" s="1"/>
  <c r="C788" i="1"/>
  <c r="B788" i="1"/>
  <c r="F788" i="1" s="1"/>
  <c r="C787" i="1"/>
  <c r="B787" i="1"/>
  <c r="F787" i="1" s="1"/>
  <c r="C786" i="1"/>
  <c r="B786" i="1"/>
  <c r="F786" i="1" s="1"/>
  <c r="C785" i="1"/>
  <c r="B785" i="1"/>
  <c r="F785" i="1" s="1"/>
  <c r="C784" i="1"/>
  <c r="B784" i="1"/>
  <c r="F784" i="1" s="1"/>
  <c r="C783" i="1"/>
  <c r="B783" i="1"/>
  <c r="F783" i="1" s="1"/>
  <c r="C782" i="1"/>
  <c r="B782" i="1"/>
  <c r="F782" i="1" s="1"/>
  <c r="C781" i="1"/>
  <c r="B781" i="1"/>
  <c r="F781" i="1" s="1"/>
  <c r="C780" i="1"/>
  <c r="B780" i="1"/>
  <c r="F780" i="1" s="1"/>
  <c r="C779" i="1"/>
  <c r="B779" i="1"/>
  <c r="F779" i="1" s="1"/>
  <c r="C778" i="1"/>
  <c r="B778" i="1"/>
  <c r="F778" i="1" s="1"/>
  <c r="C777" i="1"/>
  <c r="B777" i="1"/>
  <c r="F777" i="1" s="1"/>
  <c r="C776" i="1"/>
  <c r="B776" i="1"/>
  <c r="F776" i="1" s="1"/>
  <c r="C775" i="1"/>
  <c r="B775" i="1"/>
  <c r="F775" i="1" s="1"/>
  <c r="C774" i="1"/>
  <c r="B774" i="1"/>
  <c r="F774" i="1" s="1"/>
  <c r="C773" i="1"/>
  <c r="B773" i="1"/>
  <c r="F773" i="1" s="1"/>
  <c r="C772" i="1"/>
  <c r="B772" i="1"/>
  <c r="F772" i="1" s="1"/>
  <c r="C771" i="1"/>
  <c r="B771" i="1"/>
  <c r="F771" i="1" s="1"/>
  <c r="C770" i="1"/>
  <c r="B770" i="1"/>
  <c r="F770" i="1" s="1"/>
  <c r="C769" i="1"/>
  <c r="B769" i="1"/>
  <c r="F769" i="1" s="1"/>
  <c r="C768" i="1"/>
  <c r="B768" i="1"/>
  <c r="F768" i="1" s="1"/>
  <c r="C767" i="1"/>
  <c r="B767" i="1"/>
  <c r="F767" i="1" s="1"/>
  <c r="C766" i="1"/>
  <c r="B766" i="1"/>
  <c r="F766" i="1" s="1"/>
  <c r="C765" i="1"/>
  <c r="B765" i="1"/>
  <c r="F765" i="1" s="1"/>
  <c r="C764" i="1"/>
  <c r="B764" i="1"/>
  <c r="F764" i="1" s="1"/>
  <c r="C763" i="1"/>
  <c r="B763" i="1"/>
  <c r="F763" i="1" s="1"/>
  <c r="C762" i="1"/>
  <c r="B762" i="1"/>
  <c r="F762" i="1" s="1"/>
  <c r="C761" i="1"/>
  <c r="B761" i="1"/>
  <c r="F761" i="1" s="1"/>
  <c r="C760" i="1"/>
  <c r="B760" i="1"/>
  <c r="F760" i="1" s="1"/>
  <c r="C759" i="1"/>
  <c r="B759" i="1"/>
  <c r="F759" i="1" s="1"/>
  <c r="C758" i="1"/>
  <c r="B758" i="1"/>
  <c r="F758" i="1" s="1"/>
  <c r="C757" i="1"/>
  <c r="B757" i="1"/>
  <c r="F757" i="1" s="1"/>
  <c r="C756" i="1"/>
  <c r="B756" i="1"/>
  <c r="F756" i="1" s="1"/>
  <c r="C755" i="1"/>
  <c r="B755" i="1"/>
  <c r="F755" i="1" s="1"/>
  <c r="C754" i="1"/>
  <c r="B754" i="1"/>
  <c r="F754" i="1" s="1"/>
  <c r="C753" i="1"/>
  <c r="B753" i="1"/>
  <c r="F753" i="1" s="1"/>
  <c r="C752" i="1"/>
  <c r="B752" i="1"/>
  <c r="F752" i="1" s="1"/>
  <c r="C751" i="1"/>
  <c r="B751" i="1"/>
  <c r="F751" i="1" s="1"/>
  <c r="C750" i="1"/>
  <c r="B750" i="1"/>
  <c r="F750" i="1" s="1"/>
  <c r="C749" i="1"/>
  <c r="B749" i="1"/>
  <c r="F749" i="1" s="1"/>
  <c r="C748" i="1"/>
  <c r="B748" i="1"/>
  <c r="F748" i="1" s="1"/>
  <c r="C747" i="1"/>
  <c r="B747" i="1"/>
  <c r="F747" i="1" s="1"/>
  <c r="C746" i="1"/>
  <c r="B746" i="1"/>
  <c r="F746" i="1" s="1"/>
  <c r="C745" i="1"/>
  <c r="B745" i="1"/>
  <c r="F745" i="1" s="1"/>
  <c r="C744" i="1"/>
  <c r="B744" i="1"/>
  <c r="F744" i="1" s="1"/>
  <c r="C743" i="1"/>
  <c r="B743" i="1"/>
  <c r="F743" i="1" s="1"/>
  <c r="C742" i="1"/>
  <c r="B742" i="1"/>
  <c r="F742" i="1" s="1"/>
  <c r="C741" i="1"/>
  <c r="B741" i="1"/>
  <c r="F741" i="1" s="1"/>
  <c r="C740" i="1"/>
  <c r="B740" i="1"/>
  <c r="F740" i="1" s="1"/>
  <c r="C739" i="1"/>
  <c r="B739" i="1"/>
  <c r="F739" i="1" s="1"/>
  <c r="C738" i="1"/>
  <c r="B738" i="1"/>
  <c r="F738" i="1" s="1"/>
  <c r="C737" i="1"/>
  <c r="B737" i="1"/>
  <c r="F737" i="1" s="1"/>
  <c r="C736" i="1"/>
  <c r="B736" i="1"/>
  <c r="F736" i="1" s="1"/>
  <c r="C735" i="1"/>
  <c r="B735" i="1"/>
  <c r="F735" i="1" s="1"/>
  <c r="C734" i="1"/>
  <c r="B734" i="1"/>
  <c r="F734" i="1" s="1"/>
  <c r="C733" i="1"/>
  <c r="B733" i="1"/>
  <c r="F733" i="1" s="1"/>
  <c r="C732" i="1"/>
  <c r="B732" i="1"/>
  <c r="F732" i="1" s="1"/>
  <c r="C731" i="1"/>
  <c r="B731" i="1"/>
  <c r="F731" i="1" s="1"/>
  <c r="C730" i="1"/>
  <c r="B730" i="1"/>
  <c r="F730" i="1" s="1"/>
  <c r="C729" i="1"/>
  <c r="B729" i="1"/>
  <c r="F729" i="1" s="1"/>
  <c r="C728" i="1"/>
  <c r="B728" i="1"/>
  <c r="F728" i="1" s="1"/>
  <c r="C727" i="1"/>
  <c r="B727" i="1"/>
  <c r="F727" i="1" s="1"/>
  <c r="C726" i="1"/>
  <c r="B726" i="1"/>
  <c r="F726" i="1" s="1"/>
  <c r="C725" i="1"/>
  <c r="B725" i="1"/>
  <c r="F725" i="1" s="1"/>
  <c r="C724" i="1"/>
  <c r="B724" i="1"/>
  <c r="F724" i="1" s="1"/>
  <c r="C723" i="1"/>
  <c r="B723" i="1"/>
  <c r="F723" i="1" s="1"/>
  <c r="C722" i="1"/>
  <c r="B722" i="1"/>
  <c r="F722" i="1" s="1"/>
  <c r="C721" i="1"/>
  <c r="B721" i="1"/>
  <c r="F721" i="1" s="1"/>
  <c r="C720" i="1"/>
  <c r="B720" i="1"/>
  <c r="F720" i="1" s="1"/>
  <c r="C719" i="1"/>
  <c r="B719" i="1"/>
  <c r="F719" i="1" s="1"/>
  <c r="C718" i="1"/>
  <c r="B718" i="1"/>
  <c r="F718" i="1" s="1"/>
  <c r="C717" i="1"/>
  <c r="B717" i="1"/>
  <c r="F717" i="1" s="1"/>
  <c r="C716" i="1"/>
  <c r="B716" i="1"/>
  <c r="F716" i="1" s="1"/>
  <c r="C715" i="1"/>
  <c r="B715" i="1"/>
  <c r="F715" i="1" s="1"/>
  <c r="C714" i="1"/>
  <c r="B714" i="1"/>
  <c r="F714" i="1" s="1"/>
  <c r="C713" i="1"/>
  <c r="B713" i="1"/>
  <c r="F713" i="1" s="1"/>
  <c r="C712" i="1"/>
  <c r="B712" i="1"/>
  <c r="F712" i="1" s="1"/>
  <c r="C711" i="1"/>
  <c r="B711" i="1"/>
  <c r="F711" i="1" s="1"/>
  <c r="C710" i="1"/>
  <c r="B710" i="1"/>
  <c r="F710" i="1" s="1"/>
  <c r="C709" i="1"/>
  <c r="B709" i="1"/>
  <c r="F709" i="1" s="1"/>
  <c r="C708" i="1"/>
  <c r="B708" i="1"/>
  <c r="F708" i="1" s="1"/>
  <c r="C707" i="1"/>
  <c r="B707" i="1"/>
  <c r="F707" i="1" s="1"/>
  <c r="C706" i="1"/>
  <c r="B706" i="1"/>
  <c r="F706" i="1" s="1"/>
  <c r="C705" i="1"/>
  <c r="B705" i="1"/>
  <c r="F705" i="1" s="1"/>
  <c r="C704" i="1"/>
  <c r="B704" i="1"/>
  <c r="F704" i="1" s="1"/>
  <c r="C703" i="1"/>
  <c r="B703" i="1"/>
  <c r="F703" i="1" s="1"/>
  <c r="C702" i="1"/>
  <c r="B702" i="1"/>
  <c r="F702" i="1" s="1"/>
  <c r="C701" i="1"/>
  <c r="B701" i="1"/>
  <c r="F701" i="1" s="1"/>
  <c r="C700" i="1"/>
  <c r="B700" i="1"/>
  <c r="F700" i="1" s="1"/>
  <c r="C699" i="1"/>
  <c r="B699" i="1"/>
  <c r="F699" i="1" s="1"/>
  <c r="C698" i="1"/>
  <c r="B698" i="1"/>
  <c r="F698" i="1" s="1"/>
  <c r="C697" i="1"/>
  <c r="B697" i="1"/>
  <c r="F697" i="1" s="1"/>
  <c r="C696" i="1"/>
  <c r="B696" i="1"/>
  <c r="F696" i="1" s="1"/>
  <c r="C695" i="1"/>
  <c r="B695" i="1"/>
  <c r="F695" i="1" s="1"/>
  <c r="C694" i="1"/>
  <c r="B694" i="1"/>
  <c r="F694" i="1" s="1"/>
  <c r="C693" i="1"/>
  <c r="B693" i="1"/>
  <c r="F693" i="1" s="1"/>
  <c r="C692" i="1"/>
  <c r="B692" i="1"/>
  <c r="F692" i="1" s="1"/>
  <c r="C691" i="1"/>
  <c r="B691" i="1"/>
  <c r="F691" i="1" s="1"/>
  <c r="C690" i="1"/>
  <c r="B690" i="1"/>
  <c r="F690" i="1" s="1"/>
  <c r="C689" i="1"/>
  <c r="B689" i="1"/>
  <c r="F689" i="1" s="1"/>
  <c r="C688" i="1"/>
  <c r="B688" i="1"/>
  <c r="F688" i="1" s="1"/>
  <c r="C687" i="1"/>
  <c r="B687" i="1"/>
  <c r="F687" i="1" s="1"/>
  <c r="C686" i="1"/>
  <c r="B686" i="1"/>
  <c r="F686" i="1" s="1"/>
  <c r="C685" i="1"/>
  <c r="B685" i="1"/>
  <c r="F685" i="1" s="1"/>
  <c r="C684" i="1"/>
  <c r="B684" i="1"/>
  <c r="F684" i="1" s="1"/>
  <c r="C683" i="1"/>
  <c r="B683" i="1"/>
  <c r="F683" i="1" s="1"/>
  <c r="C682" i="1"/>
  <c r="B682" i="1"/>
  <c r="F682" i="1" s="1"/>
  <c r="C681" i="1"/>
  <c r="B681" i="1"/>
  <c r="F681" i="1" s="1"/>
  <c r="C680" i="1"/>
  <c r="B680" i="1"/>
  <c r="F680" i="1" s="1"/>
  <c r="C679" i="1"/>
  <c r="B679" i="1"/>
  <c r="F679" i="1" s="1"/>
  <c r="C678" i="1"/>
  <c r="B678" i="1"/>
  <c r="F678" i="1" s="1"/>
  <c r="C677" i="1"/>
  <c r="B677" i="1"/>
  <c r="F677" i="1" s="1"/>
  <c r="C676" i="1"/>
  <c r="B676" i="1"/>
  <c r="F676" i="1" s="1"/>
  <c r="C675" i="1"/>
  <c r="B675" i="1"/>
  <c r="F675" i="1" s="1"/>
  <c r="C674" i="1"/>
  <c r="B674" i="1"/>
  <c r="F674" i="1" s="1"/>
  <c r="C673" i="1"/>
  <c r="B673" i="1"/>
  <c r="F673" i="1" s="1"/>
  <c r="C672" i="1"/>
  <c r="B672" i="1"/>
  <c r="F672" i="1" s="1"/>
  <c r="C671" i="1"/>
  <c r="B671" i="1"/>
  <c r="F671" i="1" s="1"/>
  <c r="C670" i="1"/>
  <c r="B670" i="1"/>
  <c r="F670" i="1" s="1"/>
  <c r="C669" i="1"/>
  <c r="B669" i="1"/>
  <c r="F669" i="1" s="1"/>
  <c r="C668" i="1"/>
  <c r="B668" i="1"/>
  <c r="F668" i="1" s="1"/>
  <c r="C667" i="1"/>
  <c r="B667" i="1"/>
  <c r="F667" i="1" s="1"/>
  <c r="C666" i="1"/>
  <c r="B666" i="1"/>
  <c r="F666" i="1" s="1"/>
  <c r="C665" i="1"/>
  <c r="B665" i="1"/>
  <c r="F665" i="1" s="1"/>
  <c r="C664" i="1"/>
  <c r="B664" i="1"/>
  <c r="F664" i="1" s="1"/>
  <c r="C663" i="1"/>
  <c r="B663" i="1"/>
  <c r="F663" i="1" s="1"/>
  <c r="C662" i="1"/>
  <c r="B662" i="1"/>
  <c r="F662" i="1" s="1"/>
  <c r="C661" i="1"/>
  <c r="B661" i="1"/>
  <c r="F661" i="1" s="1"/>
  <c r="C660" i="1"/>
  <c r="B660" i="1"/>
  <c r="F660" i="1" s="1"/>
  <c r="C659" i="1"/>
  <c r="B659" i="1"/>
  <c r="F659" i="1" s="1"/>
  <c r="C658" i="1"/>
  <c r="B658" i="1"/>
  <c r="F658" i="1" s="1"/>
  <c r="C657" i="1"/>
  <c r="B657" i="1"/>
  <c r="F657" i="1" s="1"/>
  <c r="C656" i="1"/>
  <c r="B656" i="1"/>
  <c r="F656" i="1" s="1"/>
  <c r="C655" i="1"/>
  <c r="B655" i="1"/>
  <c r="F655" i="1" s="1"/>
  <c r="C654" i="1"/>
  <c r="B654" i="1"/>
  <c r="F654" i="1" s="1"/>
  <c r="C653" i="1"/>
  <c r="B653" i="1"/>
  <c r="F653" i="1" s="1"/>
  <c r="C652" i="1"/>
  <c r="B652" i="1"/>
  <c r="F652" i="1" s="1"/>
  <c r="C651" i="1"/>
  <c r="B651" i="1"/>
  <c r="F651" i="1" s="1"/>
  <c r="C650" i="1"/>
  <c r="B650" i="1"/>
  <c r="F650" i="1" s="1"/>
  <c r="C649" i="1"/>
  <c r="B649" i="1"/>
  <c r="F649" i="1" s="1"/>
  <c r="C648" i="1"/>
  <c r="B648" i="1"/>
  <c r="F648" i="1" s="1"/>
  <c r="C647" i="1"/>
  <c r="B647" i="1"/>
  <c r="F647" i="1" s="1"/>
  <c r="C646" i="1"/>
  <c r="B646" i="1"/>
  <c r="F646" i="1" s="1"/>
  <c r="C645" i="1"/>
  <c r="B645" i="1"/>
  <c r="F645" i="1" s="1"/>
  <c r="C644" i="1"/>
  <c r="B644" i="1"/>
  <c r="F644" i="1" s="1"/>
  <c r="C643" i="1"/>
  <c r="B643" i="1"/>
  <c r="F643" i="1" s="1"/>
  <c r="C642" i="1"/>
  <c r="B642" i="1"/>
  <c r="F642" i="1" s="1"/>
  <c r="C641" i="1"/>
  <c r="B641" i="1"/>
  <c r="F641" i="1" s="1"/>
  <c r="C640" i="1"/>
  <c r="B640" i="1"/>
  <c r="F640" i="1" s="1"/>
  <c r="C639" i="1"/>
  <c r="B639" i="1"/>
  <c r="F639" i="1" s="1"/>
  <c r="C638" i="1"/>
  <c r="B638" i="1"/>
  <c r="F638" i="1" s="1"/>
  <c r="C637" i="1"/>
  <c r="B637" i="1"/>
  <c r="F637" i="1" s="1"/>
  <c r="C636" i="1"/>
  <c r="B636" i="1"/>
  <c r="F636" i="1" s="1"/>
  <c r="C635" i="1"/>
  <c r="B635" i="1"/>
  <c r="F635" i="1" s="1"/>
  <c r="C634" i="1"/>
  <c r="B634" i="1"/>
  <c r="F634" i="1" s="1"/>
  <c r="C633" i="1"/>
  <c r="B633" i="1"/>
  <c r="F633" i="1" s="1"/>
  <c r="C632" i="1"/>
  <c r="B632" i="1"/>
  <c r="F632" i="1" s="1"/>
  <c r="C631" i="1"/>
  <c r="B631" i="1"/>
  <c r="F631" i="1" s="1"/>
  <c r="C630" i="1"/>
  <c r="B630" i="1"/>
  <c r="F630" i="1" s="1"/>
  <c r="C629" i="1"/>
  <c r="B629" i="1"/>
  <c r="F629" i="1" s="1"/>
  <c r="C628" i="1"/>
  <c r="B628" i="1"/>
  <c r="F628" i="1" s="1"/>
  <c r="C627" i="1"/>
  <c r="B627" i="1"/>
  <c r="F627" i="1" s="1"/>
  <c r="C626" i="1"/>
  <c r="B626" i="1"/>
  <c r="F626" i="1" s="1"/>
  <c r="C625" i="1"/>
  <c r="B625" i="1"/>
  <c r="F625" i="1" s="1"/>
  <c r="C624" i="1"/>
  <c r="B624" i="1"/>
  <c r="F624" i="1" s="1"/>
  <c r="C623" i="1"/>
  <c r="B623" i="1"/>
  <c r="F623" i="1" s="1"/>
  <c r="C622" i="1"/>
  <c r="B622" i="1"/>
  <c r="F622" i="1" s="1"/>
  <c r="C621" i="1"/>
  <c r="B621" i="1"/>
  <c r="F621" i="1" s="1"/>
  <c r="C620" i="1"/>
  <c r="B620" i="1"/>
  <c r="F620" i="1" s="1"/>
  <c r="C619" i="1"/>
  <c r="B619" i="1"/>
  <c r="F619" i="1" s="1"/>
  <c r="C618" i="1"/>
  <c r="B618" i="1"/>
  <c r="F618" i="1" s="1"/>
  <c r="C617" i="1"/>
  <c r="B617" i="1"/>
  <c r="F617" i="1" s="1"/>
  <c r="C616" i="1"/>
  <c r="B616" i="1"/>
  <c r="F616" i="1" s="1"/>
  <c r="C615" i="1"/>
  <c r="B615" i="1"/>
  <c r="F615" i="1" s="1"/>
  <c r="C614" i="1"/>
  <c r="B614" i="1"/>
  <c r="F614" i="1" s="1"/>
  <c r="C613" i="1"/>
  <c r="B613" i="1"/>
  <c r="F613" i="1" s="1"/>
  <c r="C612" i="1"/>
  <c r="B612" i="1"/>
  <c r="F612" i="1" s="1"/>
  <c r="C611" i="1"/>
  <c r="B611" i="1"/>
  <c r="F611" i="1" s="1"/>
  <c r="C610" i="1"/>
  <c r="B610" i="1"/>
  <c r="F610" i="1" s="1"/>
  <c r="C609" i="1"/>
  <c r="B609" i="1"/>
  <c r="F609" i="1" s="1"/>
  <c r="C608" i="1"/>
  <c r="B608" i="1"/>
  <c r="F608" i="1" s="1"/>
  <c r="C607" i="1"/>
  <c r="B607" i="1"/>
  <c r="F607" i="1" s="1"/>
  <c r="C606" i="1"/>
  <c r="B606" i="1"/>
  <c r="F606" i="1" s="1"/>
  <c r="C605" i="1"/>
  <c r="B605" i="1"/>
  <c r="F605" i="1" s="1"/>
  <c r="C604" i="1"/>
  <c r="B604" i="1"/>
  <c r="F604" i="1" s="1"/>
  <c r="C603" i="1"/>
  <c r="B603" i="1"/>
  <c r="F603" i="1" s="1"/>
  <c r="C602" i="1"/>
  <c r="B602" i="1"/>
  <c r="F602" i="1" s="1"/>
  <c r="C601" i="1"/>
  <c r="B601" i="1"/>
  <c r="F601" i="1" s="1"/>
  <c r="C600" i="1"/>
  <c r="B600" i="1"/>
  <c r="F600" i="1" s="1"/>
  <c r="C599" i="1"/>
  <c r="B599" i="1"/>
  <c r="F599" i="1" s="1"/>
  <c r="C598" i="1"/>
  <c r="B598" i="1"/>
  <c r="F598" i="1" s="1"/>
  <c r="C597" i="1"/>
  <c r="B597" i="1"/>
  <c r="F597" i="1" s="1"/>
  <c r="C596" i="1"/>
  <c r="B596" i="1"/>
  <c r="F596" i="1" s="1"/>
  <c r="C595" i="1"/>
  <c r="B595" i="1"/>
  <c r="F595" i="1" s="1"/>
  <c r="C594" i="1"/>
  <c r="B594" i="1"/>
  <c r="F594" i="1" s="1"/>
  <c r="C593" i="1"/>
  <c r="B593" i="1"/>
  <c r="F593" i="1" s="1"/>
  <c r="C592" i="1"/>
  <c r="B592" i="1"/>
  <c r="F592" i="1" s="1"/>
  <c r="C591" i="1"/>
  <c r="B591" i="1"/>
  <c r="F591" i="1" s="1"/>
  <c r="C590" i="1"/>
  <c r="B590" i="1"/>
  <c r="F590" i="1" s="1"/>
  <c r="C589" i="1"/>
  <c r="B589" i="1"/>
  <c r="F589" i="1" s="1"/>
  <c r="C588" i="1"/>
  <c r="B588" i="1"/>
  <c r="F588" i="1" s="1"/>
  <c r="C587" i="1"/>
  <c r="B587" i="1"/>
  <c r="F587" i="1" s="1"/>
  <c r="C586" i="1"/>
  <c r="B586" i="1"/>
  <c r="F586" i="1" s="1"/>
  <c r="C585" i="1"/>
  <c r="B585" i="1"/>
  <c r="F585" i="1" s="1"/>
  <c r="C584" i="1"/>
  <c r="B584" i="1"/>
  <c r="F584" i="1" s="1"/>
  <c r="C583" i="1"/>
  <c r="B583" i="1"/>
  <c r="F583" i="1" s="1"/>
  <c r="C582" i="1"/>
  <c r="B582" i="1"/>
  <c r="F582" i="1" s="1"/>
  <c r="C581" i="1"/>
  <c r="B581" i="1"/>
  <c r="F581" i="1" s="1"/>
  <c r="C580" i="1"/>
  <c r="B580" i="1"/>
  <c r="F580" i="1" s="1"/>
  <c r="C579" i="1"/>
  <c r="B579" i="1"/>
  <c r="F579" i="1" s="1"/>
  <c r="C578" i="1"/>
  <c r="B578" i="1"/>
  <c r="F578" i="1" s="1"/>
  <c r="C577" i="1"/>
  <c r="B577" i="1"/>
  <c r="F577" i="1" s="1"/>
  <c r="C576" i="1"/>
  <c r="B576" i="1"/>
  <c r="F576" i="1" s="1"/>
  <c r="C575" i="1"/>
  <c r="B575" i="1"/>
  <c r="F575" i="1" s="1"/>
  <c r="C574" i="1"/>
  <c r="B574" i="1"/>
  <c r="F574" i="1" s="1"/>
  <c r="C573" i="1"/>
  <c r="B573" i="1"/>
  <c r="F573" i="1" s="1"/>
  <c r="C572" i="1"/>
  <c r="B572" i="1"/>
  <c r="F572" i="1" s="1"/>
  <c r="C571" i="1"/>
  <c r="B571" i="1"/>
  <c r="F571" i="1" s="1"/>
  <c r="C570" i="1"/>
  <c r="B570" i="1"/>
  <c r="F570" i="1" s="1"/>
  <c r="C569" i="1"/>
  <c r="B569" i="1"/>
  <c r="F569" i="1" s="1"/>
  <c r="C568" i="1"/>
  <c r="B568" i="1"/>
  <c r="F568" i="1" s="1"/>
  <c r="C567" i="1"/>
  <c r="B567" i="1"/>
  <c r="F567" i="1" s="1"/>
  <c r="C566" i="1"/>
  <c r="B566" i="1"/>
  <c r="F566" i="1" s="1"/>
  <c r="C565" i="1"/>
  <c r="B565" i="1"/>
  <c r="F565" i="1" s="1"/>
  <c r="C564" i="1"/>
  <c r="B564" i="1"/>
  <c r="F564" i="1" s="1"/>
  <c r="C563" i="1"/>
  <c r="B563" i="1"/>
  <c r="F563" i="1" s="1"/>
  <c r="C562" i="1"/>
  <c r="B562" i="1"/>
  <c r="F562" i="1" s="1"/>
  <c r="C561" i="1"/>
  <c r="B561" i="1"/>
  <c r="F561" i="1" s="1"/>
  <c r="C560" i="1"/>
  <c r="B560" i="1"/>
  <c r="F560" i="1" s="1"/>
  <c r="C559" i="1"/>
  <c r="B559" i="1"/>
  <c r="F559" i="1" s="1"/>
  <c r="C558" i="1"/>
  <c r="B558" i="1"/>
  <c r="F558" i="1" s="1"/>
  <c r="C557" i="1"/>
  <c r="B557" i="1"/>
  <c r="F557" i="1" s="1"/>
  <c r="C556" i="1"/>
  <c r="B556" i="1"/>
  <c r="F556" i="1" s="1"/>
  <c r="C555" i="1"/>
  <c r="B555" i="1"/>
  <c r="F555" i="1" s="1"/>
  <c r="C554" i="1"/>
  <c r="B554" i="1"/>
  <c r="F554" i="1" s="1"/>
  <c r="C553" i="1"/>
  <c r="B553" i="1"/>
  <c r="F553" i="1" s="1"/>
  <c r="C552" i="1"/>
  <c r="B552" i="1"/>
  <c r="F552" i="1" s="1"/>
  <c r="C551" i="1"/>
  <c r="B551" i="1"/>
  <c r="F551" i="1" s="1"/>
  <c r="C550" i="1"/>
  <c r="B550" i="1"/>
  <c r="F550" i="1" s="1"/>
  <c r="C549" i="1"/>
  <c r="B549" i="1"/>
  <c r="F549" i="1" s="1"/>
  <c r="C548" i="1"/>
  <c r="B548" i="1"/>
  <c r="F548" i="1" s="1"/>
  <c r="C547" i="1"/>
  <c r="B547" i="1"/>
  <c r="F547" i="1" s="1"/>
  <c r="C546" i="1"/>
  <c r="B546" i="1"/>
  <c r="F546" i="1" s="1"/>
  <c r="C545" i="1"/>
  <c r="B545" i="1"/>
  <c r="F545" i="1" s="1"/>
  <c r="C544" i="1"/>
  <c r="B544" i="1"/>
  <c r="F544" i="1" s="1"/>
  <c r="C543" i="1"/>
  <c r="B543" i="1"/>
  <c r="F543" i="1" s="1"/>
  <c r="C542" i="1"/>
  <c r="B542" i="1"/>
  <c r="F542" i="1" s="1"/>
  <c r="C541" i="1"/>
  <c r="B541" i="1"/>
  <c r="F541" i="1" s="1"/>
  <c r="C540" i="1"/>
  <c r="B540" i="1"/>
  <c r="F540" i="1" s="1"/>
  <c r="C539" i="1"/>
  <c r="B539" i="1"/>
  <c r="F539" i="1" s="1"/>
  <c r="C538" i="1"/>
  <c r="B538" i="1"/>
  <c r="F538" i="1" s="1"/>
  <c r="C537" i="1"/>
  <c r="B537" i="1"/>
  <c r="F537" i="1" s="1"/>
  <c r="C536" i="1"/>
  <c r="B536" i="1"/>
  <c r="F536" i="1" s="1"/>
  <c r="C535" i="1"/>
  <c r="B535" i="1"/>
  <c r="F535" i="1" s="1"/>
  <c r="C534" i="1"/>
  <c r="B534" i="1"/>
  <c r="F534" i="1" s="1"/>
  <c r="C533" i="1"/>
  <c r="B533" i="1"/>
  <c r="F533" i="1" s="1"/>
  <c r="C532" i="1"/>
  <c r="B532" i="1"/>
  <c r="F532" i="1" s="1"/>
  <c r="C531" i="1"/>
  <c r="B531" i="1"/>
  <c r="F531" i="1" s="1"/>
  <c r="C530" i="1"/>
  <c r="B530" i="1"/>
  <c r="F530" i="1" s="1"/>
  <c r="C529" i="1"/>
  <c r="B529" i="1"/>
  <c r="F529" i="1" s="1"/>
  <c r="C528" i="1"/>
  <c r="B528" i="1"/>
  <c r="F528" i="1" s="1"/>
  <c r="C527" i="1"/>
  <c r="B527" i="1"/>
  <c r="F527" i="1" s="1"/>
  <c r="C526" i="1"/>
  <c r="B526" i="1"/>
  <c r="F526" i="1" s="1"/>
  <c r="C525" i="1"/>
  <c r="B525" i="1"/>
  <c r="F525" i="1" s="1"/>
  <c r="C524" i="1"/>
  <c r="B524" i="1"/>
  <c r="F524" i="1" s="1"/>
  <c r="C523" i="1"/>
  <c r="B523" i="1"/>
  <c r="F523" i="1" s="1"/>
  <c r="C522" i="1"/>
  <c r="B522" i="1"/>
  <c r="F522" i="1" s="1"/>
  <c r="C521" i="1"/>
  <c r="B521" i="1"/>
  <c r="F521" i="1" s="1"/>
  <c r="C520" i="1"/>
  <c r="B520" i="1"/>
  <c r="F520" i="1" s="1"/>
  <c r="C519" i="1"/>
  <c r="B519" i="1"/>
  <c r="F519" i="1" s="1"/>
  <c r="C518" i="1"/>
  <c r="B518" i="1"/>
  <c r="F518" i="1" s="1"/>
  <c r="C517" i="1"/>
  <c r="B517" i="1"/>
  <c r="F517" i="1" s="1"/>
  <c r="C516" i="1"/>
  <c r="B516" i="1"/>
  <c r="F516" i="1" s="1"/>
  <c r="C515" i="1"/>
  <c r="B515" i="1"/>
  <c r="F515" i="1" s="1"/>
  <c r="C514" i="1"/>
  <c r="B514" i="1"/>
  <c r="F514" i="1" s="1"/>
  <c r="C513" i="1"/>
  <c r="B513" i="1"/>
  <c r="F513" i="1" s="1"/>
  <c r="C512" i="1"/>
  <c r="B512" i="1"/>
  <c r="F512" i="1" s="1"/>
  <c r="C511" i="1"/>
  <c r="B511" i="1"/>
  <c r="F511" i="1" s="1"/>
  <c r="C510" i="1"/>
  <c r="B510" i="1"/>
  <c r="F510" i="1" s="1"/>
  <c r="C509" i="1"/>
  <c r="B509" i="1"/>
  <c r="F509" i="1" s="1"/>
  <c r="C508" i="1"/>
  <c r="B508" i="1"/>
  <c r="F508" i="1" s="1"/>
  <c r="C507" i="1"/>
  <c r="B507" i="1"/>
  <c r="F507" i="1" s="1"/>
  <c r="C506" i="1"/>
  <c r="B506" i="1"/>
  <c r="F506" i="1" s="1"/>
  <c r="C505" i="1"/>
  <c r="B505" i="1"/>
  <c r="F505" i="1" s="1"/>
  <c r="C504" i="1"/>
  <c r="B504" i="1"/>
  <c r="F504" i="1" s="1"/>
  <c r="C503" i="1"/>
  <c r="B503" i="1"/>
  <c r="F503" i="1" s="1"/>
  <c r="C502" i="1"/>
  <c r="B502" i="1"/>
  <c r="F502" i="1" s="1"/>
  <c r="C501" i="1"/>
  <c r="B501" i="1"/>
  <c r="F501" i="1" s="1"/>
  <c r="C500" i="1"/>
  <c r="B500" i="1"/>
  <c r="F500" i="1" s="1"/>
  <c r="C499" i="1"/>
  <c r="B499" i="1"/>
  <c r="F499" i="1" s="1"/>
  <c r="C498" i="1"/>
  <c r="B498" i="1"/>
  <c r="F498" i="1" s="1"/>
  <c r="C497" i="1"/>
  <c r="B497" i="1"/>
  <c r="F497" i="1" s="1"/>
  <c r="C496" i="1"/>
  <c r="B496" i="1"/>
  <c r="F496" i="1" s="1"/>
  <c r="C495" i="1"/>
  <c r="B495" i="1"/>
  <c r="F495" i="1" s="1"/>
  <c r="C494" i="1"/>
  <c r="B494" i="1"/>
  <c r="F494" i="1" s="1"/>
  <c r="C493" i="1"/>
  <c r="B493" i="1"/>
  <c r="F493" i="1" s="1"/>
  <c r="C492" i="1"/>
  <c r="B492" i="1"/>
  <c r="F492" i="1" s="1"/>
  <c r="C491" i="1"/>
  <c r="B491" i="1"/>
  <c r="F491" i="1" s="1"/>
  <c r="C490" i="1"/>
  <c r="B490" i="1"/>
  <c r="F490" i="1" s="1"/>
  <c r="C489" i="1"/>
  <c r="B489" i="1"/>
  <c r="F489" i="1" s="1"/>
  <c r="C488" i="1"/>
  <c r="B488" i="1"/>
  <c r="F488" i="1" s="1"/>
  <c r="C487" i="1"/>
  <c r="B487" i="1"/>
  <c r="F487" i="1" s="1"/>
  <c r="C486" i="1"/>
  <c r="B486" i="1"/>
  <c r="F486" i="1" s="1"/>
  <c r="C485" i="1"/>
  <c r="B485" i="1"/>
  <c r="F485" i="1" s="1"/>
  <c r="C484" i="1"/>
  <c r="B484" i="1"/>
  <c r="F484" i="1" s="1"/>
  <c r="C483" i="1"/>
  <c r="B483" i="1"/>
  <c r="F483" i="1" s="1"/>
  <c r="C482" i="1"/>
  <c r="B482" i="1"/>
  <c r="F482" i="1" s="1"/>
  <c r="C481" i="1"/>
  <c r="B481" i="1"/>
  <c r="F481" i="1" s="1"/>
  <c r="C480" i="1"/>
  <c r="B480" i="1"/>
  <c r="F480" i="1" s="1"/>
  <c r="C479" i="1"/>
  <c r="B479" i="1"/>
  <c r="F479" i="1" s="1"/>
  <c r="C478" i="1"/>
  <c r="B478" i="1"/>
  <c r="F478" i="1" s="1"/>
  <c r="C477" i="1"/>
  <c r="B477" i="1"/>
  <c r="F477" i="1" s="1"/>
  <c r="C476" i="1"/>
  <c r="B476" i="1"/>
  <c r="F476" i="1" s="1"/>
  <c r="C475" i="1"/>
  <c r="B475" i="1"/>
  <c r="F475" i="1" s="1"/>
  <c r="C474" i="1"/>
  <c r="B474" i="1"/>
  <c r="F474" i="1" s="1"/>
  <c r="C473" i="1"/>
  <c r="B473" i="1"/>
  <c r="F473" i="1" s="1"/>
  <c r="C472" i="1"/>
  <c r="B472" i="1"/>
  <c r="F472" i="1" s="1"/>
  <c r="C471" i="1"/>
  <c r="B471" i="1"/>
  <c r="F471" i="1" s="1"/>
  <c r="C470" i="1"/>
  <c r="B470" i="1"/>
  <c r="F470" i="1" s="1"/>
  <c r="C469" i="1"/>
  <c r="B469" i="1"/>
  <c r="F469" i="1" s="1"/>
  <c r="C468" i="1"/>
  <c r="B468" i="1"/>
  <c r="F468" i="1" s="1"/>
  <c r="C467" i="1"/>
  <c r="B467" i="1"/>
  <c r="F467" i="1" s="1"/>
  <c r="C466" i="1"/>
  <c r="B466" i="1"/>
  <c r="F466" i="1" s="1"/>
  <c r="C465" i="1"/>
  <c r="B465" i="1"/>
  <c r="F465" i="1" s="1"/>
  <c r="C464" i="1"/>
  <c r="B464" i="1"/>
  <c r="F464" i="1" s="1"/>
  <c r="C463" i="1"/>
  <c r="B463" i="1"/>
  <c r="F463" i="1" s="1"/>
  <c r="C462" i="1"/>
  <c r="B462" i="1"/>
  <c r="F462" i="1" s="1"/>
  <c r="C461" i="1"/>
  <c r="B461" i="1"/>
  <c r="F461" i="1" s="1"/>
  <c r="C460" i="1"/>
  <c r="B460" i="1"/>
  <c r="F460" i="1" s="1"/>
  <c r="C459" i="1"/>
  <c r="B459" i="1"/>
  <c r="F459" i="1" s="1"/>
  <c r="C458" i="1"/>
  <c r="B458" i="1"/>
  <c r="F458" i="1" s="1"/>
  <c r="C457" i="1"/>
  <c r="B457" i="1"/>
  <c r="F457" i="1" s="1"/>
  <c r="C456" i="1"/>
  <c r="B456" i="1"/>
  <c r="F456" i="1" s="1"/>
  <c r="C455" i="1"/>
  <c r="B455" i="1"/>
  <c r="F455" i="1" s="1"/>
  <c r="C454" i="1"/>
  <c r="B454" i="1"/>
  <c r="F454" i="1" s="1"/>
  <c r="C453" i="1"/>
  <c r="B453" i="1"/>
  <c r="F453" i="1" s="1"/>
  <c r="C452" i="1"/>
  <c r="B452" i="1"/>
  <c r="F452" i="1" s="1"/>
  <c r="C451" i="1"/>
  <c r="B451" i="1"/>
  <c r="F451" i="1" s="1"/>
  <c r="C450" i="1"/>
  <c r="B450" i="1"/>
  <c r="F450" i="1" s="1"/>
  <c r="C449" i="1"/>
  <c r="B449" i="1"/>
  <c r="F449" i="1" s="1"/>
  <c r="C448" i="1"/>
  <c r="B448" i="1"/>
  <c r="F448" i="1" s="1"/>
  <c r="C447" i="1"/>
  <c r="B447" i="1"/>
  <c r="F447" i="1" s="1"/>
  <c r="C446" i="1"/>
  <c r="B446" i="1"/>
  <c r="F446" i="1" s="1"/>
  <c r="C445" i="1"/>
  <c r="B445" i="1"/>
  <c r="F445" i="1" s="1"/>
  <c r="C444" i="1"/>
  <c r="B444" i="1"/>
  <c r="F444" i="1" s="1"/>
  <c r="C443" i="1"/>
  <c r="B443" i="1"/>
  <c r="F443" i="1" s="1"/>
  <c r="C442" i="1"/>
  <c r="B442" i="1"/>
  <c r="F442" i="1" s="1"/>
  <c r="C441" i="1"/>
  <c r="B441" i="1"/>
  <c r="F441" i="1" s="1"/>
  <c r="C440" i="1"/>
  <c r="B440" i="1"/>
  <c r="F440" i="1" s="1"/>
  <c r="C439" i="1"/>
  <c r="B439" i="1"/>
  <c r="F439" i="1" s="1"/>
  <c r="C438" i="1"/>
  <c r="B438" i="1"/>
  <c r="F438" i="1" s="1"/>
  <c r="C437" i="1"/>
  <c r="B437" i="1"/>
  <c r="F437" i="1" s="1"/>
  <c r="C436" i="1"/>
  <c r="B436" i="1"/>
  <c r="F436" i="1" s="1"/>
  <c r="C435" i="1"/>
  <c r="B435" i="1"/>
  <c r="F435" i="1" s="1"/>
  <c r="C434" i="1"/>
  <c r="B434" i="1"/>
  <c r="F434" i="1" s="1"/>
  <c r="C433" i="1"/>
  <c r="B433" i="1"/>
  <c r="F433" i="1" s="1"/>
  <c r="C432" i="1"/>
  <c r="B432" i="1"/>
  <c r="F432" i="1" s="1"/>
  <c r="C431" i="1"/>
  <c r="B431" i="1"/>
  <c r="F431" i="1" s="1"/>
  <c r="C430" i="1"/>
  <c r="B430" i="1"/>
  <c r="F430" i="1" s="1"/>
  <c r="C429" i="1"/>
  <c r="B429" i="1"/>
  <c r="F429" i="1" s="1"/>
  <c r="C428" i="1"/>
  <c r="B428" i="1"/>
  <c r="F428" i="1" s="1"/>
  <c r="C427" i="1"/>
  <c r="B427" i="1"/>
  <c r="F427" i="1" s="1"/>
  <c r="C426" i="1"/>
  <c r="B426" i="1"/>
  <c r="F426" i="1" s="1"/>
  <c r="C425" i="1"/>
  <c r="B425" i="1"/>
  <c r="F425" i="1" s="1"/>
  <c r="C424" i="1"/>
  <c r="B424" i="1"/>
  <c r="F424" i="1" s="1"/>
  <c r="C423" i="1"/>
  <c r="B423" i="1"/>
  <c r="F423" i="1" s="1"/>
  <c r="C422" i="1"/>
  <c r="B422" i="1"/>
  <c r="F422" i="1" s="1"/>
  <c r="C421" i="1"/>
  <c r="B421" i="1"/>
  <c r="F421" i="1" s="1"/>
  <c r="C420" i="1"/>
  <c r="B420" i="1"/>
  <c r="F420" i="1" s="1"/>
  <c r="C419" i="1"/>
  <c r="B419" i="1"/>
  <c r="F419" i="1" s="1"/>
  <c r="C418" i="1"/>
  <c r="B418" i="1"/>
  <c r="F418" i="1" s="1"/>
  <c r="C417" i="1"/>
  <c r="B417" i="1"/>
  <c r="F417" i="1" s="1"/>
  <c r="C416" i="1"/>
  <c r="B416" i="1"/>
  <c r="F416" i="1" s="1"/>
  <c r="C415" i="1"/>
  <c r="B415" i="1"/>
  <c r="F415" i="1" s="1"/>
  <c r="C414" i="1"/>
  <c r="B414" i="1"/>
  <c r="F414" i="1" s="1"/>
  <c r="C413" i="1"/>
  <c r="B413" i="1"/>
  <c r="F413" i="1" s="1"/>
  <c r="C412" i="1"/>
  <c r="B412" i="1"/>
  <c r="F412" i="1" s="1"/>
  <c r="C411" i="1"/>
  <c r="B411" i="1"/>
  <c r="F411" i="1" s="1"/>
  <c r="C410" i="1"/>
  <c r="B410" i="1"/>
  <c r="F410" i="1" s="1"/>
  <c r="C409" i="1"/>
  <c r="B409" i="1"/>
  <c r="F409" i="1" s="1"/>
  <c r="C408" i="1"/>
  <c r="B408" i="1"/>
  <c r="F408" i="1" s="1"/>
  <c r="C407" i="1"/>
  <c r="B407" i="1"/>
  <c r="F407" i="1" s="1"/>
  <c r="C406" i="1"/>
  <c r="B406" i="1"/>
  <c r="F406" i="1" s="1"/>
  <c r="C405" i="1"/>
  <c r="B405" i="1"/>
  <c r="F405" i="1" s="1"/>
  <c r="C404" i="1"/>
  <c r="B404" i="1"/>
  <c r="F404" i="1" s="1"/>
  <c r="C403" i="1"/>
  <c r="B403" i="1"/>
  <c r="F403" i="1" s="1"/>
  <c r="C402" i="1"/>
  <c r="B402" i="1"/>
  <c r="F402" i="1" s="1"/>
  <c r="C401" i="1"/>
  <c r="B401" i="1"/>
  <c r="F401" i="1" s="1"/>
  <c r="C400" i="1"/>
  <c r="B400" i="1"/>
  <c r="F400" i="1" s="1"/>
  <c r="C399" i="1"/>
  <c r="B399" i="1"/>
  <c r="F399" i="1" s="1"/>
  <c r="C398" i="1"/>
  <c r="B398" i="1"/>
  <c r="F398" i="1" s="1"/>
  <c r="C397" i="1"/>
  <c r="B397" i="1"/>
  <c r="F397" i="1" s="1"/>
  <c r="C396" i="1"/>
  <c r="B396" i="1"/>
  <c r="F396" i="1" s="1"/>
  <c r="C395" i="1"/>
  <c r="B395" i="1"/>
  <c r="F395" i="1" s="1"/>
  <c r="C394" i="1"/>
  <c r="B394" i="1"/>
  <c r="F394" i="1" s="1"/>
  <c r="C393" i="1"/>
  <c r="B393" i="1"/>
  <c r="F393" i="1" s="1"/>
  <c r="C392" i="1"/>
  <c r="B392" i="1"/>
  <c r="F392" i="1" s="1"/>
  <c r="C391" i="1"/>
  <c r="B391" i="1"/>
  <c r="F391" i="1" s="1"/>
  <c r="C390" i="1"/>
  <c r="B390" i="1"/>
  <c r="F390" i="1" s="1"/>
  <c r="C389" i="1"/>
  <c r="B389" i="1"/>
  <c r="F389" i="1" s="1"/>
  <c r="C388" i="1"/>
  <c r="B388" i="1"/>
  <c r="F388" i="1" s="1"/>
  <c r="C387" i="1"/>
  <c r="B387" i="1"/>
  <c r="F387" i="1" s="1"/>
  <c r="C386" i="1"/>
  <c r="B386" i="1"/>
  <c r="F386" i="1" s="1"/>
  <c r="C385" i="1"/>
  <c r="B385" i="1"/>
  <c r="F385" i="1" s="1"/>
  <c r="C384" i="1"/>
  <c r="B384" i="1"/>
  <c r="F384" i="1" s="1"/>
  <c r="C383" i="1"/>
  <c r="B383" i="1"/>
  <c r="F383" i="1" s="1"/>
  <c r="C382" i="1"/>
  <c r="B382" i="1"/>
  <c r="F382" i="1" s="1"/>
  <c r="C381" i="1"/>
  <c r="B381" i="1"/>
  <c r="F381" i="1" s="1"/>
  <c r="C380" i="1"/>
  <c r="B380" i="1"/>
  <c r="F380" i="1" s="1"/>
  <c r="C379" i="1"/>
  <c r="B379" i="1"/>
  <c r="F379" i="1" s="1"/>
  <c r="C378" i="1"/>
  <c r="B378" i="1"/>
  <c r="F378" i="1" s="1"/>
  <c r="C377" i="1"/>
  <c r="B377" i="1"/>
  <c r="F377" i="1" s="1"/>
  <c r="C376" i="1"/>
  <c r="B376" i="1"/>
  <c r="F376" i="1" s="1"/>
  <c r="C375" i="1"/>
  <c r="B375" i="1"/>
  <c r="F375" i="1" s="1"/>
  <c r="C374" i="1"/>
  <c r="B374" i="1"/>
  <c r="F374" i="1" s="1"/>
  <c r="C373" i="1"/>
  <c r="B373" i="1"/>
  <c r="F373" i="1" s="1"/>
  <c r="C372" i="1"/>
  <c r="B372" i="1"/>
  <c r="F372" i="1" s="1"/>
  <c r="C371" i="1"/>
  <c r="B371" i="1"/>
  <c r="F371" i="1" s="1"/>
  <c r="C370" i="1"/>
  <c r="B370" i="1"/>
  <c r="F370" i="1" s="1"/>
  <c r="C369" i="1"/>
  <c r="B369" i="1"/>
  <c r="F369" i="1" s="1"/>
  <c r="C368" i="1"/>
  <c r="B368" i="1"/>
  <c r="F368" i="1" s="1"/>
  <c r="C367" i="1"/>
  <c r="B367" i="1"/>
  <c r="F367" i="1" s="1"/>
  <c r="C366" i="1"/>
  <c r="B366" i="1"/>
  <c r="F366" i="1" s="1"/>
  <c r="C365" i="1"/>
  <c r="B365" i="1"/>
  <c r="F365" i="1" s="1"/>
  <c r="C364" i="1"/>
  <c r="B364" i="1"/>
  <c r="F364" i="1" s="1"/>
  <c r="C363" i="1"/>
  <c r="B363" i="1"/>
  <c r="F363" i="1" s="1"/>
  <c r="C362" i="1"/>
  <c r="B362" i="1"/>
  <c r="F362" i="1" s="1"/>
  <c r="C361" i="1"/>
  <c r="B361" i="1"/>
  <c r="F361" i="1" s="1"/>
  <c r="C360" i="1"/>
  <c r="B360" i="1"/>
  <c r="F360" i="1" s="1"/>
  <c r="C359" i="1"/>
  <c r="B359" i="1"/>
  <c r="F359" i="1" s="1"/>
  <c r="C358" i="1"/>
  <c r="B358" i="1"/>
  <c r="F358" i="1" s="1"/>
  <c r="C357" i="1"/>
  <c r="B357" i="1"/>
  <c r="F357" i="1" s="1"/>
  <c r="C356" i="1"/>
  <c r="B356" i="1"/>
  <c r="F356" i="1" s="1"/>
  <c r="C355" i="1"/>
  <c r="B355" i="1"/>
  <c r="F355" i="1" s="1"/>
  <c r="C354" i="1"/>
  <c r="B354" i="1"/>
  <c r="F354" i="1" s="1"/>
  <c r="C353" i="1"/>
  <c r="B353" i="1"/>
  <c r="F353" i="1" s="1"/>
  <c r="C352" i="1"/>
  <c r="B352" i="1"/>
  <c r="F352" i="1" s="1"/>
  <c r="C351" i="1"/>
  <c r="B351" i="1"/>
  <c r="F351" i="1" s="1"/>
  <c r="C350" i="1"/>
  <c r="B350" i="1"/>
  <c r="F350" i="1" s="1"/>
  <c r="C349" i="1"/>
  <c r="B349" i="1"/>
  <c r="F349" i="1" s="1"/>
  <c r="C348" i="1"/>
  <c r="B348" i="1"/>
  <c r="F348" i="1" s="1"/>
  <c r="C347" i="1"/>
  <c r="B347" i="1"/>
  <c r="F347" i="1" s="1"/>
  <c r="C346" i="1"/>
  <c r="B346" i="1"/>
  <c r="F346" i="1" s="1"/>
  <c r="C345" i="1"/>
  <c r="B345" i="1"/>
  <c r="F345" i="1" s="1"/>
  <c r="C344" i="1"/>
  <c r="B344" i="1"/>
  <c r="F344" i="1" s="1"/>
  <c r="C343" i="1"/>
  <c r="B343" i="1"/>
  <c r="F343" i="1" s="1"/>
  <c r="C342" i="1"/>
  <c r="B342" i="1"/>
  <c r="F342" i="1" s="1"/>
  <c r="C341" i="1"/>
  <c r="B341" i="1"/>
  <c r="F341" i="1" s="1"/>
  <c r="C340" i="1"/>
  <c r="B340" i="1"/>
  <c r="F340" i="1" s="1"/>
  <c r="C339" i="1"/>
  <c r="B339" i="1"/>
  <c r="F339" i="1" s="1"/>
  <c r="C338" i="1"/>
  <c r="B338" i="1"/>
  <c r="F338" i="1" s="1"/>
  <c r="C337" i="1"/>
  <c r="B337" i="1"/>
  <c r="F337" i="1" s="1"/>
  <c r="C336" i="1"/>
  <c r="B336" i="1"/>
  <c r="F336" i="1" s="1"/>
  <c r="C335" i="1"/>
  <c r="B335" i="1"/>
  <c r="F335" i="1" s="1"/>
  <c r="C334" i="1"/>
  <c r="B334" i="1"/>
  <c r="F334" i="1" s="1"/>
  <c r="C333" i="1"/>
  <c r="B333" i="1"/>
  <c r="F333" i="1" s="1"/>
  <c r="C332" i="1"/>
  <c r="B332" i="1"/>
  <c r="F332" i="1" s="1"/>
  <c r="C331" i="1"/>
  <c r="B331" i="1"/>
  <c r="F331" i="1" s="1"/>
  <c r="C330" i="1"/>
  <c r="B330" i="1"/>
  <c r="F330" i="1" s="1"/>
  <c r="C329" i="1"/>
  <c r="B329" i="1"/>
  <c r="F329" i="1" s="1"/>
  <c r="C328" i="1"/>
  <c r="B328" i="1"/>
  <c r="F328" i="1" s="1"/>
  <c r="C327" i="1"/>
  <c r="B327" i="1"/>
  <c r="F327" i="1" s="1"/>
  <c r="C326" i="1"/>
  <c r="B326" i="1"/>
  <c r="F326" i="1" s="1"/>
  <c r="C325" i="1"/>
  <c r="B325" i="1"/>
  <c r="F325" i="1" s="1"/>
  <c r="C324" i="1"/>
  <c r="B324" i="1"/>
  <c r="F324" i="1" s="1"/>
  <c r="C323" i="1"/>
  <c r="B323" i="1"/>
  <c r="F323" i="1" s="1"/>
  <c r="C322" i="1"/>
  <c r="B322" i="1"/>
  <c r="F322" i="1" s="1"/>
  <c r="C321" i="1"/>
  <c r="B321" i="1"/>
  <c r="F321" i="1" s="1"/>
  <c r="C320" i="1"/>
  <c r="B320" i="1"/>
  <c r="F320" i="1" s="1"/>
  <c r="C319" i="1"/>
  <c r="B319" i="1"/>
  <c r="F319" i="1" s="1"/>
  <c r="C318" i="1"/>
  <c r="B318" i="1"/>
  <c r="F318" i="1" s="1"/>
  <c r="C317" i="1"/>
  <c r="B317" i="1"/>
  <c r="F317" i="1" s="1"/>
  <c r="C316" i="1"/>
  <c r="B316" i="1"/>
  <c r="F316" i="1" s="1"/>
  <c r="C315" i="1"/>
  <c r="B315" i="1"/>
  <c r="F315" i="1" s="1"/>
  <c r="C314" i="1"/>
  <c r="B314" i="1"/>
  <c r="F314" i="1" s="1"/>
  <c r="C313" i="1"/>
  <c r="B313" i="1"/>
  <c r="F313" i="1" s="1"/>
  <c r="C312" i="1"/>
  <c r="B312" i="1"/>
  <c r="F312" i="1" s="1"/>
  <c r="C311" i="1"/>
  <c r="B311" i="1"/>
  <c r="F311" i="1" s="1"/>
  <c r="C310" i="1"/>
  <c r="B310" i="1"/>
  <c r="F310" i="1" s="1"/>
  <c r="C309" i="1"/>
  <c r="B309" i="1"/>
  <c r="F309" i="1" s="1"/>
  <c r="C308" i="1"/>
  <c r="B308" i="1"/>
  <c r="F308" i="1" s="1"/>
  <c r="C307" i="1"/>
  <c r="B307" i="1"/>
  <c r="F307" i="1" s="1"/>
  <c r="C306" i="1"/>
  <c r="B306" i="1"/>
  <c r="F306" i="1" s="1"/>
  <c r="C305" i="1"/>
  <c r="B305" i="1"/>
  <c r="F305" i="1" s="1"/>
  <c r="C304" i="1"/>
  <c r="B304" i="1"/>
  <c r="F304" i="1" s="1"/>
  <c r="C303" i="1"/>
  <c r="B303" i="1"/>
  <c r="F303" i="1" s="1"/>
  <c r="C302" i="1"/>
  <c r="B302" i="1"/>
  <c r="F302" i="1" s="1"/>
  <c r="C301" i="1"/>
  <c r="B301" i="1"/>
  <c r="F301" i="1" s="1"/>
  <c r="C300" i="1"/>
  <c r="B300" i="1"/>
  <c r="F300" i="1" s="1"/>
  <c r="C299" i="1"/>
  <c r="B299" i="1"/>
  <c r="F299" i="1" s="1"/>
  <c r="C298" i="1"/>
  <c r="B298" i="1"/>
  <c r="F298" i="1" s="1"/>
  <c r="C297" i="1"/>
  <c r="B297" i="1"/>
  <c r="F297" i="1" s="1"/>
  <c r="C296" i="1"/>
  <c r="B296" i="1"/>
  <c r="F296" i="1" s="1"/>
  <c r="C295" i="1"/>
  <c r="B295" i="1"/>
  <c r="F295" i="1" s="1"/>
  <c r="C294" i="1"/>
  <c r="B294" i="1"/>
  <c r="F294" i="1" s="1"/>
  <c r="C293" i="1"/>
  <c r="B293" i="1"/>
  <c r="F293" i="1" s="1"/>
  <c r="C292" i="1"/>
  <c r="B292" i="1"/>
  <c r="F292" i="1" s="1"/>
  <c r="C291" i="1"/>
  <c r="B291" i="1"/>
  <c r="F291" i="1" s="1"/>
  <c r="C290" i="1"/>
  <c r="B290" i="1"/>
  <c r="F290" i="1" s="1"/>
  <c r="C289" i="1"/>
  <c r="B289" i="1"/>
  <c r="F289" i="1" s="1"/>
  <c r="C288" i="1"/>
  <c r="B288" i="1"/>
  <c r="F288" i="1" s="1"/>
  <c r="C287" i="1"/>
  <c r="B287" i="1"/>
  <c r="F287" i="1" s="1"/>
  <c r="C286" i="1"/>
  <c r="B286" i="1"/>
  <c r="F286" i="1" s="1"/>
  <c r="C285" i="1"/>
  <c r="B285" i="1"/>
  <c r="F285" i="1" s="1"/>
  <c r="C284" i="1"/>
  <c r="B284" i="1"/>
  <c r="F284" i="1" s="1"/>
  <c r="C283" i="1"/>
  <c r="B283" i="1"/>
  <c r="F283" i="1" s="1"/>
  <c r="C282" i="1"/>
  <c r="B282" i="1"/>
  <c r="F282" i="1" s="1"/>
  <c r="C281" i="1"/>
  <c r="B281" i="1"/>
  <c r="F281" i="1" s="1"/>
  <c r="C280" i="1"/>
  <c r="B280" i="1"/>
  <c r="F280" i="1" s="1"/>
  <c r="C279" i="1"/>
  <c r="B279" i="1"/>
  <c r="F279" i="1" s="1"/>
  <c r="C278" i="1"/>
  <c r="B278" i="1"/>
  <c r="F278" i="1" s="1"/>
  <c r="C277" i="1"/>
  <c r="B277" i="1"/>
  <c r="F277" i="1" s="1"/>
  <c r="C276" i="1"/>
  <c r="B276" i="1"/>
  <c r="F276" i="1" s="1"/>
  <c r="C275" i="1"/>
  <c r="B275" i="1"/>
  <c r="F275" i="1" s="1"/>
  <c r="C274" i="1"/>
  <c r="B274" i="1"/>
  <c r="F274" i="1" s="1"/>
  <c r="C273" i="1"/>
  <c r="B273" i="1"/>
  <c r="F273" i="1" s="1"/>
  <c r="C272" i="1"/>
  <c r="B272" i="1"/>
  <c r="F272" i="1" s="1"/>
  <c r="C271" i="1"/>
  <c r="B271" i="1"/>
  <c r="F271" i="1" s="1"/>
  <c r="C270" i="1"/>
  <c r="B270" i="1"/>
  <c r="F270" i="1" s="1"/>
  <c r="C269" i="1"/>
  <c r="B269" i="1"/>
  <c r="F269" i="1" s="1"/>
  <c r="C268" i="1"/>
  <c r="B268" i="1"/>
  <c r="F268" i="1" s="1"/>
  <c r="C267" i="1"/>
  <c r="B267" i="1"/>
  <c r="F267" i="1" s="1"/>
  <c r="C266" i="1"/>
  <c r="B266" i="1"/>
  <c r="F266" i="1" s="1"/>
  <c r="C265" i="1"/>
  <c r="B265" i="1"/>
  <c r="F265" i="1" s="1"/>
  <c r="C264" i="1"/>
  <c r="B264" i="1"/>
  <c r="F264" i="1" s="1"/>
  <c r="C263" i="1"/>
  <c r="B263" i="1"/>
  <c r="F263" i="1" s="1"/>
  <c r="C262" i="1"/>
  <c r="B262" i="1"/>
  <c r="F262" i="1" s="1"/>
  <c r="C261" i="1"/>
  <c r="B261" i="1"/>
  <c r="F261" i="1" s="1"/>
  <c r="C260" i="1"/>
  <c r="B260" i="1"/>
  <c r="F260" i="1" s="1"/>
  <c r="C259" i="1"/>
  <c r="B259" i="1"/>
  <c r="F259" i="1" s="1"/>
  <c r="C258" i="1"/>
  <c r="B258" i="1"/>
  <c r="F258" i="1" s="1"/>
  <c r="C257" i="1"/>
  <c r="B257" i="1"/>
  <c r="F257" i="1" s="1"/>
  <c r="C256" i="1"/>
  <c r="B256" i="1"/>
  <c r="F256" i="1" s="1"/>
  <c r="C255" i="1"/>
  <c r="B255" i="1"/>
  <c r="F255" i="1" s="1"/>
  <c r="C254" i="1"/>
  <c r="B254" i="1"/>
  <c r="F254" i="1" s="1"/>
  <c r="C253" i="1"/>
  <c r="B253" i="1"/>
  <c r="F253" i="1" s="1"/>
  <c r="C252" i="1"/>
  <c r="B252" i="1"/>
  <c r="F252" i="1" s="1"/>
  <c r="C251" i="1"/>
  <c r="B251" i="1"/>
  <c r="F251" i="1" s="1"/>
  <c r="C250" i="1"/>
  <c r="B250" i="1"/>
  <c r="F250" i="1" s="1"/>
  <c r="C249" i="1"/>
  <c r="B249" i="1"/>
  <c r="F249" i="1" s="1"/>
  <c r="C248" i="1"/>
  <c r="B248" i="1"/>
  <c r="F248" i="1" s="1"/>
  <c r="C247" i="1"/>
  <c r="B247" i="1"/>
  <c r="F247" i="1" s="1"/>
  <c r="C246" i="1"/>
  <c r="B246" i="1"/>
  <c r="F246" i="1" s="1"/>
  <c r="C245" i="1"/>
  <c r="B245" i="1"/>
  <c r="F245" i="1" s="1"/>
  <c r="C244" i="1"/>
  <c r="B244" i="1"/>
  <c r="F244" i="1" s="1"/>
  <c r="C243" i="1"/>
  <c r="B243" i="1"/>
  <c r="F243" i="1" s="1"/>
  <c r="C242" i="1"/>
  <c r="B242" i="1"/>
  <c r="F242" i="1" s="1"/>
  <c r="C241" i="1"/>
  <c r="B241" i="1"/>
  <c r="F241" i="1" s="1"/>
  <c r="C240" i="1"/>
  <c r="B240" i="1"/>
  <c r="F240" i="1" s="1"/>
  <c r="C239" i="1"/>
  <c r="B239" i="1"/>
  <c r="F239" i="1" s="1"/>
  <c r="C238" i="1"/>
  <c r="B238" i="1"/>
  <c r="F238" i="1" s="1"/>
  <c r="C237" i="1"/>
  <c r="B237" i="1"/>
  <c r="F237" i="1" s="1"/>
  <c r="C236" i="1"/>
  <c r="B236" i="1"/>
  <c r="F236" i="1" s="1"/>
  <c r="C235" i="1"/>
  <c r="B235" i="1"/>
  <c r="F235" i="1" s="1"/>
  <c r="C234" i="1"/>
  <c r="B234" i="1"/>
  <c r="F234" i="1" s="1"/>
  <c r="C233" i="1"/>
  <c r="B233" i="1"/>
  <c r="F233" i="1" s="1"/>
  <c r="C232" i="1"/>
  <c r="B232" i="1"/>
  <c r="F232" i="1" s="1"/>
  <c r="C231" i="1"/>
  <c r="B231" i="1"/>
  <c r="F231" i="1" s="1"/>
  <c r="C230" i="1"/>
  <c r="B230" i="1"/>
  <c r="F230" i="1" s="1"/>
  <c r="C229" i="1"/>
  <c r="B229" i="1"/>
  <c r="F229" i="1" s="1"/>
  <c r="C228" i="1"/>
  <c r="B228" i="1"/>
  <c r="F228" i="1" s="1"/>
  <c r="C227" i="1"/>
  <c r="B227" i="1"/>
  <c r="F227" i="1" s="1"/>
  <c r="C226" i="1"/>
  <c r="B226" i="1"/>
  <c r="F226" i="1" s="1"/>
  <c r="C225" i="1"/>
  <c r="B225" i="1"/>
  <c r="F225" i="1" s="1"/>
  <c r="C224" i="1"/>
  <c r="B224" i="1"/>
  <c r="F224" i="1" s="1"/>
  <c r="C223" i="1"/>
  <c r="B223" i="1"/>
  <c r="F223" i="1" s="1"/>
  <c r="C222" i="1"/>
  <c r="B222" i="1"/>
  <c r="F222" i="1" s="1"/>
  <c r="C221" i="1"/>
  <c r="B221" i="1"/>
  <c r="F221" i="1" s="1"/>
  <c r="C220" i="1"/>
  <c r="B220" i="1"/>
  <c r="F220" i="1" s="1"/>
  <c r="C219" i="1"/>
  <c r="B219" i="1"/>
  <c r="F219" i="1" s="1"/>
  <c r="C218" i="1"/>
  <c r="B218" i="1"/>
  <c r="F218" i="1" s="1"/>
  <c r="C217" i="1"/>
  <c r="B217" i="1"/>
  <c r="F217" i="1" s="1"/>
  <c r="C216" i="1"/>
  <c r="B216" i="1"/>
  <c r="F216" i="1" s="1"/>
  <c r="C215" i="1"/>
  <c r="B215" i="1"/>
  <c r="F215" i="1" s="1"/>
  <c r="C214" i="1"/>
  <c r="B214" i="1"/>
  <c r="F214" i="1" s="1"/>
  <c r="C213" i="1"/>
  <c r="B213" i="1"/>
  <c r="F213" i="1" s="1"/>
  <c r="C212" i="1"/>
  <c r="B212" i="1"/>
  <c r="F212" i="1" s="1"/>
  <c r="C211" i="1"/>
  <c r="B211" i="1"/>
  <c r="F211" i="1" s="1"/>
  <c r="C210" i="1"/>
  <c r="B210" i="1"/>
  <c r="F210" i="1" s="1"/>
  <c r="C209" i="1"/>
  <c r="B209" i="1"/>
  <c r="F209" i="1" s="1"/>
  <c r="C208" i="1"/>
  <c r="B208" i="1"/>
  <c r="F208" i="1" s="1"/>
  <c r="C207" i="1"/>
  <c r="B207" i="1"/>
  <c r="F207" i="1" s="1"/>
  <c r="C206" i="1"/>
  <c r="B206" i="1"/>
  <c r="F206" i="1" s="1"/>
  <c r="C205" i="1"/>
  <c r="B205" i="1"/>
  <c r="F205" i="1" s="1"/>
  <c r="C204" i="1"/>
  <c r="B204" i="1"/>
  <c r="F204" i="1" s="1"/>
  <c r="C203" i="1"/>
  <c r="B203" i="1"/>
  <c r="F203" i="1" s="1"/>
  <c r="C202" i="1"/>
  <c r="B202" i="1"/>
  <c r="F202" i="1" s="1"/>
  <c r="C201" i="1"/>
  <c r="B201" i="1"/>
  <c r="F201" i="1" s="1"/>
  <c r="C200" i="1"/>
  <c r="B200" i="1"/>
  <c r="F200" i="1" s="1"/>
  <c r="C199" i="1"/>
  <c r="B199" i="1"/>
  <c r="F199" i="1" s="1"/>
  <c r="C198" i="1"/>
  <c r="B198" i="1"/>
  <c r="F198" i="1" s="1"/>
  <c r="C197" i="1"/>
  <c r="B197" i="1"/>
  <c r="F197" i="1" s="1"/>
  <c r="C196" i="1"/>
  <c r="B196" i="1"/>
  <c r="F196" i="1" s="1"/>
  <c r="C195" i="1"/>
  <c r="B195" i="1"/>
  <c r="F195" i="1" s="1"/>
  <c r="C194" i="1"/>
  <c r="B194" i="1"/>
  <c r="F194" i="1" s="1"/>
  <c r="C193" i="1"/>
  <c r="B193" i="1"/>
  <c r="F193" i="1" s="1"/>
  <c r="C192" i="1"/>
  <c r="B192" i="1"/>
  <c r="F192" i="1" s="1"/>
  <c r="C191" i="1"/>
  <c r="B191" i="1"/>
  <c r="F191" i="1" s="1"/>
  <c r="C190" i="1"/>
  <c r="B190" i="1"/>
  <c r="F190" i="1" s="1"/>
  <c r="C189" i="1"/>
  <c r="B189" i="1"/>
  <c r="F189" i="1" s="1"/>
  <c r="C188" i="1"/>
  <c r="B188" i="1"/>
  <c r="F188" i="1" s="1"/>
  <c r="C187" i="1"/>
  <c r="B187" i="1"/>
  <c r="F187" i="1" s="1"/>
  <c r="C186" i="1"/>
  <c r="B186" i="1"/>
  <c r="F186" i="1" s="1"/>
  <c r="C185" i="1"/>
  <c r="B185" i="1"/>
  <c r="F185" i="1" s="1"/>
  <c r="C184" i="1"/>
  <c r="B184" i="1"/>
  <c r="F184" i="1" s="1"/>
  <c r="C183" i="1"/>
  <c r="B183" i="1"/>
  <c r="F183" i="1" s="1"/>
  <c r="C182" i="1"/>
  <c r="B182" i="1"/>
  <c r="F182" i="1" s="1"/>
  <c r="C181" i="1"/>
  <c r="B181" i="1"/>
  <c r="F181" i="1" s="1"/>
  <c r="C180" i="1"/>
  <c r="B180" i="1"/>
  <c r="F180" i="1" s="1"/>
  <c r="C179" i="1"/>
  <c r="B179" i="1"/>
  <c r="F179" i="1" s="1"/>
  <c r="C178" i="1"/>
  <c r="B178" i="1"/>
  <c r="F178" i="1" s="1"/>
  <c r="C177" i="1"/>
  <c r="B177" i="1"/>
  <c r="F177" i="1" s="1"/>
  <c r="C176" i="1"/>
  <c r="B176" i="1"/>
  <c r="F176" i="1" s="1"/>
  <c r="C175" i="1"/>
  <c r="B175" i="1"/>
  <c r="F175" i="1" s="1"/>
  <c r="C174" i="1"/>
  <c r="B174" i="1"/>
  <c r="F174" i="1" s="1"/>
  <c r="C173" i="1"/>
  <c r="B173" i="1"/>
  <c r="F173" i="1" s="1"/>
  <c r="C172" i="1"/>
  <c r="B172" i="1"/>
  <c r="F172" i="1" s="1"/>
  <c r="C171" i="1"/>
  <c r="B171" i="1"/>
  <c r="F171" i="1" s="1"/>
  <c r="C170" i="1"/>
  <c r="B170" i="1"/>
  <c r="F170" i="1" s="1"/>
  <c r="C169" i="1"/>
  <c r="B169" i="1"/>
  <c r="F169" i="1" s="1"/>
  <c r="C168" i="1"/>
  <c r="B168" i="1"/>
  <c r="F168" i="1" s="1"/>
  <c r="C167" i="1"/>
  <c r="B167" i="1"/>
  <c r="F167" i="1" s="1"/>
  <c r="C166" i="1"/>
  <c r="B166" i="1"/>
  <c r="F166" i="1" s="1"/>
  <c r="C165" i="1"/>
  <c r="B165" i="1"/>
  <c r="F165" i="1" s="1"/>
  <c r="C164" i="1"/>
  <c r="B164" i="1"/>
  <c r="F164" i="1" s="1"/>
  <c r="C163" i="1"/>
  <c r="B163" i="1"/>
  <c r="F163" i="1" s="1"/>
  <c r="C162" i="1"/>
  <c r="B162" i="1"/>
  <c r="F162" i="1" s="1"/>
  <c r="C161" i="1"/>
  <c r="B161" i="1"/>
  <c r="F161" i="1" s="1"/>
  <c r="C160" i="1"/>
  <c r="B160" i="1"/>
  <c r="F160" i="1" s="1"/>
  <c r="C159" i="1"/>
  <c r="B159" i="1"/>
  <c r="F159" i="1" s="1"/>
  <c r="C158" i="1"/>
  <c r="B158" i="1"/>
  <c r="F158" i="1" s="1"/>
  <c r="C157" i="1"/>
  <c r="B157" i="1"/>
  <c r="F157" i="1" s="1"/>
  <c r="C156" i="1"/>
  <c r="B156" i="1"/>
  <c r="F156" i="1" s="1"/>
  <c r="C155" i="1"/>
  <c r="B155" i="1"/>
  <c r="F155" i="1" s="1"/>
  <c r="C154" i="1"/>
  <c r="B154" i="1"/>
  <c r="F154" i="1" s="1"/>
  <c r="C153" i="1"/>
  <c r="B153" i="1"/>
  <c r="F153" i="1" s="1"/>
  <c r="C152" i="1"/>
  <c r="B152" i="1"/>
  <c r="F152" i="1" s="1"/>
  <c r="C151" i="1"/>
  <c r="B151" i="1"/>
  <c r="F151" i="1" s="1"/>
  <c r="C150" i="1"/>
  <c r="B150" i="1"/>
  <c r="F150" i="1" s="1"/>
  <c r="C149" i="1"/>
  <c r="B149" i="1"/>
  <c r="F149" i="1" s="1"/>
  <c r="C148" i="1"/>
  <c r="B148" i="1"/>
  <c r="F148" i="1" s="1"/>
  <c r="C147" i="1"/>
  <c r="B147" i="1"/>
  <c r="F147" i="1" s="1"/>
  <c r="C146" i="1"/>
  <c r="B146" i="1"/>
  <c r="F146" i="1" s="1"/>
  <c r="C145" i="1"/>
  <c r="B145" i="1"/>
  <c r="F145" i="1" s="1"/>
  <c r="C144" i="1"/>
  <c r="B144" i="1"/>
  <c r="F144" i="1" s="1"/>
  <c r="C143" i="1"/>
  <c r="B143" i="1"/>
  <c r="F143" i="1" s="1"/>
  <c r="C142" i="1"/>
  <c r="B142" i="1"/>
  <c r="F142" i="1" s="1"/>
  <c r="C141" i="1"/>
  <c r="B141" i="1"/>
  <c r="F141" i="1" s="1"/>
  <c r="C140" i="1"/>
  <c r="B140" i="1"/>
  <c r="F140" i="1" s="1"/>
  <c r="C139" i="1"/>
  <c r="B139" i="1"/>
  <c r="F139" i="1" s="1"/>
  <c r="C138" i="1"/>
  <c r="B138" i="1"/>
  <c r="F138" i="1" s="1"/>
  <c r="C137" i="1"/>
  <c r="B137" i="1"/>
  <c r="F137" i="1" s="1"/>
  <c r="C136" i="1"/>
  <c r="B136" i="1"/>
  <c r="F136" i="1" s="1"/>
  <c r="C135" i="1"/>
  <c r="B135" i="1"/>
  <c r="F135" i="1" s="1"/>
  <c r="C134" i="1"/>
  <c r="B134" i="1"/>
  <c r="F134" i="1" s="1"/>
  <c r="C133" i="1"/>
  <c r="B133" i="1"/>
  <c r="F133" i="1" s="1"/>
  <c r="C132" i="1"/>
  <c r="B132" i="1"/>
  <c r="F132" i="1" s="1"/>
  <c r="C131" i="1"/>
  <c r="B131" i="1"/>
  <c r="F131" i="1" s="1"/>
  <c r="C130" i="1"/>
  <c r="B130" i="1"/>
  <c r="F130" i="1" s="1"/>
  <c r="C129" i="1"/>
  <c r="B129" i="1"/>
  <c r="F129" i="1" s="1"/>
  <c r="C128" i="1"/>
  <c r="B128" i="1"/>
  <c r="F128" i="1" s="1"/>
  <c r="C127" i="1"/>
  <c r="B127" i="1"/>
  <c r="F127" i="1" s="1"/>
  <c r="C126" i="1"/>
  <c r="B126" i="1"/>
  <c r="F126" i="1" s="1"/>
  <c r="C125" i="1"/>
  <c r="B125" i="1"/>
  <c r="F125" i="1" s="1"/>
  <c r="C124" i="1"/>
  <c r="B124" i="1"/>
  <c r="F124" i="1" s="1"/>
  <c r="C123" i="1"/>
  <c r="B123" i="1"/>
  <c r="F123" i="1" s="1"/>
  <c r="C122" i="1"/>
  <c r="B122" i="1"/>
  <c r="F122" i="1" s="1"/>
  <c r="C121" i="1"/>
  <c r="B121" i="1"/>
  <c r="F121" i="1" s="1"/>
  <c r="C120" i="1"/>
  <c r="B120" i="1"/>
  <c r="F120" i="1" s="1"/>
  <c r="C119" i="1"/>
  <c r="B119" i="1"/>
  <c r="F119" i="1" s="1"/>
  <c r="C118" i="1"/>
  <c r="B118" i="1"/>
  <c r="F118" i="1" s="1"/>
  <c r="C117" i="1"/>
  <c r="B117" i="1"/>
  <c r="F117" i="1" s="1"/>
  <c r="C116" i="1"/>
  <c r="B116" i="1"/>
  <c r="F116" i="1" s="1"/>
  <c r="C115" i="1"/>
  <c r="B115" i="1"/>
  <c r="F115" i="1" s="1"/>
  <c r="C114" i="1"/>
  <c r="B114" i="1"/>
  <c r="F114" i="1" s="1"/>
  <c r="C113" i="1"/>
  <c r="B113" i="1"/>
  <c r="F113" i="1" s="1"/>
  <c r="C112" i="1"/>
  <c r="B112" i="1"/>
  <c r="F112" i="1" s="1"/>
  <c r="C111" i="1"/>
  <c r="B111" i="1"/>
  <c r="F111" i="1" s="1"/>
  <c r="C110" i="1"/>
  <c r="B110" i="1"/>
  <c r="F110" i="1" s="1"/>
  <c r="C109" i="1"/>
  <c r="B109" i="1"/>
  <c r="F109" i="1" s="1"/>
  <c r="C108" i="1"/>
  <c r="B108" i="1"/>
  <c r="F108" i="1" s="1"/>
  <c r="C107" i="1"/>
  <c r="B107" i="1"/>
  <c r="F107" i="1" s="1"/>
  <c r="C106" i="1"/>
  <c r="B106" i="1"/>
  <c r="F106" i="1" s="1"/>
  <c r="C105" i="1"/>
  <c r="B105" i="1"/>
  <c r="F105" i="1" s="1"/>
  <c r="C104" i="1"/>
  <c r="B104" i="1"/>
  <c r="F104" i="1" s="1"/>
  <c r="C103" i="1"/>
  <c r="B103" i="1"/>
  <c r="F103" i="1" s="1"/>
  <c r="C102" i="1"/>
  <c r="B102" i="1"/>
  <c r="F102" i="1" s="1"/>
  <c r="C101" i="1"/>
  <c r="B101" i="1"/>
  <c r="F101" i="1" s="1"/>
  <c r="C100" i="1"/>
  <c r="B100" i="1"/>
  <c r="F100" i="1" s="1"/>
  <c r="C99" i="1"/>
  <c r="B99" i="1"/>
  <c r="F99" i="1" s="1"/>
  <c r="C98" i="1"/>
  <c r="B98" i="1"/>
  <c r="F98" i="1" s="1"/>
  <c r="C97" i="1"/>
  <c r="B97" i="1"/>
  <c r="F97" i="1" s="1"/>
  <c r="C96" i="1"/>
  <c r="B96" i="1"/>
  <c r="F96" i="1" s="1"/>
  <c r="C95" i="1"/>
  <c r="B95" i="1"/>
  <c r="F95" i="1" s="1"/>
  <c r="C94" i="1"/>
  <c r="B94" i="1"/>
  <c r="F94" i="1" s="1"/>
  <c r="C93" i="1"/>
  <c r="B93" i="1"/>
  <c r="F93" i="1" s="1"/>
  <c r="C92" i="1"/>
  <c r="B92" i="1"/>
  <c r="F92" i="1" s="1"/>
  <c r="C91" i="1"/>
  <c r="B91" i="1"/>
  <c r="F91" i="1" s="1"/>
  <c r="C90" i="1"/>
  <c r="B90" i="1"/>
  <c r="F90" i="1" s="1"/>
  <c r="C89" i="1"/>
  <c r="B89" i="1"/>
  <c r="F89" i="1" s="1"/>
  <c r="C88" i="1"/>
  <c r="B88" i="1"/>
  <c r="F88" i="1" s="1"/>
  <c r="C87" i="1"/>
  <c r="B87" i="1"/>
  <c r="F87" i="1" s="1"/>
  <c r="C86" i="1"/>
  <c r="B86" i="1"/>
  <c r="F86" i="1" s="1"/>
  <c r="C85" i="1"/>
  <c r="B85" i="1"/>
  <c r="F85" i="1" s="1"/>
  <c r="C84" i="1"/>
  <c r="B84" i="1"/>
  <c r="F84" i="1" s="1"/>
  <c r="C83" i="1"/>
  <c r="B83" i="1"/>
  <c r="F83" i="1" s="1"/>
  <c r="C82" i="1"/>
  <c r="B82" i="1"/>
  <c r="F82" i="1" s="1"/>
  <c r="C81" i="1"/>
  <c r="B81" i="1"/>
  <c r="F81" i="1" s="1"/>
  <c r="C80" i="1"/>
  <c r="B80" i="1"/>
  <c r="F80" i="1" s="1"/>
  <c r="C79" i="1"/>
  <c r="B79" i="1"/>
  <c r="F79" i="1" s="1"/>
  <c r="C78" i="1"/>
  <c r="B78" i="1"/>
  <c r="F78" i="1" s="1"/>
  <c r="C77" i="1"/>
  <c r="B77" i="1"/>
  <c r="F77" i="1" s="1"/>
  <c r="C76" i="1"/>
  <c r="B76" i="1"/>
  <c r="F76" i="1" s="1"/>
  <c r="C75" i="1"/>
  <c r="B75" i="1"/>
  <c r="F75" i="1" s="1"/>
  <c r="C74" i="1"/>
  <c r="B74" i="1"/>
  <c r="F74" i="1" s="1"/>
  <c r="C73" i="1"/>
  <c r="B73" i="1"/>
  <c r="F73" i="1" s="1"/>
  <c r="C72" i="1"/>
  <c r="B72" i="1"/>
  <c r="F72" i="1" s="1"/>
  <c r="C71" i="1"/>
  <c r="B71" i="1"/>
  <c r="F71" i="1" s="1"/>
  <c r="C70" i="1"/>
  <c r="B70" i="1"/>
  <c r="F70" i="1" s="1"/>
  <c r="C69" i="1"/>
  <c r="B69" i="1"/>
  <c r="F69" i="1" s="1"/>
  <c r="C68" i="1"/>
  <c r="B68" i="1"/>
  <c r="F68" i="1" s="1"/>
  <c r="C67" i="1"/>
  <c r="B67" i="1"/>
  <c r="F67" i="1" s="1"/>
  <c r="C66" i="1"/>
  <c r="B66" i="1"/>
  <c r="F66" i="1" s="1"/>
  <c r="C65" i="1"/>
  <c r="B65" i="1"/>
  <c r="F65" i="1" s="1"/>
  <c r="C64" i="1"/>
  <c r="B64" i="1"/>
  <c r="F64" i="1" s="1"/>
  <c r="C63" i="1"/>
  <c r="B63" i="1"/>
  <c r="F63" i="1" s="1"/>
  <c r="C62" i="1"/>
  <c r="B62" i="1"/>
  <c r="F62" i="1" s="1"/>
  <c r="C61" i="1"/>
  <c r="B61" i="1"/>
  <c r="F61" i="1" s="1"/>
  <c r="C60" i="1"/>
  <c r="B60" i="1"/>
  <c r="F60" i="1" s="1"/>
  <c r="C59" i="1"/>
  <c r="B59" i="1"/>
  <c r="F59" i="1" s="1"/>
  <c r="C58" i="1"/>
  <c r="B58" i="1"/>
  <c r="F58" i="1" s="1"/>
  <c r="C57" i="1"/>
  <c r="B57" i="1"/>
  <c r="F57" i="1" s="1"/>
  <c r="C56" i="1"/>
  <c r="B56" i="1"/>
  <c r="F56" i="1" s="1"/>
  <c r="C55" i="1"/>
  <c r="B55" i="1"/>
  <c r="F55" i="1" s="1"/>
  <c r="C54" i="1"/>
  <c r="B54" i="1"/>
  <c r="F54" i="1" s="1"/>
  <c r="C53" i="1"/>
  <c r="B53" i="1"/>
  <c r="F53" i="1" s="1"/>
  <c r="C52" i="1"/>
  <c r="B52" i="1"/>
  <c r="F52" i="1" s="1"/>
  <c r="C51" i="1"/>
  <c r="B51" i="1"/>
  <c r="F51" i="1" s="1"/>
  <c r="C50" i="1"/>
  <c r="B50" i="1"/>
  <c r="F50" i="1" s="1"/>
  <c r="C49" i="1"/>
  <c r="B49" i="1"/>
  <c r="F49" i="1" s="1"/>
  <c r="C48" i="1"/>
  <c r="B48" i="1"/>
  <c r="F48" i="1" s="1"/>
  <c r="C47" i="1"/>
  <c r="B47" i="1"/>
  <c r="F47" i="1" s="1"/>
  <c r="C46" i="1"/>
  <c r="B46" i="1"/>
  <c r="F46" i="1" s="1"/>
  <c r="C45" i="1"/>
  <c r="B45" i="1"/>
  <c r="F45" i="1" s="1"/>
  <c r="C44" i="1"/>
  <c r="B44" i="1"/>
  <c r="F44" i="1" s="1"/>
  <c r="C43" i="1"/>
  <c r="B43" i="1"/>
  <c r="F43" i="1" s="1"/>
  <c r="C42" i="1"/>
  <c r="B42" i="1"/>
  <c r="F42" i="1" s="1"/>
  <c r="C41" i="1"/>
  <c r="B41" i="1"/>
  <c r="F41" i="1" s="1"/>
  <c r="C40" i="1"/>
  <c r="B40" i="1"/>
  <c r="F40" i="1" s="1"/>
  <c r="C39" i="1"/>
  <c r="B39" i="1"/>
  <c r="F39" i="1" s="1"/>
  <c r="C38" i="1"/>
  <c r="B38" i="1"/>
  <c r="F38" i="1" s="1"/>
  <c r="C37" i="1"/>
  <c r="B37" i="1"/>
  <c r="F37" i="1" s="1"/>
  <c r="C36" i="1"/>
  <c r="B36" i="1"/>
  <c r="F36" i="1" s="1"/>
  <c r="C35" i="1"/>
  <c r="B35" i="1"/>
  <c r="F35" i="1" s="1"/>
  <c r="C34" i="1"/>
  <c r="B34" i="1"/>
  <c r="F34" i="1" s="1"/>
  <c r="C33" i="1"/>
  <c r="B33" i="1"/>
  <c r="F33" i="1" s="1"/>
  <c r="C32" i="1"/>
  <c r="B32" i="1"/>
  <c r="F32" i="1" s="1"/>
  <c r="C31" i="1"/>
  <c r="B31" i="1"/>
  <c r="F31" i="1" s="1"/>
  <c r="C30" i="1"/>
  <c r="B30" i="1"/>
  <c r="F30" i="1" s="1"/>
  <c r="C29" i="1"/>
  <c r="B29" i="1"/>
  <c r="F29" i="1" s="1"/>
  <c r="C28" i="1"/>
  <c r="B28" i="1"/>
  <c r="F28" i="1" s="1"/>
  <c r="C27" i="1"/>
  <c r="B27" i="1"/>
  <c r="F27" i="1" s="1"/>
  <c r="C26" i="1"/>
  <c r="B26" i="1"/>
  <c r="F26" i="1" s="1"/>
  <c r="C25" i="1"/>
  <c r="B25" i="1"/>
  <c r="F25" i="1" s="1"/>
  <c r="C24" i="1"/>
  <c r="B24" i="1"/>
  <c r="F24" i="1" s="1"/>
  <c r="C23" i="1"/>
  <c r="B23" i="1"/>
  <c r="F23" i="1" s="1"/>
  <c r="C22" i="1"/>
  <c r="B22" i="1"/>
  <c r="F22" i="1" s="1"/>
  <c r="C21" i="1"/>
  <c r="B21" i="1"/>
  <c r="F21" i="1" s="1"/>
  <c r="C20" i="1"/>
  <c r="B20" i="1"/>
  <c r="F20" i="1" s="1"/>
  <c r="C19" i="1"/>
  <c r="B19" i="1"/>
  <c r="F19" i="1" s="1"/>
  <c r="C18" i="1"/>
  <c r="B18" i="1"/>
  <c r="C17" i="1"/>
  <c r="B17" i="1"/>
  <c r="F17" i="1" s="1"/>
  <c r="C16" i="1"/>
  <c r="B16" i="1"/>
  <c r="F16" i="1" s="1"/>
  <c r="C15" i="1"/>
  <c r="B15" i="1"/>
  <c r="F15" i="1" s="1"/>
  <c r="C14" i="1"/>
  <c r="B14" i="1"/>
  <c r="F14" i="1" s="1"/>
  <c r="C13" i="1"/>
  <c r="B13" i="1"/>
  <c r="C12" i="1"/>
  <c r="B12" i="1"/>
  <c r="F12" i="1" s="1"/>
  <c r="F13" i="1" l="1"/>
  <c r="F18" i="1"/>
  <c r="D5" i="2"/>
  <c r="E5" i="2" s="1"/>
  <c r="F5" i="2" s="1"/>
  <c r="G5" i="2" s="1"/>
  <c r="H5" i="2" s="1"/>
  <c r="I5" i="2" s="1"/>
  <c r="J5" i="2" s="1"/>
  <c r="K5" i="2" s="1"/>
  <c r="L5" i="2" s="1"/>
  <c r="M5" i="2" s="1"/>
  <c r="N5" i="2" s="1"/>
  <c r="O5" i="2" s="1"/>
  <c r="P5" i="2" s="1"/>
  <c r="Q5" i="2" s="1"/>
  <c r="R5" i="2" s="1"/>
  <c r="S5" i="2" s="1"/>
  <c r="T5" i="2" s="1"/>
  <c r="U5" i="2" s="1"/>
  <c r="V5" i="2" s="1"/>
  <c r="W5" i="2" s="1"/>
  <c r="X5" i="2" s="1"/>
  <c r="Y5" i="2" s="1"/>
  <c r="Z5" i="2" s="1"/>
  <c r="AA5" i="2" s="1"/>
  <c r="AB5" i="2" s="1"/>
  <c r="AC5" i="2" s="1"/>
  <c r="AD5" i="2" s="1"/>
  <c r="AE5" i="2" s="1"/>
  <c r="AF5" i="2" s="1"/>
  <c r="AG5" i="2" s="1"/>
  <c r="AH5" i="2" s="1"/>
  <c r="AI5" i="2" s="1"/>
  <c r="AJ5" i="2" s="1"/>
  <c r="AK5" i="2" s="1"/>
  <c r="AL5" i="2" s="1"/>
  <c r="AM5" i="2" s="1"/>
  <c r="AN5" i="2" s="1"/>
  <c r="AO5" i="2" s="1"/>
  <c r="AP5" i="2" s="1"/>
  <c r="G2" i="2"/>
  <c r="C11" i="1"/>
  <c r="B11" i="1"/>
  <c r="F11" i="1" s="1"/>
  <c r="D7" i="2"/>
  <c r="H7" i="2" l="1"/>
  <c r="L7" i="2"/>
  <c r="P7" i="2"/>
  <c r="T7" i="2"/>
  <c r="X7" i="2"/>
  <c r="AB7" i="2"/>
  <c r="AF7" i="2"/>
  <c r="AJ7" i="2"/>
  <c r="AN7" i="2"/>
  <c r="E7" i="2"/>
  <c r="I7" i="2"/>
  <c r="M7" i="2"/>
  <c r="Q7" i="2"/>
  <c r="U7" i="2"/>
  <c r="Y7" i="2"/>
  <c r="AC7" i="2"/>
  <c r="AG7" i="2"/>
  <c r="AK7" i="2"/>
  <c r="AO7" i="2"/>
  <c r="F7" i="2"/>
  <c r="J7" i="2"/>
  <c r="N7" i="2"/>
  <c r="R7" i="2"/>
  <c r="V7" i="2"/>
  <c r="Z7" i="2"/>
  <c r="AD7" i="2"/>
  <c r="AH7" i="2"/>
  <c r="AL7" i="2"/>
  <c r="AP7" i="2"/>
  <c r="G7" i="2"/>
  <c r="K7" i="2"/>
  <c r="O7" i="2"/>
  <c r="S7" i="2"/>
  <c r="W7" i="2"/>
  <c r="AA7" i="2"/>
  <c r="AE7" i="2"/>
  <c r="AI7" i="2"/>
  <c r="AM7" i="2"/>
  <c r="O4" i="1"/>
  <c r="O2" i="1"/>
  <c r="O5" i="1"/>
  <c r="O3" i="1"/>
  <c r="O6" i="1"/>
  <c r="O7" i="1"/>
  <c r="O8" i="1"/>
  <c r="U6" i="2"/>
  <c r="L6" i="2"/>
  <c r="AJ6" i="2"/>
  <c r="Q6" i="2"/>
  <c r="AM6" i="2"/>
  <c r="AN6" i="2"/>
  <c r="Z6" i="2"/>
  <c r="G6" i="2"/>
  <c r="AI6" i="2"/>
  <c r="O6" i="2"/>
  <c r="AD6" i="2"/>
  <c r="AL6" i="2"/>
  <c r="AB6" i="2"/>
  <c r="H6" i="2"/>
  <c r="W6" i="2"/>
  <c r="AG6" i="2"/>
  <c r="R6" i="2"/>
  <c r="AK6" i="2"/>
  <c r="X6" i="2"/>
  <c r="Y6" i="2"/>
  <c r="P6" i="2"/>
  <c r="AA6" i="2"/>
  <c r="M6" i="2"/>
  <c r="T6" i="2"/>
  <c r="N6" i="2"/>
  <c r="AE6" i="2"/>
  <c r="V6" i="2"/>
  <c r="AC6" i="2"/>
  <c r="AF6" i="2"/>
  <c r="E6" i="2"/>
  <c r="AP6" i="2"/>
  <c r="S6" i="2"/>
  <c r="AH6" i="2"/>
  <c r="D6" i="2"/>
  <c r="F6" i="2"/>
  <c r="AO6" i="2"/>
  <c r="K6" i="2"/>
  <c r="J6" i="2"/>
  <c r="I6" i="2"/>
</calcChain>
</file>

<file path=xl/comments1.xml><?xml version="1.0" encoding="utf-8"?>
<comments xmlns="http://schemas.openxmlformats.org/spreadsheetml/2006/main">
  <authors>
    <author>Hassan AFIF</author>
  </authors>
  <commentList>
    <comment ref="I10" authorId="0">
      <text>
        <r>
          <rPr>
            <b/>
            <sz val="9"/>
            <color indexed="81"/>
            <rFont val="Tahoma"/>
            <family val="2"/>
          </rPr>
          <t>Type: kind of task
Module: Impacted module for Scrum/Agil development</t>
        </r>
      </text>
    </comment>
    <comment ref="J10" authorId="0">
      <text>
        <r>
          <rPr>
            <b/>
            <sz val="9"/>
            <color indexed="81"/>
            <rFont val="Tahoma"/>
            <family val="2"/>
          </rPr>
          <t>- Story if using Scrum/Agil
- Task if other methodology, working on several projects</t>
        </r>
      </text>
    </comment>
    <comment ref="K10" authorId="0">
      <text>
        <r>
          <rPr>
            <b/>
            <sz val="9"/>
            <color indexed="81"/>
            <rFont val="Tahoma"/>
            <family val="2"/>
          </rPr>
          <t>- Feature if using Scrum/Agil
- Project if other methodology, working on several projects</t>
        </r>
      </text>
    </comment>
    <comment ref="L10" authorId="0">
      <text>
        <r>
          <rPr>
            <b/>
            <sz val="9"/>
            <color indexed="81"/>
            <rFont val="Tahoma"/>
            <family val="2"/>
          </rPr>
          <t>Priority's colors may be changed in Setting sheet (todo it: unlock workbook first)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0" authorId="0">
      <text>
        <r>
          <rPr>
            <b/>
            <sz val="9"/>
            <color indexed="81"/>
            <rFont val="Tahoma"/>
            <family val="2"/>
          </rPr>
          <t>Set the date when defining and planning a Sprint</t>
        </r>
      </text>
    </comment>
    <comment ref="N10" authorId="0">
      <text>
        <r>
          <rPr>
            <b/>
            <sz val="9"/>
            <color indexed="81"/>
            <rFont val="Tahoma"/>
            <family val="2"/>
          </rPr>
          <t>Last estimated date when the target date has changed.
If change occurs several time, track these dates changed in Task/Comment cell.</t>
        </r>
      </text>
    </comment>
    <comment ref="P10" authorId="0">
      <text>
        <r>
          <rPr>
            <b/>
            <sz val="9"/>
            <color indexed="81"/>
            <rFont val="Tahoma"/>
            <family val="2"/>
          </rPr>
          <t>Fill this column if the story is done.
Filling this cell have impact on the Graph in ReleaseProgress sheet.</t>
        </r>
      </text>
    </comment>
    <comment ref="Q10" authorId="0">
      <text>
        <r>
          <rPr>
            <b/>
            <sz val="9"/>
            <color indexed="81"/>
            <rFont val="Tahoma"/>
            <family val="2"/>
          </rPr>
          <t>Log as many tasks in the cell to have history of job done with the story.
Use prefix symbol to have a quick look of tasks done and in progress: I used "+" for taks done, "-" tasks not yet started and "=&gt;" for task in progress.</t>
        </r>
      </text>
    </comment>
    <comment ref="R10" authorId="0">
      <text>
        <r>
          <rPr>
            <b/>
            <sz val="9"/>
            <color indexed="81"/>
            <rFont val="Tahoma"/>
            <family val="2"/>
          </rPr>
          <t>Team if using Scrum
Contact if using PMP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Hassan AFIF</author>
  </authors>
  <commentList>
    <comment ref="A2" authorId="0">
      <text>
        <r>
          <rPr>
            <b/>
            <sz val="9"/>
            <color indexed="81"/>
            <rFont val="Tahoma"/>
            <family val="2"/>
          </rPr>
          <t>If you need to extend the list bellow, you should insert a new line inside the bold box (not outside it)</t>
        </r>
      </text>
    </comment>
    <comment ref="A36" authorId="0">
      <text>
        <r>
          <rPr>
            <b/>
            <sz val="9"/>
            <color indexed="81"/>
            <rFont val="Tahoma"/>
            <family val="2"/>
          </rPr>
          <t>If you need to extend lists bellow, you should insert a new line inside the bold box (not outside it)</t>
        </r>
      </text>
    </comment>
    <comment ref="E37" authorId="0">
      <text>
        <r>
          <rPr>
            <b/>
            <sz val="9"/>
            <color indexed="81"/>
            <rFont val="Tahoma"/>
            <family val="2"/>
          </rPr>
          <t>Don't forget to apply [UPDATE ALL COND. FOMAT.]</t>
        </r>
      </text>
    </comment>
  </commentList>
</comments>
</file>

<file path=xl/sharedStrings.xml><?xml version="1.0" encoding="utf-8"?>
<sst xmlns="http://schemas.openxmlformats.org/spreadsheetml/2006/main" count="1304" uniqueCount="1126">
  <si>
    <t>Ref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</si>
  <si>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</si>
  <si>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</si>
  <si>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</si>
  <si>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</si>
  <si>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</si>
  <si>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</si>
  <si>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</si>
  <si>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</si>
  <si>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</si>
  <si>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</si>
  <si>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</si>
  <si>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</si>
  <si>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N/A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</si>
  <si>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</si>
  <si>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</si>
  <si>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</si>
  <si>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</si>
  <si>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</si>
  <si>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</si>
  <si>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</si>
  <si>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</si>
  <si>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</si>
  <si>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</si>
  <si>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</si>
  <si>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</si>
  <si>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</si>
  <si>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</si>
  <si>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</si>
  <si>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</si>
  <si>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</si>
  <si>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</si>
  <si>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</si>
  <si>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</si>
  <si>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</si>
  <si>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</si>
  <si>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</si>
  <si>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</si>
  <si>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</si>
  <si>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A39</t>
  </si>
  <si>
    <t>A40</t>
  </si>
  <si>
    <t>A41</t>
  </si>
  <si>
    <t>A42</t>
  </si>
  <si>
    <t>A43</t>
  </si>
  <si>
    <t>A44</t>
  </si>
  <si>
    <t>A45</t>
  </si>
  <si>
    <t>A46</t>
  </si>
  <si>
    <t>A47</t>
  </si>
  <si>
    <t>A48</t>
  </si>
  <si>
    <t>A49</t>
  </si>
  <si>
    <t>A50</t>
  </si>
  <si>
    <t>A38</t>
  </si>
  <si>
    <t>A51</t>
  </si>
  <si>
    <t>A52</t>
  </si>
  <si>
    <t>A53</t>
  </si>
  <si>
    <t>A54</t>
  </si>
  <si>
    <t>A55</t>
  </si>
  <si>
    <t>A56</t>
  </si>
  <si>
    <t>A57</t>
  </si>
  <si>
    <t>A58</t>
  </si>
  <si>
    <t>A59</t>
  </si>
  <si>
    <t>A60</t>
  </si>
  <si>
    <t>A61</t>
  </si>
  <si>
    <t>A62</t>
  </si>
  <si>
    <t>A63</t>
  </si>
  <si>
    <t>A64</t>
  </si>
  <si>
    <t>A65</t>
  </si>
  <si>
    <t>A66</t>
  </si>
  <si>
    <t>A67</t>
  </si>
  <si>
    <t>A68</t>
  </si>
  <si>
    <t>A69</t>
  </si>
  <si>
    <t>A70</t>
  </si>
  <si>
    <t>A71</t>
  </si>
  <si>
    <t>A72</t>
  </si>
  <si>
    <t>A73</t>
  </si>
  <si>
    <t>A74</t>
  </si>
  <si>
    <t>A75</t>
  </si>
  <si>
    <t>A76</t>
  </si>
  <si>
    <t>A77</t>
  </si>
  <si>
    <t>A78</t>
  </si>
  <si>
    <t>A79</t>
  </si>
  <si>
    <t>A80</t>
  </si>
  <si>
    <t>A81</t>
  </si>
  <si>
    <t>A82</t>
  </si>
  <si>
    <t>A83</t>
  </si>
  <si>
    <t>A84</t>
  </si>
  <si>
    <t>A85</t>
  </si>
  <si>
    <t>A86</t>
  </si>
  <si>
    <t>A87</t>
  </si>
  <si>
    <t>A88</t>
  </si>
  <si>
    <t>A89</t>
  </si>
  <si>
    <t>A90</t>
  </si>
  <si>
    <t>A91</t>
  </si>
  <si>
    <t>A92</t>
  </si>
  <si>
    <t>A93</t>
  </si>
  <si>
    <t>A94</t>
  </si>
  <si>
    <t>A95</t>
  </si>
  <si>
    <t>A96</t>
  </si>
  <si>
    <t>A97</t>
  </si>
  <si>
    <t>NA</t>
  </si>
  <si>
    <t>Description</t>
  </si>
  <si>
    <t>Target Date</t>
  </si>
  <si>
    <t>Date reviewed</t>
  </si>
  <si>
    <t>Status</t>
  </si>
  <si>
    <t>Closure or Applied Date</t>
  </si>
  <si>
    <t>A98</t>
  </si>
  <si>
    <t>A99</t>
  </si>
  <si>
    <t>A100</t>
  </si>
  <si>
    <t>A101</t>
  </si>
  <si>
    <t>A102</t>
  </si>
  <si>
    <t>A103</t>
  </si>
  <si>
    <t>A104</t>
  </si>
  <si>
    <t>A105</t>
  </si>
  <si>
    <t>A106</t>
  </si>
  <si>
    <t>A107</t>
  </si>
  <si>
    <t>A108</t>
  </si>
  <si>
    <t>A109</t>
  </si>
  <si>
    <t>A110</t>
  </si>
  <si>
    <t>A111</t>
  </si>
  <si>
    <t>A112</t>
  </si>
  <si>
    <t>A113</t>
  </si>
  <si>
    <t>A114</t>
  </si>
  <si>
    <t>A115</t>
  </si>
  <si>
    <t>A116</t>
  </si>
  <si>
    <t>A117</t>
  </si>
  <si>
    <t>A118</t>
  </si>
  <si>
    <t>A119</t>
  </si>
  <si>
    <t>A120</t>
  </si>
  <si>
    <t>A121</t>
  </si>
  <si>
    <t>A122</t>
  </si>
  <si>
    <t>A123</t>
  </si>
  <si>
    <t>A124</t>
  </si>
  <si>
    <t>A125</t>
  </si>
  <si>
    <t>A126</t>
  </si>
  <si>
    <t>A127</t>
  </si>
  <si>
    <t>A128</t>
  </si>
  <si>
    <t>A129</t>
  </si>
  <si>
    <t>A130</t>
  </si>
  <si>
    <t>A131</t>
  </si>
  <si>
    <t>A132</t>
  </si>
  <si>
    <t>A133</t>
  </si>
  <si>
    <t>A134</t>
  </si>
  <si>
    <t>A135</t>
  </si>
  <si>
    <t>A136</t>
  </si>
  <si>
    <t>A137</t>
  </si>
  <si>
    <t>A138</t>
  </si>
  <si>
    <t>A139</t>
  </si>
  <si>
    <t>A140</t>
  </si>
  <si>
    <t>A141</t>
  </si>
  <si>
    <t>A142</t>
  </si>
  <si>
    <t>A143</t>
  </si>
  <si>
    <t>A144</t>
  </si>
  <si>
    <t>A145</t>
  </si>
  <si>
    <t>A146</t>
  </si>
  <si>
    <t>A147</t>
  </si>
  <si>
    <t>A148</t>
  </si>
  <si>
    <t>A149</t>
  </si>
  <si>
    <t>A150</t>
  </si>
  <si>
    <t>A151</t>
  </si>
  <si>
    <t>A152</t>
  </si>
  <si>
    <t>A153</t>
  </si>
  <si>
    <t>A154</t>
  </si>
  <si>
    <t>A155</t>
  </si>
  <si>
    <t>A156</t>
  </si>
  <si>
    <t>A157</t>
  </si>
  <si>
    <t>A158</t>
  </si>
  <si>
    <t>A159</t>
  </si>
  <si>
    <t>A160</t>
  </si>
  <si>
    <t>A161</t>
  </si>
  <si>
    <t>A162</t>
  </si>
  <si>
    <t>A163</t>
  </si>
  <si>
    <t>A164</t>
  </si>
  <si>
    <t>A165</t>
  </si>
  <si>
    <t>A166</t>
  </si>
  <si>
    <t>A167</t>
  </si>
  <si>
    <t>A168</t>
  </si>
  <si>
    <t>A169</t>
  </si>
  <si>
    <t>A170</t>
  </si>
  <si>
    <t>A171</t>
  </si>
  <si>
    <t>A172</t>
  </si>
  <si>
    <t>A173</t>
  </si>
  <si>
    <t>A174</t>
  </si>
  <si>
    <t>A175</t>
  </si>
  <si>
    <t>A176</t>
  </si>
  <si>
    <t>A177</t>
  </si>
  <si>
    <t>A178</t>
  </si>
  <si>
    <t>A179</t>
  </si>
  <si>
    <t>A180</t>
  </si>
  <si>
    <t>A181</t>
  </si>
  <si>
    <t>A182</t>
  </si>
  <si>
    <t>A183</t>
  </si>
  <si>
    <t>A184</t>
  </si>
  <si>
    <t>A185</t>
  </si>
  <si>
    <t>A186</t>
  </si>
  <si>
    <t>A187</t>
  </si>
  <si>
    <t>A188</t>
  </si>
  <si>
    <t>A189</t>
  </si>
  <si>
    <t>A190</t>
  </si>
  <si>
    <t>A191</t>
  </si>
  <si>
    <t>A192</t>
  </si>
  <si>
    <t>A193</t>
  </si>
  <si>
    <t>A194</t>
  </si>
  <si>
    <t>A195</t>
  </si>
  <si>
    <t>A196</t>
  </si>
  <si>
    <t>A197</t>
  </si>
  <si>
    <t>A198</t>
  </si>
  <si>
    <t>A199</t>
  </si>
  <si>
    <t>A200</t>
  </si>
  <si>
    <t>A201</t>
  </si>
  <si>
    <t>A202</t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</si>
  <si>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</si>
  <si>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</si>
  <si>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</si>
  <si>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</si>
  <si>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</si>
  <si>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</si>
  <si>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</si>
  <si>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</si>
  <si>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</si>
  <si>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</si>
  <si>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</si>
  <si>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</si>
  <si>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</si>
  <si>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</si>
  <si>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</si>
  <si>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</si>
  <si>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</si>
  <si>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</si>
  <si>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</si>
  <si>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</si>
  <si>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</si>
  <si>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</si>
  <si>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</si>
  <si>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</si>
  <si>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</si>
  <si>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</si>
  <si>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</si>
  <si>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</si>
  <si>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</si>
  <si>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</si>
  <si>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A233</t>
  </si>
  <si>
    <t>A234</t>
  </si>
  <si>
    <t>A235</t>
  </si>
  <si>
    <t>A236</t>
  </si>
  <si>
    <t>A237</t>
  </si>
  <si>
    <t>A238</t>
  </si>
  <si>
    <t>A239</t>
  </si>
  <si>
    <t>A240</t>
  </si>
  <si>
    <t>A241</t>
  </si>
  <si>
    <t>A242</t>
  </si>
  <si>
    <t>A243</t>
  </si>
  <si>
    <t>A244</t>
  </si>
  <si>
    <t>A245</t>
  </si>
  <si>
    <t>A246</t>
  </si>
  <si>
    <t>A247</t>
  </si>
  <si>
    <t>A248</t>
  </si>
  <si>
    <t>A249</t>
  </si>
  <si>
    <t>A250</t>
  </si>
  <si>
    <t>A251</t>
  </si>
  <si>
    <t>A252</t>
  </si>
  <si>
    <t>A253</t>
  </si>
  <si>
    <t>A254</t>
  </si>
  <si>
    <t>A255</t>
  </si>
  <si>
    <t>A256</t>
  </si>
  <si>
    <t>A257</t>
  </si>
  <si>
    <t>A258</t>
  </si>
  <si>
    <t>A259</t>
  </si>
  <si>
    <t>A260</t>
  </si>
  <si>
    <t>A261</t>
  </si>
  <si>
    <t>A262</t>
  </si>
  <si>
    <t>A263</t>
  </si>
  <si>
    <t>A264</t>
  </si>
  <si>
    <t>A265</t>
  </si>
  <si>
    <t>A266</t>
  </si>
  <si>
    <t>A267</t>
  </si>
  <si>
    <t>A268</t>
  </si>
  <si>
    <t>A269</t>
  </si>
  <si>
    <t>A270</t>
  </si>
  <si>
    <t>A271</t>
  </si>
  <si>
    <t>A272</t>
  </si>
  <si>
    <t>A273</t>
  </si>
  <si>
    <t>A274</t>
  </si>
  <si>
    <t>A275</t>
  </si>
  <si>
    <t>A276</t>
  </si>
  <si>
    <t>A277</t>
  </si>
  <si>
    <t>A278</t>
  </si>
  <si>
    <t>A279</t>
  </si>
  <si>
    <t>A280</t>
  </si>
  <si>
    <t>A281</t>
  </si>
  <si>
    <t>A282</t>
  </si>
  <si>
    <t>A283</t>
  </si>
  <si>
    <t>A284</t>
  </si>
  <si>
    <t>A285</t>
  </si>
  <si>
    <t>A286</t>
  </si>
  <si>
    <t>A287</t>
  </si>
  <si>
    <t>A288</t>
  </si>
  <si>
    <t>A289</t>
  </si>
  <si>
    <t>A290</t>
  </si>
  <si>
    <t>A291</t>
  </si>
  <si>
    <t>A292</t>
  </si>
  <si>
    <t>A293</t>
  </si>
  <si>
    <t>A294</t>
  </si>
  <si>
    <t>A295</t>
  </si>
  <si>
    <t>A296</t>
  </si>
  <si>
    <t>A297</t>
  </si>
  <si>
    <t>A298</t>
  </si>
  <si>
    <t>A299</t>
  </si>
  <si>
    <t>A300</t>
  </si>
  <si>
    <t>A301</t>
  </si>
  <si>
    <t>A302</t>
  </si>
  <si>
    <t>A303</t>
  </si>
  <si>
    <t>A304</t>
  </si>
  <si>
    <t>A305</t>
  </si>
  <si>
    <t>A306</t>
  </si>
  <si>
    <t>A307</t>
  </si>
  <si>
    <t>A308</t>
  </si>
  <si>
    <t>A309</t>
  </si>
  <si>
    <t>A310</t>
  </si>
  <si>
    <t>A311</t>
  </si>
  <si>
    <t>A312</t>
  </si>
  <si>
    <t>A313</t>
  </si>
  <si>
    <t>A314</t>
  </si>
  <si>
    <t>A315</t>
  </si>
  <si>
    <t>A316</t>
  </si>
  <si>
    <t>A317</t>
  </si>
  <si>
    <t>A318</t>
  </si>
  <si>
    <t>A319</t>
  </si>
  <si>
    <t>A320</t>
  </si>
  <si>
    <t>A321</t>
  </si>
  <si>
    <t>A322</t>
  </si>
  <si>
    <t>A323</t>
  </si>
  <si>
    <t>A324</t>
  </si>
  <si>
    <t>A325</t>
  </si>
  <si>
    <t>A326</t>
  </si>
  <si>
    <t>A327</t>
  </si>
  <si>
    <t>A328</t>
  </si>
  <si>
    <t>A329</t>
  </si>
  <si>
    <t>A330</t>
  </si>
  <si>
    <t>A331</t>
  </si>
  <si>
    <t>A332</t>
  </si>
  <si>
    <t>A333</t>
  </si>
  <si>
    <t>A334</t>
  </si>
  <si>
    <t>A335</t>
  </si>
  <si>
    <t>A336</t>
  </si>
  <si>
    <t>A337</t>
  </si>
  <si>
    <t>A338</t>
  </si>
  <si>
    <t>A339</t>
  </si>
  <si>
    <t>A340</t>
  </si>
  <si>
    <t>A341</t>
  </si>
  <si>
    <t>A342</t>
  </si>
  <si>
    <t>A343</t>
  </si>
  <si>
    <t>A344</t>
  </si>
  <si>
    <t>A345</t>
  </si>
  <si>
    <t>A346</t>
  </si>
  <si>
    <t>A347</t>
  </si>
  <si>
    <t>A348</t>
  </si>
  <si>
    <t>A349</t>
  </si>
  <si>
    <t>A350</t>
  </si>
  <si>
    <t>A351</t>
  </si>
  <si>
    <t>A352</t>
  </si>
  <si>
    <t>A353</t>
  </si>
  <si>
    <t>A354</t>
  </si>
  <si>
    <t>A355</t>
  </si>
  <si>
    <t>A356</t>
  </si>
  <si>
    <t>A357</t>
  </si>
  <si>
    <t>A358</t>
  </si>
  <si>
    <t>A359</t>
  </si>
  <si>
    <t>A360</t>
  </si>
  <si>
    <t>A361</t>
  </si>
  <si>
    <t>A362</t>
  </si>
  <si>
    <t>A363</t>
  </si>
  <si>
    <t>A364</t>
  </si>
  <si>
    <t>A365</t>
  </si>
  <si>
    <t>A366</t>
  </si>
  <si>
    <t>A367</t>
  </si>
  <si>
    <t>A368</t>
  </si>
  <si>
    <t>A369</t>
  </si>
  <si>
    <t>A370</t>
  </si>
  <si>
    <t>A371</t>
  </si>
  <si>
    <t>A372</t>
  </si>
  <si>
    <t>A373</t>
  </si>
  <si>
    <t>A374</t>
  </si>
  <si>
    <t>A375</t>
  </si>
  <si>
    <t>A376</t>
  </si>
  <si>
    <t>A377</t>
  </si>
  <si>
    <t>A378</t>
  </si>
  <si>
    <t>A379</t>
  </si>
  <si>
    <t>A380</t>
  </si>
  <si>
    <t>A381</t>
  </si>
  <si>
    <t>A382</t>
  </si>
  <si>
    <t>A383</t>
  </si>
  <si>
    <t>A384</t>
  </si>
  <si>
    <t>A385</t>
  </si>
  <si>
    <t>A386</t>
  </si>
  <si>
    <t>A387</t>
  </si>
  <si>
    <t>A388</t>
  </si>
  <si>
    <t>A389</t>
  </si>
  <si>
    <t>A390</t>
  </si>
  <si>
    <t>A391</t>
  </si>
  <si>
    <t>A392</t>
  </si>
  <si>
    <t>A393</t>
  </si>
  <si>
    <t>A394</t>
  </si>
  <si>
    <t>A395</t>
  </si>
  <si>
    <t>A396</t>
  </si>
  <si>
    <t>A397</t>
  </si>
  <si>
    <t>A398</t>
  </si>
  <si>
    <t>A399</t>
  </si>
  <si>
    <t>A400</t>
  </si>
  <si>
    <t>A401</t>
  </si>
  <si>
    <t>A402</t>
  </si>
  <si>
    <t>A403</t>
  </si>
  <si>
    <t>A404</t>
  </si>
  <si>
    <t>A405</t>
  </si>
  <si>
    <t>A406</t>
  </si>
  <si>
    <t>A407</t>
  </si>
  <si>
    <t>A408</t>
  </si>
  <si>
    <t>A409</t>
  </si>
  <si>
    <t>A410</t>
  </si>
  <si>
    <t>A411</t>
  </si>
  <si>
    <t>A412</t>
  </si>
  <si>
    <t>A413</t>
  </si>
  <si>
    <t>A414</t>
  </si>
  <si>
    <t>A415</t>
  </si>
  <si>
    <t>A416</t>
  </si>
  <si>
    <t>A417</t>
  </si>
  <si>
    <t>A418</t>
  </si>
  <si>
    <t>A419</t>
  </si>
  <si>
    <t>A420</t>
  </si>
  <si>
    <t>A421</t>
  </si>
  <si>
    <t>A422</t>
  </si>
  <si>
    <t>A423</t>
  </si>
  <si>
    <t>A424</t>
  </si>
  <si>
    <t>A425</t>
  </si>
  <si>
    <t>A426</t>
  </si>
  <si>
    <t>A427</t>
  </si>
  <si>
    <t>A428</t>
  </si>
  <si>
    <t>A429</t>
  </si>
  <si>
    <t>A430</t>
  </si>
  <si>
    <t>A431</t>
  </si>
  <si>
    <t>A432</t>
  </si>
  <si>
    <t>A433</t>
  </si>
  <si>
    <t>A434</t>
  </si>
  <si>
    <t>A435</t>
  </si>
  <si>
    <t>A436</t>
  </si>
  <si>
    <t>A437</t>
  </si>
  <si>
    <t>A438</t>
  </si>
  <si>
    <t>A439</t>
  </si>
  <si>
    <t>A440</t>
  </si>
  <si>
    <t>A441</t>
  </si>
  <si>
    <t>A442</t>
  </si>
  <si>
    <t>A443</t>
  </si>
  <si>
    <t>A444</t>
  </si>
  <si>
    <t>A445</t>
  </si>
  <si>
    <t>A446</t>
  </si>
  <si>
    <t>A447</t>
  </si>
  <si>
    <t>A448</t>
  </si>
  <si>
    <t>A449</t>
  </si>
  <si>
    <t>A450</t>
  </si>
  <si>
    <t>A451</t>
  </si>
  <si>
    <t>A452</t>
  </si>
  <si>
    <t>A453</t>
  </si>
  <si>
    <t>A454</t>
  </si>
  <si>
    <t>A455</t>
  </si>
  <si>
    <t>A456</t>
  </si>
  <si>
    <t>A457</t>
  </si>
  <si>
    <t>A458</t>
  </si>
  <si>
    <t>A459</t>
  </si>
  <si>
    <t>A460</t>
  </si>
  <si>
    <t>A461</t>
  </si>
  <si>
    <t>A462</t>
  </si>
  <si>
    <t>A463</t>
  </si>
  <si>
    <t>A464</t>
  </si>
  <si>
    <t>A465</t>
  </si>
  <si>
    <t>A466</t>
  </si>
  <si>
    <t>A467</t>
  </si>
  <si>
    <t>A468</t>
  </si>
  <si>
    <t>A469</t>
  </si>
  <si>
    <t>A470</t>
  </si>
  <si>
    <t>A471</t>
  </si>
  <si>
    <t>A472</t>
  </si>
  <si>
    <t>A473</t>
  </si>
  <si>
    <t>A474</t>
  </si>
  <si>
    <t>A475</t>
  </si>
  <si>
    <t>A476</t>
  </si>
  <si>
    <t>A477</t>
  </si>
  <si>
    <t>A478</t>
  </si>
  <si>
    <t>A479</t>
  </si>
  <si>
    <t>A480</t>
  </si>
  <si>
    <t>A481</t>
  </si>
  <si>
    <t>A482</t>
  </si>
  <si>
    <t>A483</t>
  </si>
  <si>
    <t>A484</t>
  </si>
  <si>
    <t>A485</t>
  </si>
  <si>
    <t>A486</t>
  </si>
  <si>
    <t>A487</t>
  </si>
  <si>
    <t>A488</t>
  </si>
  <si>
    <t>A489</t>
  </si>
  <si>
    <t>A490</t>
  </si>
  <si>
    <t>A491</t>
  </si>
  <si>
    <t>A492</t>
  </si>
  <si>
    <t>A493</t>
  </si>
  <si>
    <t>A494</t>
  </si>
  <si>
    <t>A495</t>
  </si>
  <si>
    <t>A496</t>
  </si>
  <si>
    <t>A497</t>
  </si>
  <si>
    <t>A498</t>
  </si>
  <si>
    <t>A499</t>
  </si>
  <si>
    <t>A500</t>
  </si>
  <si>
    <t>A501</t>
  </si>
  <si>
    <t>A502</t>
  </si>
  <si>
    <t>A503</t>
  </si>
  <si>
    <t>A504</t>
  </si>
  <si>
    <t>A505</t>
  </si>
  <si>
    <t>A506</t>
  </si>
  <si>
    <t>A507</t>
  </si>
  <si>
    <t>A508</t>
  </si>
  <si>
    <t>A509</t>
  </si>
  <si>
    <t>A510</t>
  </si>
  <si>
    <t>A511</t>
  </si>
  <si>
    <t>A512</t>
  </si>
  <si>
    <t>A513</t>
  </si>
  <si>
    <t>A514</t>
  </si>
  <si>
    <t>A515</t>
  </si>
  <si>
    <t>A516</t>
  </si>
  <si>
    <t>A517</t>
  </si>
  <si>
    <t>A518</t>
  </si>
  <si>
    <t>A519</t>
  </si>
  <si>
    <t>A520</t>
  </si>
  <si>
    <t>A521</t>
  </si>
  <si>
    <t>A522</t>
  </si>
  <si>
    <t>A523</t>
  </si>
  <si>
    <t>A524</t>
  </si>
  <si>
    <t>A525</t>
  </si>
  <si>
    <t>A526</t>
  </si>
  <si>
    <t>A527</t>
  </si>
  <si>
    <t>A528</t>
  </si>
  <si>
    <t>A529</t>
  </si>
  <si>
    <t>A530</t>
  </si>
  <si>
    <t>A531</t>
  </si>
  <si>
    <t>A532</t>
  </si>
  <si>
    <t>A533</t>
  </si>
  <si>
    <t>A534</t>
  </si>
  <si>
    <t>A535</t>
  </si>
  <si>
    <t>A536</t>
  </si>
  <si>
    <t>A537</t>
  </si>
  <si>
    <t>A538</t>
  </si>
  <si>
    <t>A539</t>
  </si>
  <si>
    <t>A540</t>
  </si>
  <si>
    <t>A541</t>
  </si>
  <si>
    <t>A542</t>
  </si>
  <si>
    <t>A543</t>
  </si>
  <si>
    <t>A544</t>
  </si>
  <si>
    <t>A545</t>
  </si>
  <si>
    <t>A546</t>
  </si>
  <si>
    <t>A547</t>
  </si>
  <si>
    <t>A548</t>
  </si>
  <si>
    <t>A549</t>
  </si>
  <si>
    <t>A550</t>
  </si>
  <si>
    <t>A551</t>
  </si>
  <si>
    <t>A552</t>
  </si>
  <si>
    <t>A553</t>
  </si>
  <si>
    <t>A554</t>
  </si>
  <si>
    <t>A555</t>
  </si>
  <si>
    <t>A556</t>
  </si>
  <si>
    <t>A557</t>
  </si>
  <si>
    <t>A558</t>
  </si>
  <si>
    <t>A559</t>
  </si>
  <si>
    <t>A560</t>
  </si>
  <si>
    <t>A561</t>
  </si>
  <si>
    <t>A562</t>
  </si>
  <si>
    <t>A563</t>
  </si>
  <si>
    <t>A564</t>
  </si>
  <si>
    <t>A565</t>
  </si>
  <si>
    <t>A566</t>
  </si>
  <si>
    <t>A567</t>
  </si>
  <si>
    <t>A568</t>
  </si>
  <si>
    <t>A569</t>
  </si>
  <si>
    <t>A570</t>
  </si>
  <si>
    <t>A571</t>
  </si>
  <si>
    <t>A572</t>
  </si>
  <si>
    <t>A573</t>
  </si>
  <si>
    <t>A574</t>
  </si>
  <si>
    <t>A575</t>
  </si>
  <si>
    <t>A576</t>
  </si>
  <si>
    <t>A577</t>
  </si>
  <si>
    <t>A578</t>
  </si>
  <si>
    <t>A579</t>
  </si>
  <si>
    <t>A580</t>
  </si>
  <si>
    <t>A581</t>
  </si>
  <si>
    <t>A582</t>
  </si>
  <si>
    <t>A583</t>
  </si>
  <si>
    <t>A584</t>
  </si>
  <si>
    <t>A585</t>
  </si>
  <si>
    <t>A586</t>
  </si>
  <si>
    <t>A587</t>
  </si>
  <si>
    <t>A588</t>
  </si>
  <si>
    <t>A589</t>
  </si>
  <si>
    <t>A590</t>
  </si>
  <si>
    <t>A591</t>
  </si>
  <si>
    <t>A592</t>
  </si>
  <si>
    <t>A593</t>
  </si>
  <si>
    <t>A594</t>
  </si>
  <si>
    <t>A595</t>
  </si>
  <si>
    <t>A596</t>
  </si>
  <si>
    <t>A597</t>
  </si>
  <si>
    <t>A598</t>
  </si>
  <si>
    <t>A599</t>
  </si>
  <si>
    <t>A600</t>
  </si>
  <si>
    <t>A601</t>
  </si>
  <si>
    <t>A602</t>
  </si>
  <si>
    <t>A603</t>
  </si>
  <si>
    <t>A604</t>
  </si>
  <si>
    <t>A605</t>
  </si>
  <si>
    <t>A606</t>
  </si>
  <si>
    <t>A607</t>
  </si>
  <si>
    <t>A608</t>
  </si>
  <si>
    <t>A609</t>
  </si>
  <si>
    <t>A610</t>
  </si>
  <si>
    <t>A611</t>
  </si>
  <si>
    <t>A612</t>
  </si>
  <si>
    <t>A613</t>
  </si>
  <si>
    <t>A614</t>
  </si>
  <si>
    <t>A615</t>
  </si>
  <si>
    <t>A616</t>
  </si>
  <si>
    <t>A617</t>
  </si>
  <si>
    <t>A618</t>
  </si>
  <si>
    <t>A619</t>
  </si>
  <si>
    <t>A620</t>
  </si>
  <si>
    <t>A621</t>
  </si>
  <si>
    <t>A622</t>
  </si>
  <si>
    <t>A623</t>
  </si>
  <si>
    <t>A624</t>
  </si>
  <si>
    <t>A625</t>
  </si>
  <si>
    <t>A626</t>
  </si>
  <si>
    <t>A627</t>
  </si>
  <si>
    <t>A628</t>
  </si>
  <si>
    <t>A629</t>
  </si>
  <si>
    <t>A630</t>
  </si>
  <si>
    <t>A631</t>
  </si>
  <si>
    <t>A632</t>
  </si>
  <si>
    <t>A633</t>
  </si>
  <si>
    <t>A634</t>
  </si>
  <si>
    <t>A635</t>
  </si>
  <si>
    <t>A636</t>
  </si>
  <si>
    <t>A637</t>
  </si>
  <si>
    <t>A638</t>
  </si>
  <si>
    <t>A639</t>
  </si>
  <si>
    <t>A640</t>
  </si>
  <si>
    <t>A641</t>
  </si>
  <si>
    <t>A642</t>
  </si>
  <si>
    <t>A643</t>
  </si>
  <si>
    <t>A644</t>
  </si>
  <si>
    <t>A645</t>
  </si>
  <si>
    <t>A646</t>
  </si>
  <si>
    <t>A647</t>
  </si>
  <si>
    <t>A648</t>
  </si>
  <si>
    <t>A649</t>
  </si>
  <si>
    <t>A650</t>
  </si>
  <si>
    <t>A651</t>
  </si>
  <si>
    <t>A652</t>
  </si>
  <si>
    <t>A653</t>
  </si>
  <si>
    <t>A654</t>
  </si>
  <si>
    <t>A655</t>
  </si>
  <si>
    <t>A656</t>
  </si>
  <si>
    <t>A657</t>
  </si>
  <si>
    <t>A658</t>
  </si>
  <si>
    <t>A659</t>
  </si>
  <si>
    <t>A660</t>
  </si>
  <si>
    <t>A661</t>
  </si>
  <si>
    <t>A662</t>
  </si>
  <si>
    <t>A663</t>
  </si>
  <si>
    <t>A664</t>
  </si>
  <si>
    <t>A665</t>
  </si>
  <si>
    <t>A666</t>
  </si>
  <si>
    <t>A667</t>
  </si>
  <si>
    <t>A668</t>
  </si>
  <si>
    <t>A669</t>
  </si>
  <si>
    <t>A670</t>
  </si>
  <si>
    <t>A671</t>
  </si>
  <si>
    <t>A672</t>
  </si>
  <si>
    <t>A673</t>
  </si>
  <si>
    <t>A674</t>
  </si>
  <si>
    <t>A675</t>
  </si>
  <si>
    <t>A676</t>
  </si>
  <si>
    <t>A677</t>
  </si>
  <si>
    <t>A678</t>
  </si>
  <si>
    <t>A679</t>
  </si>
  <si>
    <t>A680</t>
  </si>
  <si>
    <t>A681</t>
  </si>
  <si>
    <t>A682</t>
  </si>
  <si>
    <t>A683</t>
  </si>
  <si>
    <t>A684</t>
  </si>
  <si>
    <t>A685</t>
  </si>
  <si>
    <t>A686</t>
  </si>
  <si>
    <t>A687</t>
  </si>
  <si>
    <t>A688</t>
  </si>
  <si>
    <t>A689</t>
  </si>
  <si>
    <t>A690</t>
  </si>
  <si>
    <t>A691</t>
  </si>
  <si>
    <t>A692</t>
  </si>
  <si>
    <t>A693</t>
  </si>
  <si>
    <t>A694</t>
  </si>
  <si>
    <t>A695</t>
  </si>
  <si>
    <t>A696</t>
  </si>
  <si>
    <t>A697</t>
  </si>
  <si>
    <t>A698</t>
  </si>
  <si>
    <t>A699</t>
  </si>
  <si>
    <t>A700</t>
  </si>
  <si>
    <t>A701</t>
  </si>
  <si>
    <t>A702</t>
  </si>
  <si>
    <t>A703</t>
  </si>
  <si>
    <t>A704</t>
  </si>
  <si>
    <t>A705</t>
  </si>
  <si>
    <t>A706</t>
  </si>
  <si>
    <t>A707</t>
  </si>
  <si>
    <t>A708</t>
  </si>
  <si>
    <t>A709</t>
  </si>
  <si>
    <t>A710</t>
  </si>
  <si>
    <t>A711</t>
  </si>
  <si>
    <t>A712</t>
  </si>
  <si>
    <t>A713</t>
  </si>
  <si>
    <t>A714</t>
  </si>
  <si>
    <t>A715</t>
  </si>
  <si>
    <t>A716</t>
  </si>
  <si>
    <t>A717</t>
  </si>
  <si>
    <t>A718</t>
  </si>
  <si>
    <t>A719</t>
  </si>
  <si>
    <t>A720</t>
  </si>
  <si>
    <t>A721</t>
  </si>
  <si>
    <t>A722</t>
  </si>
  <si>
    <t>A723</t>
  </si>
  <si>
    <t>A724</t>
  </si>
  <si>
    <t>A725</t>
  </si>
  <si>
    <t>A726</t>
  </si>
  <si>
    <t>A727</t>
  </si>
  <si>
    <t>A728</t>
  </si>
  <si>
    <t>A729</t>
  </si>
  <si>
    <t>A730</t>
  </si>
  <si>
    <t>A731</t>
  </si>
  <si>
    <t>A732</t>
  </si>
  <si>
    <t>A733</t>
  </si>
  <si>
    <t>A734</t>
  </si>
  <si>
    <t>A735</t>
  </si>
  <si>
    <t>A736</t>
  </si>
  <si>
    <t>A737</t>
  </si>
  <si>
    <t>A738</t>
  </si>
  <si>
    <t>A739</t>
  </si>
  <si>
    <t>A740</t>
  </si>
  <si>
    <t>A741</t>
  </si>
  <si>
    <t>A742</t>
  </si>
  <si>
    <t>A743</t>
  </si>
  <si>
    <t>A744</t>
  </si>
  <si>
    <t>A745</t>
  </si>
  <si>
    <t>A746</t>
  </si>
  <si>
    <t>A747</t>
  </si>
  <si>
    <t>A748</t>
  </si>
  <si>
    <t>A749</t>
  </si>
  <si>
    <t>A750</t>
  </si>
  <si>
    <t>A751</t>
  </si>
  <si>
    <t>A752</t>
  </si>
  <si>
    <t>A753</t>
  </si>
  <si>
    <t>A754</t>
  </si>
  <si>
    <t>A755</t>
  </si>
  <si>
    <t>A756</t>
  </si>
  <si>
    <t>A757</t>
  </si>
  <si>
    <t>A758</t>
  </si>
  <si>
    <t>A759</t>
  </si>
  <si>
    <t>A760</t>
  </si>
  <si>
    <t>A761</t>
  </si>
  <si>
    <t>A762</t>
  </si>
  <si>
    <t>A763</t>
  </si>
  <si>
    <t>A764</t>
  </si>
  <si>
    <t>A765</t>
  </si>
  <si>
    <t>A766</t>
  </si>
  <si>
    <t>A767</t>
  </si>
  <si>
    <t>A768</t>
  </si>
  <si>
    <t>A769</t>
  </si>
  <si>
    <t>A770</t>
  </si>
  <si>
    <t>A771</t>
  </si>
  <si>
    <t>A772</t>
  </si>
  <si>
    <t>A773</t>
  </si>
  <si>
    <t>A774</t>
  </si>
  <si>
    <t>A775</t>
  </si>
  <si>
    <t>A776</t>
  </si>
  <si>
    <t>A777</t>
  </si>
  <si>
    <t>A778</t>
  </si>
  <si>
    <t>A779</t>
  </si>
  <si>
    <t>A780</t>
  </si>
  <si>
    <t>A781</t>
  </si>
  <si>
    <t>A782</t>
  </si>
  <si>
    <t>A783</t>
  </si>
  <si>
    <t>A784</t>
  </si>
  <si>
    <t>A785</t>
  </si>
  <si>
    <t>A786</t>
  </si>
  <si>
    <t>A787</t>
  </si>
  <si>
    <t>A788</t>
  </si>
  <si>
    <t>A789</t>
  </si>
  <si>
    <t>A790</t>
  </si>
  <si>
    <t>A791</t>
  </si>
  <si>
    <t>A792</t>
  </si>
  <si>
    <t>A793</t>
  </si>
  <si>
    <t>A794</t>
  </si>
  <si>
    <t>A795</t>
  </si>
  <si>
    <t>A796</t>
  </si>
  <si>
    <t>A797</t>
  </si>
  <si>
    <t>A798</t>
  </si>
  <si>
    <t>A799</t>
  </si>
  <si>
    <t>A800</t>
  </si>
  <si>
    <t>A801</t>
  </si>
  <si>
    <t>A802</t>
  </si>
  <si>
    <t>A803</t>
  </si>
  <si>
    <t>A804</t>
  </si>
  <si>
    <t>A805</t>
  </si>
  <si>
    <t>A806</t>
  </si>
  <si>
    <t>A807</t>
  </si>
  <si>
    <t>A808</t>
  </si>
  <si>
    <t>A809</t>
  </si>
  <si>
    <t>A810</t>
  </si>
  <si>
    <t>A811</t>
  </si>
  <si>
    <t>A812</t>
  </si>
  <si>
    <t>A813</t>
  </si>
  <si>
    <t>A814</t>
  </si>
  <si>
    <t>A815</t>
  </si>
  <si>
    <t>A816</t>
  </si>
  <si>
    <t>A817</t>
  </si>
  <si>
    <t>A818</t>
  </si>
  <si>
    <t>A819</t>
  </si>
  <si>
    <t>A820</t>
  </si>
  <si>
    <t>A821</t>
  </si>
  <si>
    <t>A822</t>
  </si>
  <si>
    <t>A823</t>
  </si>
  <si>
    <t>A824</t>
  </si>
  <si>
    <t>A825</t>
  </si>
  <si>
    <t>A826</t>
  </si>
  <si>
    <t>A827</t>
  </si>
  <si>
    <t>A828</t>
  </si>
  <si>
    <t>A829</t>
  </si>
  <si>
    <t>A830</t>
  </si>
  <si>
    <t>A831</t>
  </si>
  <si>
    <t>A832</t>
  </si>
  <si>
    <t>A833</t>
  </si>
  <si>
    <t>A834</t>
  </si>
  <si>
    <t>A835</t>
  </si>
  <si>
    <t>A836</t>
  </si>
  <si>
    <t>A837</t>
  </si>
  <si>
    <t>A838</t>
  </si>
  <si>
    <t>A839</t>
  </si>
  <si>
    <t>A840</t>
  </si>
  <si>
    <t>A841</t>
  </si>
  <si>
    <t>A842</t>
  </si>
  <si>
    <t>A843</t>
  </si>
  <si>
    <t>A844</t>
  </si>
  <si>
    <t>A845</t>
  </si>
  <si>
    <t>A846</t>
  </si>
  <si>
    <t>A847</t>
  </si>
  <si>
    <t>A848</t>
  </si>
  <si>
    <t>A849</t>
  </si>
  <si>
    <t>A850</t>
  </si>
  <si>
    <t>A851</t>
  </si>
  <si>
    <t>A852</t>
  </si>
  <si>
    <t>A853</t>
  </si>
  <si>
    <t>A854</t>
  </si>
  <si>
    <t>A855</t>
  </si>
  <si>
    <t>A856</t>
  </si>
  <si>
    <t>A857</t>
  </si>
  <si>
    <t>A858</t>
  </si>
  <si>
    <t>A859</t>
  </si>
  <si>
    <t>A860</t>
  </si>
  <si>
    <t>A861</t>
  </si>
  <si>
    <t>A862</t>
  </si>
  <si>
    <t>A863</t>
  </si>
  <si>
    <t>A864</t>
  </si>
  <si>
    <t>A865</t>
  </si>
  <si>
    <t>A866</t>
  </si>
  <si>
    <t>A867</t>
  </si>
  <si>
    <t>A868</t>
  </si>
  <si>
    <t>A869</t>
  </si>
  <si>
    <t>A870</t>
  </si>
  <si>
    <t>A871</t>
  </si>
  <si>
    <t>A872</t>
  </si>
  <si>
    <t>A873</t>
  </si>
  <si>
    <t>A874</t>
  </si>
  <si>
    <t>A875</t>
  </si>
  <si>
    <t>A876</t>
  </si>
  <si>
    <t>A877</t>
  </si>
  <si>
    <t>A878</t>
  </si>
  <si>
    <t>A879</t>
  </si>
  <si>
    <t>A880</t>
  </si>
  <si>
    <t>A881</t>
  </si>
  <si>
    <t>A882</t>
  </si>
  <si>
    <t>A883</t>
  </si>
  <si>
    <t>A884</t>
  </si>
  <si>
    <t>A885</t>
  </si>
  <si>
    <t>A886</t>
  </si>
  <si>
    <t>A887</t>
  </si>
  <si>
    <t>A888</t>
  </si>
  <si>
    <t>A889</t>
  </si>
  <si>
    <t>A890</t>
  </si>
  <si>
    <t>A891</t>
  </si>
  <si>
    <t>A892</t>
  </si>
  <si>
    <t>A893</t>
  </si>
  <si>
    <t>A894</t>
  </si>
  <si>
    <t>A895</t>
  </si>
  <si>
    <t>A896</t>
  </si>
  <si>
    <t>A897</t>
  </si>
  <si>
    <t>A898</t>
  </si>
  <si>
    <t>A899</t>
  </si>
  <si>
    <t>A900</t>
  </si>
  <si>
    <t>A901</t>
  </si>
  <si>
    <t>A902</t>
  </si>
  <si>
    <t>A903</t>
  </si>
  <si>
    <t>A904</t>
  </si>
  <si>
    <t>A905</t>
  </si>
  <si>
    <t>A906</t>
  </si>
  <si>
    <t>A907</t>
  </si>
  <si>
    <t>A908</t>
  </si>
  <si>
    <t>A909</t>
  </si>
  <si>
    <t>A910</t>
  </si>
  <si>
    <t>A911</t>
  </si>
  <si>
    <t>A912</t>
  </si>
  <si>
    <t>A913</t>
  </si>
  <si>
    <t>A914</t>
  </si>
  <si>
    <t>A915</t>
  </si>
  <si>
    <t>A916</t>
  </si>
  <si>
    <t>A917</t>
  </si>
  <si>
    <t>A918</t>
  </si>
  <si>
    <t>A919</t>
  </si>
  <si>
    <t>A920</t>
  </si>
  <si>
    <t>A921</t>
  </si>
  <si>
    <t>A922</t>
  </si>
  <si>
    <t>A923</t>
  </si>
  <si>
    <t>A924</t>
  </si>
  <si>
    <t>A925</t>
  </si>
  <si>
    <t>A926</t>
  </si>
  <si>
    <t>A927</t>
  </si>
  <si>
    <t>A928</t>
  </si>
  <si>
    <t>A929</t>
  </si>
  <si>
    <t>A930</t>
  </si>
  <si>
    <t>A931</t>
  </si>
  <si>
    <t>A932</t>
  </si>
  <si>
    <t>A933</t>
  </si>
  <si>
    <t>A934</t>
  </si>
  <si>
    <t>A935</t>
  </si>
  <si>
    <t>A936</t>
  </si>
  <si>
    <t>A937</t>
  </si>
  <si>
    <t>A938</t>
  </si>
  <si>
    <t>A939</t>
  </si>
  <si>
    <t>A940</t>
  </si>
  <si>
    <t>A941</t>
  </si>
  <si>
    <t>A942</t>
  </si>
  <si>
    <t>A943</t>
  </si>
  <si>
    <t>A944</t>
  </si>
  <si>
    <t>A945</t>
  </si>
  <si>
    <t>A946</t>
  </si>
  <si>
    <t>A947</t>
  </si>
  <si>
    <t>A948</t>
  </si>
  <si>
    <t>A949</t>
  </si>
  <si>
    <t>A950</t>
  </si>
  <si>
    <t>A951</t>
  </si>
  <si>
    <t>A952</t>
  </si>
  <si>
    <t>A953</t>
  </si>
  <si>
    <t>A954</t>
  </si>
  <si>
    <t>A955</t>
  </si>
  <si>
    <t>A956</t>
  </si>
  <si>
    <t>A957</t>
  </si>
  <si>
    <t>A958</t>
  </si>
  <si>
    <t>A959</t>
  </si>
  <si>
    <t>A960</t>
  </si>
  <si>
    <t>A961</t>
  </si>
  <si>
    <t>A962</t>
  </si>
  <si>
    <t>A963</t>
  </si>
  <si>
    <t>A964</t>
  </si>
  <si>
    <t>A965</t>
  </si>
  <si>
    <t>A966</t>
  </si>
  <si>
    <t>A967</t>
  </si>
  <si>
    <t>A968</t>
  </si>
  <si>
    <t>A969</t>
  </si>
  <si>
    <t>A970</t>
  </si>
  <si>
    <t>A971</t>
  </si>
  <si>
    <t>A972</t>
  </si>
  <si>
    <t>A973</t>
  </si>
  <si>
    <t>A974</t>
  </si>
  <si>
    <t>A975</t>
  </si>
  <si>
    <t>A976</t>
  </si>
  <si>
    <t>A977</t>
  </si>
  <si>
    <t>A978</t>
  </si>
  <si>
    <t>A979</t>
  </si>
  <si>
    <t>A980</t>
  </si>
  <si>
    <t>A981</t>
  </si>
  <si>
    <t>A982</t>
  </si>
  <si>
    <t>A983</t>
  </si>
  <si>
    <t>A984</t>
  </si>
  <si>
    <t>A985</t>
  </si>
  <si>
    <t>A986</t>
  </si>
  <si>
    <t>A987</t>
  </si>
  <si>
    <t>A988</t>
  </si>
  <si>
    <t>A989</t>
  </si>
  <si>
    <t>A990</t>
  </si>
  <si>
    <t>A991</t>
  </si>
  <si>
    <t>A992</t>
  </si>
  <si>
    <t>A993</t>
  </si>
  <si>
    <t>A994</t>
  </si>
  <si>
    <t>A995</t>
  </si>
  <si>
    <t>A996</t>
  </si>
  <si>
    <t>A997</t>
  </si>
  <si>
    <t>A998</t>
  </si>
  <si>
    <t>A999</t>
  </si>
  <si>
    <t>Story Description</t>
  </si>
  <si>
    <t>Stories/Tasks begin line</t>
  </si>
  <si>
    <t>Stories/Tasks end line</t>
  </si>
  <si>
    <t>Priorité</t>
  </si>
  <si>
    <t>1</t>
  </si>
  <si>
    <t>2</t>
  </si>
  <si>
    <t>3</t>
  </si>
  <si>
    <t>4</t>
  </si>
  <si>
    <t>5</t>
  </si>
  <si>
    <t>Task/Comment</t>
  </si>
  <si>
    <t>Plus claire</t>
  </si>
  <si>
    <t>Claire</t>
  </si>
  <si>
    <t>Foncé</t>
  </si>
  <si>
    <t>Plus foncé</t>
  </si>
  <si>
    <t>Priority</t>
  </si>
  <si>
    <t>Data Sheet Name:</t>
  </si>
  <si>
    <t>Feature/Project</t>
  </si>
  <si>
    <t>Features/Projects</t>
  </si>
  <si>
    <t>Feature 2</t>
  </si>
  <si>
    <t>Feature 1</t>
  </si>
  <si>
    <t>Feature 3</t>
  </si>
  <si>
    <t>Feature 4</t>
  </si>
  <si>
    <t>Feature 5</t>
  </si>
  <si>
    <t>Feature 6</t>
  </si>
  <si>
    <t>Feature 7</t>
  </si>
  <si>
    <t>Feature 8</t>
  </si>
  <si>
    <t>Feature 9</t>
  </si>
  <si>
    <t>Feature 10</t>
  </si>
  <si>
    <t>Feature 11</t>
  </si>
  <si>
    <t>Feature 12</t>
  </si>
  <si>
    <t>Feature 13</t>
  </si>
  <si>
    <t>Feature 14</t>
  </si>
  <si>
    <t>Team/Contact</t>
  </si>
  <si>
    <t>Target Sprint / Week</t>
  </si>
  <si>
    <t>Type / Module</t>
  </si>
  <si>
    <t>&lt;= Other Color palette to copy/paste format on "Type / Module" range</t>
  </si>
  <si>
    <t>Current Sprint/Week :</t>
  </si>
  <si>
    <t>or</t>
  </si>
  <si>
    <t>Project 1</t>
  </si>
  <si>
    <t>Project 2</t>
  </si>
  <si>
    <t>Project 3</t>
  </si>
  <si>
    <t>Project 4</t>
  </si>
  <si>
    <t>Project 5</t>
  </si>
  <si>
    <t>Project 6</t>
  </si>
  <si>
    <t>Project 7</t>
  </si>
  <si>
    <t>Project 8</t>
  </si>
  <si>
    <t>Project 9</t>
  </si>
  <si>
    <t>Project 10</t>
  </si>
  <si>
    <t>Project 11</t>
  </si>
  <si>
    <t>Project 12</t>
  </si>
  <si>
    <t>Project 13</t>
  </si>
  <si>
    <t>Project 14</t>
  </si>
  <si>
    <t>Project 15</t>
  </si>
  <si>
    <t>Team 1</t>
  </si>
  <si>
    <t>Team 2</t>
  </si>
  <si>
    <t>Team 3</t>
  </si>
  <si>
    <t>Team 4</t>
  </si>
  <si>
    <t>Team/Contact constrains</t>
  </si>
  <si>
    <t>First Last Name 1</t>
  </si>
  <si>
    <t>First Last Name 2</t>
  </si>
  <si>
    <t>First Last Name 3</t>
  </si>
  <si>
    <t>First Last Name 4</t>
  </si>
  <si>
    <t>First Last Name 5</t>
  </si>
  <si>
    <t>First Last Name 6</t>
  </si>
  <si>
    <t>First Last Name 7</t>
  </si>
  <si>
    <t>First Last Name 8</t>
  </si>
  <si>
    <t>First Last Name 9</t>
  </si>
  <si>
    <t>First Last Name 10</t>
  </si>
  <si>
    <t>First Last Name 11</t>
  </si>
  <si>
    <t>First Last Name 12</t>
  </si>
  <si>
    <t>First Last Name 13</t>
  </si>
  <si>
    <t>First Last Name 14</t>
  </si>
  <si>
    <t>First Last Name 15</t>
  </si>
  <si>
    <t>Busy between time 1 and time 2</t>
  </si>
  <si>
    <t>Don't disturb in day 1 of week</t>
  </si>
  <si>
    <t>Risk 1</t>
  </si>
  <si>
    <t>Risk 2</t>
  </si>
  <si>
    <t>Risk 3</t>
  </si>
  <si>
    <t>…</t>
  </si>
  <si>
    <t>StoryMapping</t>
  </si>
  <si>
    <t>Not started</t>
  </si>
  <si>
    <t>In progress</t>
  </si>
  <si>
    <t>Closed</t>
  </si>
  <si>
    <t>Suspended</t>
  </si>
  <si>
    <t>Applied</t>
  </si>
  <si>
    <t>Current Sprint / Week</t>
  </si>
  <si>
    <t>Advancement</t>
  </si>
  <si>
    <t xml:space="preserve">Sprint / Week begin following : </t>
  </si>
  <si>
    <t>Module 1</t>
  </si>
  <si>
    <t>Module 2</t>
  </si>
  <si>
    <t>Module 3</t>
  </si>
  <si>
    <t>Type 1</t>
  </si>
  <si>
    <t>Type 2</t>
  </si>
  <si>
    <t>Type 3</t>
  </si>
  <si>
    <t>&lt;========</t>
  </si>
  <si>
    <t>Story 1 description</t>
  </si>
  <si>
    <t>+ Do something 1 (done at date 1)
=&gt; Do something 2</t>
  </si>
  <si>
    <t>+ Do something 1 (done at date 3)
+ Do something 1 (done at date 4)
=&gt; Do something 5</t>
  </si>
  <si>
    <t>Story 2 description</t>
  </si>
  <si>
    <t>Story 3 description</t>
  </si>
  <si>
    <t>Target Week</t>
  </si>
  <si>
    <t>Week of closure or appling</t>
  </si>
  <si>
    <t>Processed O/N</t>
  </si>
  <si>
    <t>To be counted</t>
  </si>
  <si>
    <t>Canceled</t>
  </si>
  <si>
    <t>Story 4 description</t>
  </si>
  <si>
    <t>+ Do something 1 (done at date 4)
=&gt; Do something 5</t>
  </si>
  <si>
    <t>+ Do something 1 (done at date 3)
=&gt; Do something 5</t>
  </si>
  <si>
    <t>+ Do something 1 (done at date 3)
+ Do something 1 (done at date 4)</t>
  </si>
  <si>
    <t>+ Do something 1 (done at date 1)</t>
  </si>
  <si>
    <r>
      <rPr>
        <b/>
        <sz val="18"/>
        <color theme="1"/>
        <rFont val="Wingdings 3"/>
        <family val="1"/>
        <charset val="2"/>
      </rPr>
      <t>¼</t>
    </r>
    <r>
      <rPr>
        <b/>
        <sz val="18"/>
        <color theme="1"/>
        <rFont val="Arial"/>
        <family val="2"/>
      </rPr>
      <t xml:space="preserve"> Changing bellow data don't require updating any thing in workbook</t>
    </r>
  </si>
  <si>
    <r>
      <rPr>
        <b/>
        <sz val="18"/>
        <color theme="1"/>
        <rFont val="Wingdings 3"/>
        <family val="1"/>
        <charset val="2"/>
      </rPr>
      <t>¼</t>
    </r>
    <r>
      <rPr>
        <b/>
        <sz val="18"/>
        <color theme="1"/>
        <rFont val="Arial"/>
        <family val="2"/>
      </rPr>
      <t xml:space="preserve"> Changing data bellow requires that you click on [UPDATE ALL  conditional format.] in first sheet</t>
    </r>
  </si>
  <si>
    <t>[copy] / [special paste] if you desire it</t>
  </si>
  <si>
    <t>You can change formating on the following status to be applied later on the wool line of story/task.
But only these Font properties can be applied: Bold Color ColorIndex FontStyle Italic Strikethrough Underline
Then Execute [UPDATE ALL  conditional format.]</t>
  </si>
  <si>
    <t>STORIES, TASKS / RELEASE</t>
  </si>
  <si>
    <t>Goal progress</t>
  </si>
  <si>
    <t>Actual progress</t>
  </si>
  <si>
    <t>MONITORING PROGRESS</t>
  </si>
  <si>
    <t>ScrumProjectsPlan V0.1.0
Copyright 2017, Hassan AFIF, All rights reserved.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</si>
</sst>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d\ dd/mm/yyyy"/>
  </numFmts>
  <fonts count="22" x14ac:knownFonts="1">
    <font>
      <sz val="10"/>
      <color theme="1"/>
      <name val="Arial"/>
      <family val="2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b/>
      <sz val="12"/>
      <color theme="0"/>
      <name val="Arial"/>
      <family val="2"/>
    </font>
    <font>
      <sz val="26"/>
      <color theme="1"/>
      <name val="Arial"/>
      <family val="2"/>
    </font>
    <font>
      <i/>
      <sz val="10"/>
      <color theme="1"/>
      <name val="Arial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10"/>
      <color rgb="FFFF0000"/>
      <name val="Arial"/>
      <family val="2"/>
    </font>
    <font>
      <sz val="10"/>
      <name val="Arial"/>
      <family val="2"/>
    </font>
    <font>
      <i/>
      <sz val="10"/>
      <color theme="1" tint="0.249977111117893"/>
      <name val="Arial"/>
      <family val="2"/>
    </font>
    <font>
      <sz val="10"/>
      <color theme="1" tint="0.34998626667073579"/>
      <name val="Arial"/>
      <family val="2"/>
    </font>
    <font>
      <i/>
      <u/>
      <sz val="10"/>
      <color theme="1"/>
      <name val="Arial"/>
      <family val="2"/>
    </font>
    <font>
      <b/>
      <sz val="26"/>
      <color theme="1"/>
      <name val="Arial"/>
      <family val="2"/>
    </font>
    <font>
      <b/>
      <sz val="10"/>
      <color rgb="FFFFFFCC"/>
      <name val="Arial"/>
      <family val="2"/>
    </font>
    <font>
      <i/>
      <strike/>
      <sz val="10"/>
      <color theme="2" tint="-0.249977111117893"/>
      <name val="Arial"/>
      <family val="2"/>
    </font>
    <font>
      <strike/>
      <sz val="10"/>
      <color theme="0" tint="-0.249977111117893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8"/>
      <color theme="1"/>
      <name val="Arial"/>
      <family val="2"/>
    </font>
    <font>
      <b/>
      <sz val="18"/>
      <color theme="1"/>
      <name val="Wingdings 3"/>
      <family val="1"/>
      <charset val="2"/>
    </font>
  </fonts>
  <fills count="4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AFE1FF"/>
        <bgColor indexed="64"/>
      </patternFill>
    </fill>
    <fill>
      <patternFill patternType="solid">
        <fgColor rgb="FFFFAFFF"/>
        <bgColor indexed="64"/>
      </patternFill>
    </fill>
    <fill>
      <patternFill patternType="solid">
        <fgColor rgb="FFFFA3A3"/>
        <bgColor indexed="64"/>
      </patternFill>
    </fill>
    <fill>
      <patternFill patternType="solid">
        <fgColor rgb="FFFFFFAB"/>
        <bgColor indexed="64"/>
      </patternFill>
    </fill>
    <fill>
      <patternFill patternType="solid">
        <fgColor rgb="FFAFFFAF"/>
        <bgColor indexed="64"/>
      </patternFill>
    </fill>
    <fill>
      <patternFill patternType="solid">
        <fgColor rgb="FFDADAE6"/>
        <bgColor indexed="64"/>
      </patternFill>
    </fill>
    <fill>
      <patternFill patternType="solid">
        <fgColor rgb="FFBABAD0"/>
        <bgColor indexed="64"/>
      </patternFill>
    </fill>
    <fill>
      <patternFill patternType="solid">
        <fgColor rgb="FF75CAFF"/>
        <bgColor indexed="64"/>
      </patternFill>
    </fill>
    <fill>
      <patternFill patternType="solid">
        <fgColor rgb="FFFF71FF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FFFF65"/>
        <bgColor indexed="64"/>
      </patternFill>
    </fill>
    <fill>
      <patternFill patternType="solid">
        <fgColor rgb="FF5DFF5D"/>
        <bgColor indexed="64"/>
      </patternFill>
    </fill>
    <fill>
      <patternFill patternType="solid">
        <fgColor rgb="FF9292B4"/>
        <bgColor indexed="64"/>
      </patternFill>
    </fill>
    <fill>
      <patternFill patternType="solid">
        <fgColor rgb="FF05A0FF"/>
        <bgColor indexed="64"/>
      </patternFill>
    </fill>
    <fill>
      <patternFill patternType="solid">
        <fgColor rgb="FFFF0DFF"/>
        <bgColor indexed="64"/>
      </patternFill>
    </fill>
    <fill>
      <patternFill patternType="solid">
        <fgColor rgb="FFFE0000"/>
        <bgColor indexed="64"/>
      </patternFill>
    </fill>
    <fill>
      <patternFill patternType="solid">
        <fgColor rgb="FFFFFE00"/>
        <bgColor indexed="64"/>
      </patternFill>
    </fill>
    <fill>
      <patternFill patternType="solid">
        <fgColor rgb="FF00EE00"/>
        <bgColor indexed="64"/>
      </patternFill>
    </fill>
    <fill>
      <patternFill patternType="solid">
        <fgColor rgb="FF63638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FF7D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53">
    <xf numFmtId="0" fontId="0" fillId="0" borderId="0" xfId="0"/>
    <xf numFmtId="0" fontId="0" fillId="2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9" fontId="0" fillId="3" borderId="1" xfId="0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8" fillId="0" borderId="3" xfId="0" applyFont="1" applyFill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7" fillId="0" borderId="4" xfId="0" applyFont="1" applyFill="1" applyBorder="1" applyAlignment="1">
      <alignment horizontal="left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0" borderId="9" xfId="0" applyFont="1" applyBorder="1"/>
    <xf numFmtId="0" fontId="2" fillId="0" borderId="10" xfId="0" applyFont="1" applyBorder="1"/>
    <xf numFmtId="0" fontId="0" fillId="0" borderId="11" xfId="0" applyBorder="1"/>
    <xf numFmtId="0" fontId="0" fillId="0" borderId="12" xfId="0" applyBorder="1"/>
    <xf numFmtId="0" fontId="2" fillId="0" borderId="13" xfId="0" applyFont="1" applyBorder="1"/>
    <xf numFmtId="0" fontId="2" fillId="0" borderId="14" xfId="0" applyFont="1" applyBorder="1"/>
    <xf numFmtId="0" fontId="0" fillId="0" borderId="0" xfId="0" applyAlignment="1"/>
    <xf numFmtId="0" fontId="13" fillId="0" borderId="0" xfId="0" applyFont="1" applyAlignment="1">
      <alignment vertical="top" wrapText="1"/>
    </xf>
    <xf numFmtId="0" fontId="0" fillId="0" borderId="0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32" xfId="0" applyBorder="1"/>
    <xf numFmtId="0" fontId="2" fillId="0" borderId="0" xfId="0" applyFont="1"/>
    <xf numFmtId="0" fontId="15" fillId="10" borderId="6" xfId="0" applyFont="1" applyFill="1" applyBorder="1" applyAlignment="1">
      <alignment horizontal="center"/>
    </xf>
    <xf numFmtId="0" fontId="0" fillId="11" borderId="7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6" fillId="12" borderId="7" xfId="0" applyFont="1" applyFill="1" applyBorder="1" applyAlignment="1">
      <alignment horizontal="center"/>
    </xf>
    <xf numFmtId="0" fontId="6" fillId="9" borderId="8" xfId="0" applyFont="1" applyFill="1" applyBorder="1" applyAlignment="1">
      <alignment horizontal="center"/>
    </xf>
    <xf numFmtId="0" fontId="0" fillId="0" borderId="7" xfId="0" applyFill="1" applyBorder="1"/>
    <xf numFmtId="0" fontId="0" fillId="12" borderId="7" xfId="0" applyFill="1" applyBorder="1"/>
    <xf numFmtId="0" fontId="0" fillId="13" borderId="6" xfId="0" applyFill="1" applyBorder="1"/>
    <xf numFmtId="0" fontId="0" fillId="14" borderId="7" xfId="0" applyFill="1" applyBorder="1"/>
    <xf numFmtId="0" fontId="0" fillId="15" borderId="7" xfId="0" applyFill="1" applyBorder="1"/>
    <xf numFmtId="0" fontId="0" fillId="16" borderId="7" xfId="0" applyFill="1" applyBorder="1"/>
    <xf numFmtId="0" fontId="0" fillId="17" borderId="7" xfId="0" applyFill="1" applyBorder="1"/>
    <xf numFmtId="0" fontId="0" fillId="18" borderId="6" xfId="0" applyFill="1" applyBorder="1"/>
    <xf numFmtId="0" fontId="0" fillId="19" borderId="7" xfId="0" applyFill="1" applyBorder="1"/>
    <xf numFmtId="0" fontId="0" fillId="20" borderId="7" xfId="0" applyFill="1" applyBorder="1"/>
    <xf numFmtId="0" fontId="0" fillId="21" borderId="7" xfId="0" applyFill="1" applyBorder="1"/>
    <xf numFmtId="0" fontId="0" fillId="22" borderId="7" xfId="0" applyFill="1" applyBorder="1"/>
    <xf numFmtId="0" fontId="2" fillId="0" borderId="2" xfId="0" applyFont="1" applyBorder="1"/>
    <xf numFmtId="0" fontId="0" fillId="23" borderId="7" xfId="0" applyFill="1" applyBorder="1"/>
    <xf numFmtId="0" fontId="0" fillId="24" borderId="7" xfId="0" applyFill="1" applyBorder="1"/>
    <xf numFmtId="0" fontId="0" fillId="0" borderId="24" xfId="0" applyBorder="1"/>
    <xf numFmtId="0" fontId="2" fillId="0" borderId="9" xfId="0" applyFont="1" applyFill="1" applyBorder="1"/>
    <xf numFmtId="0" fontId="0" fillId="0" borderId="10" xfId="0" applyBorder="1"/>
    <xf numFmtId="0" fontId="0" fillId="0" borderId="33" xfId="0" applyBorder="1"/>
    <xf numFmtId="0" fontId="0" fillId="0" borderId="0" xfId="0" quotePrefix="1"/>
    <xf numFmtId="0" fontId="0" fillId="25" borderId="6" xfId="0" applyFill="1" applyBorder="1"/>
    <xf numFmtId="0" fontId="0" fillId="26" borderId="7" xfId="0" applyFill="1" applyBorder="1"/>
    <xf numFmtId="0" fontId="0" fillId="27" borderId="7" xfId="0" applyFill="1" applyBorder="1"/>
    <xf numFmtId="0" fontId="0" fillId="28" borderId="7" xfId="0" applyFill="1" applyBorder="1"/>
    <xf numFmtId="0" fontId="0" fillId="29" borderId="7" xfId="0" applyFill="1" applyBorder="1"/>
    <xf numFmtId="0" fontId="0" fillId="30" borderId="7" xfId="0" applyFill="1" applyBorder="1"/>
    <xf numFmtId="0" fontId="0" fillId="31" borderId="6" xfId="0" applyFill="1" applyBorder="1"/>
    <xf numFmtId="0" fontId="0" fillId="32" borderId="7" xfId="0" applyFill="1" applyBorder="1"/>
    <xf numFmtId="0" fontId="0" fillId="33" borderId="7" xfId="0" applyFill="1" applyBorder="1"/>
    <xf numFmtId="0" fontId="0" fillId="34" borderId="7" xfId="0" applyFill="1" applyBorder="1"/>
    <xf numFmtId="0" fontId="0" fillId="35" borderId="7" xfId="0" applyFill="1" applyBorder="1"/>
    <xf numFmtId="0" fontId="0" fillId="36" borderId="7" xfId="0" applyFill="1" applyBorder="1"/>
    <xf numFmtId="0" fontId="2" fillId="0" borderId="0" xfId="0" quotePrefix="1" applyFont="1" applyAlignment="1">
      <alignment horizontal="center"/>
    </xf>
    <xf numFmtId="0" fontId="0" fillId="37" borderId="1" xfId="0" applyFill="1" applyBorder="1"/>
    <xf numFmtId="0" fontId="0" fillId="38" borderId="1" xfId="0" applyFill="1" applyBorder="1"/>
    <xf numFmtId="0" fontId="0" fillId="37" borderId="1" xfId="0" applyFill="1" applyBorder="1" applyAlignment="1">
      <alignment horizontal="center"/>
    </xf>
    <xf numFmtId="9" fontId="0" fillId="37" borderId="36" xfId="0" applyNumberFormat="1" applyFill="1" applyBorder="1" applyAlignment="1">
      <alignment horizontal="center" wrapText="1"/>
    </xf>
    <xf numFmtId="0" fontId="0" fillId="38" borderId="1" xfId="0" applyFill="1" applyBorder="1" applyAlignment="1">
      <alignment horizontal="center"/>
    </xf>
    <xf numFmtId="9" fontId="0" fillId="38" borderId="36" xfId="0" applyNumberFormat="1" applyFill="1" applyBorder="1" applyAlignment="1">
      <alignment horizontal="center" wrapText="1"/>
    </xf>
    <xf numFmtId="0" fontId="2" fillId="7" borderId="41" xfId="0" applyFont="1" applyFill="1" applyBorder="1" applyAlignment="1">
      <alignment horizontal="center" vertical="center" wrapText="1"/>
    </xf>
    <xf numFmtId="0" fontId="10" fillId="7" borderId="23" xfId="0" applyFont="1" applyFill="1" applyBorder="1" applyAlignment="1">
      <alignment horizontal="left" vertical="top"/>
    </xf>
    <xf numFmtId="0" fontId="0" fillId="7" borderId="17" xfId="0" applyFill="1" applyBorder="1" applyAlignment="1">
      <alignment horizontal="left" vertical="top"/>
    </xf>
    <xf numFmtId="0" fontId="0" fillId="7" borderId="20" xfId="0" applyFill="1" applyBorder="1" applyAlignment="1">
      <alignment horizontal="left" vertical="top"/>
    </xf>
    <xf numFmtId="0" fontId="0" fillId="38" borderId="1" xfId="0" applyFill="1" applyBorder="1" applyAlignment="1">
      <alignment horizontal="center" textRotation="9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left" vertical="center" textRotation="90" wrapText="1"/>
      <protection locked="0"/>
    </xf>
    <xf numFmtId="0" fontId="2" fillId="7" borderId="40" xfId="0" applyFont="1" applyFill="1" applyBorder="1" applyAlignment="1" applyProtection="1">
      <alignment horizontal="center" vertical="center" wrapText="1"/>
      <protection locked="0"/>
    </xf>
    <xf numFmtId="0" fontId="10" fillId="6" borderId="21" xfId="0" applyFont="1" applyFill="1" applyBorder="1" applyAlignment="1" applyProtection="1">
      <alignment horizontal="center" vertical="top"/>
      <protection locked="0"/>
    </xf>
    <xf numFmtId="0" fontId="10" fillId="6" borderId="22" xfId="0" applyFont="1" applyFill="1" applyBorder="1" applyAlignment="1" applyProtection="1">
      <alignment horizontal="left" vertical="top" wrapText="1"/>
      <protection locked="0"/>
    </xf>
    <xf numFmtId="49" fontId="10" fillId="6" borderId="22" xfId="0" applyNumberFormat="1" applyFont="1" applyFill="1" applyBorder="1" applyAlignment="1" applyProtection="1">
      <alignment horizontal="center" vertical="top"/>
      <protection locked="0"/>
    </xf>
    <xf numFmtId="164" fontId="10" fillId="6" borderId="34" xfId="0" applyNumberFormat="1" applyFont="1" applyFill="1" applyBorder="1" applyAlignment="1" applyProtection="1">
      <alignment horizontal="center" vertical="top"/>
      <protection locked="0"/>
    </xf>
    <xf numFmtId="164" fontId="10" fillId="6" borderId="22" xfId="0" applyNumberFormat="1" applyFont="1" applyFill="1" applyBorder="1" applyAlignment="1" applyProtection="1">
      <alignment horizontal="center" vertical="top"/>
      <protection locked="0"/>
    </xf>
    <xf numFmtId="0" fontId="10" fillId="6" borderId="22" xfId="0" applyFont="1" applyFill="1" applyBorder="1" applyAlignment="1" applyProtection="1">
      <alignment horizontal="center" vertical="top"/>
      <protection locked="0"/>
    </xf>
    <xf numFmtId="14" fontId="10" fillId="6" borderId="22" xfId="0" applyNumberFormat="1" applyFont="1" applyFill="1" applyBorder="1" applyAlignment="1" applyProtection="1">
      <alignment horizontal="center" vertical="top"/>
      <protection locked="0"/>
    </xf>
    <xf numFmtId="49" fontId="10" fillId="6" borderId="22" xfId="0" quotePrefix="1" applyNumberFormat="1" applyFont="1" applyFill="1" applyBorder="1" applyAlignment="1" applyProtection="1">
      <alignment vertical="top" wrapText="1"/>
      <protection locked="0"/>
    </xf>
    <xf numFmtId="0" fontId="0" fillId="6" borderId="15" xfId="0" applyFill="1" applyBorder="1" applyAlignment="1" applyProtection="1">
      <alignment horizontal="center" vertical="top"/>
      <protection locked="0"/>
    </xf>
    <xf numFmtId="0" fontId="0" fillId="6" borderId="16" xfId="0" applyFill="1" applyBorder="1" applyAlignment="1" applyProtection="1">
      <alignment horizontal="left" vertical="top" wrapText="1"/>
      <protection locked="0"/>
    </xf>
    <xf numFmtId="49" fontId="0" fillId="6" borderId="16" xfId="0" applyNumberFormat="1" applyFill="1" applyBorder="1" applyAlignment="1" applyProtection="1">
      <alignment horizontal="center" vertical="top"/>
      <protection locked="0"/>
    </xf>
    <xf numFmtId="164" fontId="10" fillId="6" borderId="35" xfId="0" applyNumberFormat="1" applyFont="1" applyFill="1" applyBorder="1" applyAlignment="1" applyProtection="1">
      <alignment horizontal="center" vertical="top"/>
      <protection locked="0"/>
    </xf>
    <xf numFmtId="164" fontId="0" fillId="6" borderId="16" xfId="0" applyNumberFormat="1" applyFill="1" applyBorder="1" applyAlignment="1" applyProtection="1">
      <alignment horizontal="center" vertical="top"/>
      <protection locked="0"/>
    </xf>
    <xf numFmtId="0" fontId="0" fillId="6" borderId="16" xfId="0" applyFill="1" applyBorder="1" applyAlignment="1" applyProtection="1">
      <alignment horizontal="center" vertical="top"/>
      <protection locked="0"/>
    </xf>
    <xf numFmtId="14" fontId="0" fillId="6" borderId="16" xfId="0" applyNumberFormat="1" applyFill="1" applyBorder="1" applyAlignment="1" applyProtection="1">
      <alignment horizontal="center" vertical="top"/>
      <protection locked="0"/>
    </xf>
    <xf numFmtId="49" fontId="0" fillId="6" borderId="16" xfId="0" quotePrefix="1" applyNumberFormat="1" applyFill="1" applyBorder="1" applyAlignment="1" applyProtection="1">
      <alignment vertical="top" wrapText="1"/>
      <protection locked="0"/>
    </xf>
    <xf numFmtId="164" fontId="0" fillId="6" borderId="16" xfId="0" applyNumberFormat="1" applyFont="1" applyFill="1" applyBorder="1" applyAlignment="1" applyProtection="1">
      <alignment horizontal="center" vertical="top"/>
      <protection locked="0"/>
    </xf>
    <xf numFmtId="49" fontId="0" fillId="6" borderId="16" xfId="0" applyNumberFormat="1" applyFill="1" applyBorder="1" applyAlignment="1" applyProtection="1">
      <alignment vertical="top" wrapText="1"/>
      <protection locked="0"/>
    </xf>
    <xf numFmtId="0" fontId="9" fillId="6" borderId="16" xfId="0" applyFont="1" applyFill="1" applyBorder="1" applyAlignment="1" applyProtection="1">
      <alignment horizontal="center" vertical="top"/>
      <protection locked="0"/>
    </xf>
    <xf numFmtId="0" fontId="10" fillId="6" borderId="16" xfId="0" applyFont="1" applyFill="1" applyBorder="1" applyAlignment="1" applyProtection="1">
      <alignment horizontal="center" vertical="top"/>
      <protection locked="0"/>
    </xf>
    <xf numFmtId="0" fontId="0" fillId="6" borderId="18" xfId="0" applyFill="1" applyBorder="1" applyAlignment="1" applyProtection="1">
      <alignment horizontal="center" vertical="top"/>
      <protection locked="0"/>
    </xf>
    <xf numFmtId="0" fontId="0" fillId="6" borderId="19" xfId="0" applyFill="1" applyBorder="1" applyAlignment="1" applyProtection="1">
      <alignment horizontal="left" vertical="top" wrapText="1"/>
      <protection locked="0"/>
    </xf>
    <xf numFmtId="49" fontId="0" fillId="6" borderId="19" xfId="0" applyNumberFormat="1" applyFill="1" applyBorder="1" applyAlignment="1" applyProtection="1">
      <alignment horizontal="center" vertical="top"/>
      <protection locked="0"/>
    </xf>
    <xf numFmtId="164" fontId="0" fillId="6" borderId="19" xfId="0" applyNumberFormat="1" applyFont="1" applyFill="1" applyBorder="1" applyAlignment="1" applyProtection="1">
      <alignment horizontal="center" vertical="top"/>
      <protection locked="0"/>
    </xf>
    <xf numFmtId="164" fontId="0" fillId="6" borderId="19" xfId="0" applyNumberFormat="1" applyFill="1" applyBorder="1" applyAlignment="1" applyProtection="1">
      <alignment horizontal="center" vertical="top"/>
      <protection locked="0"/>
    </xf>
    <xf numFmtId="0" fontId="0" fillId="6" borderId="19" xfId="0" applyFill="1" applyBorder="1" applyAlignment="1" applyProtection="1">
      <alignment horizontal="center" vertical="top"/>
      <protection locked="0"/>
    </xf>
    <xf numFmtId="14" fontId="0" fillId="6" borderId="19" xfId="0" applyNumberFormat="1" applyFill="1" applyBorder="1" applyAlignment="1" applyProtection="1">
      <alignment horizontal="center" vertical="top"/>
      <protection locked="0"/>
    </xf>
    <xf numFmtId="49" fontId="0" fillId="6" borderId="19" xfId="0" applyNumberFormat="1" applyFill="1" applyBorder="1" applyAlignment="1" applyProtection="1">
      <alignment vertical="top" wrapTex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2" borderId="1" xfId="0" applyFont="1" applyFill="1" applyBorder="1" applyAlignment="1" applyProtection="1">
      <alignment horizontal="left" vertical="center" wrapText="1" indent="1"/>
      <protection locked="0"/>
    </xf>
    <xf numFmtId="0" fontId="4" fillId="39" borderId="0" xfId="0" applyFont="1" applyFill="1" applyAlignment="1" applyProtection="1">
      <alignment horizontal="left" vertical="center"/>
      <protection locked="0"/>
    </xf>
    <xf numFmtId="0" fontId="0" fillId="39" borderId="0" xfId="0" applyFill="1" applyProtection="1"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2" fillId="7" borderId="1" xfId="0" applyFont="1" applyFill="1" applyBorder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0" fillId="0" borderId="24" xfId="0" applyFont="1" applyBorder="1" applyAlignment="1">
      <alignment horizontal="left"/>
    </xf>
    <xf numFmtId="0" fontId="10" fillId="0" borderId="8" xfId="0" applyFont="1" applyBorder="1" applyAlignment="1">
      <alignment horizontal="left"/>
    </xf>
    <xf numFmtId="0" fontId="0" fillId="0" borderId="43" xfId="0" applyBorder="1"/>
    <xf numFmtId="0" fontId="12" fillId="0" borderId="6" xfId="0" applyFont="1" applyBorder="1"/>
    <xf numFmtId="0" fontId="17" fillId="0" borderId="7" xfId="0" applyFont="1" applyBorder="1"/>
    <xf numFmtId="0" fontId="16" fillId="0" borderId="7" xfId="0" applyFont="1" applyBorder="1"/>
    <xf numFmtId="0" fontId="11" fillId="0" borderId="7" xfId="0" applyFont="1" applyBorder="1"/>
    <xf numFmtId="0" fontId="10" fillId="0" borderId="7" xfId="0" applyFont="1" applyBorder="1"/>
    <xf numFmtId="0" fontId="11" fillId="0" borderId="8" xfId="0" applyFont="1" applyBorder="1"/>
    <xf numFmtId="0" fontId="0" fillId="0" borderId="0" xfId="0" applyBorder="1" applyAlignment="1">
      <alignment horizontal="right"/>
    </xf>
    <xf numFmtId="0" fontId="2" fillId="0" borderId="8" xfId="0" applyFont="1" applyBorder="1" applyAlignment="1" applyProtection="1">
      <alignment horizontal="center"/>
    </xf>
    <xf numFmtId="0" fontId="0" fillId="0" borderId="0" xfId="0" applyAlignment="1">
      <alignment horizontal="centerContinuous"/>
    </xf>
    <xf numFmtId="0" fontId="6" fillId="0" borderId="0" xfId="0" applyFont="1" applyAlignment="1">
      <alignment horizontal="left" wrapText="1"/>
    </xf>
    <xf numFmtId="0" fontId="2" fillId="40" borderId="24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vertical="center"/>
      <protection locked="0"/>
    </xf>
    <xf numFmtId="0" fontId="1" fillId="4" borderId="37" xfId="0" applyFont="1" applyFill="1" applyBorder="1" applyAlignment="1" applyProtection="1">
      <alignment horizontal="center" vertical="center"/>
      <protection locked="0"/>
    </xf>
    <xf numFmtId="0" fontId="1" fillId="4" borderId="38" xfId="0" applyFont="1" applyFill="1" applyBorder="1" applyAlignment="1" applyProtection="1">
      <alignment horizontal="center" vertical="center"/>
      <protection locked="0"/>
    </xf>
    <xf numFmtId="0" fontId="1" fillId="4" borderId="39" xfId="0" applyFont="1" applyFill="1" applyBorder="1" applyAlignment="1" applyProtection="1">
      <alignment horizontal="center" vertical="center"/>
      <protection locked="0"/>
    </xf>
    <xf numFmtId="9" fontId="5" fillId="3" borderId="37" xfId="0" applyNumberFormat="1" applyFont="1" applyFill="1" applyBorder="1" applyAlignment="1">
      <alignment horizontal="center" vertical="center"/>
    </xf>
    <xf numFmtId="9" fontId="5" fillId="3" borderId="38" xfId="0" applyNumberFormat="1" applyFont="1" applyFill="1" applyBorder="1" applyAlignment="1">
      <alignment horizontal="center" vertical="center"/>
    </xf>
    <xf numFmtId="9" fontId="5" fillId="3" borderId="39" xfId="0" applyNumberFormat="1" applyFont="1" applyFill="1" applyBorder="1" applyAlignment="1">
      <alignment horizontal="center" vertical="center"/>
    </xf>
    <xf numFmtId="0" fontId="14" fillId="0" borderId="0" xfId="0" applyFont="1" applyBorder="1" applyAlignment="1" applyProtection="1">
      <alignment horizontal="left" vertical="center"/>
      <protection locked="0"/>
    </xf>
    <xf numFmtId="0" fontId="0" fillId="0" borderId="6" xfId="0" applyFont="1" applyBorder="1" applyAlignment="1" applyProtection="1">
      <alignment horizontal="center" vertical="center" wrapText="1"/>
      <protection locked="0"/>
    </xf>
    <xf numFmtId="0" fontId="0" fillId="0" borderId="7" xfId="0" applyFont="1" applyBorder="1" applyAlignment="1" applyProtection="1">
      <alignment horizontal="center" vertical="center" wrapText="1"/>
      <protection locked="0"/>
    </xf>
    <xf numFmtId="0" fontId="3" fillId="39" borderId="0" xfId="0" applyFont="1" applyFill="1" applyAlignment="1" applyProtection="1">
      <alignment horizontal="center" vertical="center"/>
      <protection locked="0"/>
    </xf>
    <xf numFmtId="0" fontId="1" fillId="39" borderId="0" xfId="0" applyFont="1" applyFill="1" applyAlignment="1" applyProtection="1">
      <alignment horizontal="center" vertical="center"/>
      <protection locked="0"/>
    </xf>
    <xf numFmtId="0" fontId="1" fillId="39" borderId="1" xfId="0" applyFont="1" applyFill="1" applyBorder="1" applyAlignment="1" applyProtection="1">
      <alignment horizontal="center" vertical="center"/>
      <protection locked="0"/>
    </xf>
    <xf numFmtId="0" fontId="13" fillId="0" borderId="9" xfId="0" applyFont="1" applyBorder="1" applyAlignment="1">
      <alignment horizontal="left" vertical="top" wrapText="1"/>
    </xf>
    <xf numFmtId="0" fontId="13" fillId="0" borderId="42" xfId="0" applyFont="1" applyBorder="1" applyAlignment="1">
      <alignment horizontal="left" vertical="top" wrapText="1"/>
    </xf>
    <xf numFmtId="0" fontId="13" fillId="0" borderId="10" xfId="0" applyFont="1" applyBorder="1" applyAlignment="1">
      <alignment horizontal="left" vertical="top" wrapText="1"/>
    </xf>
    <xf numFmtId="0" fontId="20" fillId="0" borderId="0" xfId="0" applyFont="1" applyFill="1" applyAlignment="1">
      <alignment horizontal="left" vertical="center"/>
    </xf>
  </cellXfs>
  <cellStyles count="1">
    <cellStyle name="Normal" xfId="0" builtinId="0"/>
  </cellStyles>
  <dxfs count="1800"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ECFF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FF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CCE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FF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CCE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FF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CCE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FF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CCE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FF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CCE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FF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CCE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FF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CCE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FF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CCE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FF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CCE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FF"/>
        </patternFill>
      </fill>
    </dxf>
    <dxf>
      <font>
        <b/>
        <i val="0"/>
        <strike val="0"/>
        <color rgb="FFFFFFCC"/>
      </font>
      <fill>
        <patternFill>
          <fgColor indexed="64"/>
          <bgColor rgb="FFFF0000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E6B8B7"/>
        </patternFill>
      </fill>
    </dxf>
    <dxf>
      <font>
        <b val="0"/>
        <i val="0"/>
        <strike val="0"/>
        <color rgb="FF000000"/>
      </font>
      <fill>
        <patternFill>
          <fgColor indexed="64"/>
          <bgColor rgb="FFFCD5B4"/>
        </patternFill>
      </fill>
    </dxf>
    <dxf>
      <font>
        <b val="0"/>
        <i/>
        <strike val="0"/>
        <color rgb="FF000000"/>
      </font>
      <fill>
        <patternFill>
          <fgColor indexed="64"/>
          <bgColor rgb="FFFFFFCC"/>
        </patternFill>
      </fill>
    </dxf>
    <dxf>
      <font>
        <b val="0"/>
        <i/>
        <strike val="0"/>
        <color rgb="FF000000"/>
      </font>
      <fill>
        <patternFill>
          <fgColor indexed="64"/>
          <bgColor rgb="FFC4D79B"/>
        </patternFill>
      </fill>
    </dxf>
    <dxf>
      <font>
        <b val="0"/>
        <i val="0"/>
        <strike val="0"/>
        <u val="none"/>
        <color rgb="FF595959" tint="0.34998626667073579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/>
        <strike val="0"/>
        <u val="none"/>
        <color rgb="FF404040" tint="0.249977111117893"/>
      </font>
    </dxf>
    <dxf>
      <fill>
        <patternFill>
          <fgColor indexed="64"/>
          <bgColor rgb="FFCCECFF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FFFF"/>
        </patternFill>
      </fill>
    </dxf>
    <dxf>
      <fill>
        <patternFill>
          <fgColor indexed="64"/>
          <bgColor rgb="FFCCFFFF"/>
        </patternFill>
      </fill>
    </dxf>
    <dxf>
      <fill>
        <patternFill>
          <fgColor indexed="64"/>
          <bgColor rgb="FFCCFFCC"/>
        </patternFill>
      </fill>
    </dxf>
    <dxf>
      <fill>
        <patternFill>
          <fgColor indexed="64"/>
          <bgColor rgb="FFFFFFCC"/>
        </patternFill>
      </fill>
    </dxf>
    <dxf>
      <fill>
        <patternFill>
          <fgColor indexed="64"/>
          <bgColor rgb="FFFFCCCC"/>
        </patternFill>
      </fill>
    </dxf>
    <dxf>
      <fill>
        <patternFill>
          <fgColor indexed="64"/>
          <bgColor rgb="FFFFCCFF"/>
        </patternFill>
      </fill>
    </dxf>
    <dxf>
      <fill>
        <patternFill>
          <fgColor indexed="64"/>
          <bgColor rgb="FFCCE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  <dxf>
      <fill>
        <patternFill>
          <fgColor indexed="64"/>
          <bgColor rgb="FFFFCCFF"/>
        </patternFill>
      </fill>
    </dxf>
    <dxf>
      <font>
        <b val="0"/>
        <i/>
        <strike val="0"/>
        <u val="none"/>
        <color rgb="FF404040" tint="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/>
        <u val="none"/>
        <color rgb="FFBFBFBF" tint="-0.249977111117893"/>
      </font>
    </dxf>
    <dxf>
      <font>
        <b val="0"/>
        <i/>
        <strike val="0"/>
        <u val="none"/>
        <color rgb="FF404040" tint="0.249977111117893"/>
      </font>
    </dxf>
    <dxf>
      <font>
        <b val="0"/>
        <i/>
        <strike/>
        <u val="none"/>
        <color rgb="FFC4BD97" tint="-0.249977111117893"/>
      </font>
    </dxf>
    <dxf>
      <font>
        <b val="0"/>
        <i val="0"/>
        <strike/>
        <u val="none"/>
        <color rgb="FFBFBFBF" tint="-0.249977111117893"/>
      </font>
    </dxf>
    <dxf>
      <font>
        <b val="0"/>
        <i val="0"/>
        <strike val="0"/>
        <u val="none"/>
        <color rgb="FF000000"/>
      </font>
    </dxf>
    <dxf>
      <font>
        <b val="0"/>
        <i val="0"/>
        <strike val="0"/>
        <u val="none"/>
        <color rgb="FF595959" tint="0.34998626667073579"/>
      </font>
    </dxf>
  </dxfs>
  <tableStyles count="0" defaultTableStyle="TableStyleMedium2" defaultPivotStyle="PivotStyleLight16"/>
  <colors>
    <mruColors>
      <color rgb="FFFFFF7D"/>
      <color rgb="FFFFFE00"/>
      <color rgb="FF63638F"/>
      <color rgb="FF00EE00"/>
      <color rgb="FFFE0000"/>
      <color rgb="FFFF0DFF"/>
      <color rgb="FF05A0FF"/>
      <color rgb="FF9292B4"/>
      <color rgb="FF5DFF5D"/>
      <color rgb="FFFFFF6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Stories</a:t>
            </a:r>
            <a:r>
              <a:rPr lang="en-US" baseline="0"/>
              <a:t> progress</a:t>
            </a:r>
            <a:endParaRPr lang="en-US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ReleaseProgress!$C$7</c:f>
              <c:strCache>
                <c:ptCount val="1"/>
                <c:pt idx="0">
                  <c:v>Actual progress</c:v>
                </c:pt>
              </c:strCache>
            </c:strRef>
          </c:tx>
          <c:invertIfNegative val="0"/>
          <c:cat>
            <c:numRef>
              <c:f>ReleaseProgress!$D$5:$AB$5</c:f>
              <c:numCache>
                <c:formatCode>General</c:formatCode>
                <c:ptCount val="25"/>
                <c:pt idx="0">
                  <c:v>201713</c:v>
                </c:pt>
                <c:pt idx="1">
                  <c:v>201714</c:v>
                </c:pt>
                <c:pt idx="2">
                  <c:v>201715</c:v>
                </c:pt>
                <c:pt idx="3">
                  <c:v>201716</c:v>
                </c:pt>
                <c:pt idx="4">
                  <c:v>201717</c:v>
                </c:pt>
                <c:pt idx="5">
                  <c:v>201718</c:v>
                </c:pt>
                <c:pt idx="6">
                  <c:v>201719</c:v>
                </c:pt>
                <c:pt idx="7">
                  <c:v>201720</c:v>
                </c:pt>
                <c:pt idx="8">
                  <c:v>201721</c:v>
                </c:pt>
                <c:pt idx="9">
                  <c:v>201722</c:v>
                </c:pt>
                <c:pt idx="10">
                  <c:v>201723</c:v>
                </c:pt>
                <c:pt idx="11">
                  <c:v>201724</c:v>
                </c:pt>
                <c:pt idx="12">
                  <c:v>201725</c:v>
                </c:pt>
                <c:pt idx="13">
                  <c:v>201726</c:v>
                </c:pt>
                <c:pt idx="14">
                  <c:v>201727</c:v>
                </c:pt>
                <c:pt idx="15">
                  <c:v>201728</c:v>
                </c:pt>
                <c:pt idx="16">
                  <c:v>201729</c:v>
                </c:pt>
                <c:pt idx="17">
                  <c:v>201730</c:v>
                </c:pt>
                <c:pt idx="18">
                  <c:v>201731</c:v>
                </c:pt>
                <c:pt idx="19">
                  <c:v>201732</c:v>
                </c:pt>
                <c:pt idx="20">
                  <c:v>201733</c:v>
                </c:pt>
                <c:pt idx="21">
                  <c:v>201734</c:v>
                </c:pt>
                <c:pt idx="22">
                  <c:v>201735</c:v>
                </c:pt>
                <c:pt idx="23">
                  <c:v>201736</c:v>
                </c:pt>
                <c:pt idx="24">
                  <c:v>201737</c:v>
                </c:pt>
              </c:numCache>
            </c:numRef>
          </c:cat>
          <c:val>
            <c:numRef>
              <c:f>ReleaseProgress!$D$7:$AB$7</c:f>
              <c:numCache>
                <c:formatCode>0%</c:formatCode>
                <c:ptCount val="25"/>
                <c:pt idx="0">
                  <c:v>0.25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6664704"/>
        <c:axId val="106666240"/>
      </c:barChart>
      <c:lineChart>
        <c:grouping val="standard"/>
        <c:varyColors val="0"/>
        <c:ser>
          <c:idx val="0"/>
          <c:order val="0"/>
          <c:tx>
            <c:strRef>
              <c:f>ReleaseProgress!$C$6</c:f>
              <c:strCache>
                <c:ptCount val="1"/>
                <c:pt idx="0">
                  <c:v>Goal progress</c:v>
                </c:pt>
              </c:strCache>
            </c:strRef>
          </c:tx>
          <c:marker>
            <c:symbol val="none"/>
          </c:marker>
          <c:cat>
            <c:numRef>
              <c:f>ReleaseProgress!$D$5:$AP$5</c:f>
              <c:numCache>
                <c:formatCode>General</c:formatCode>
                <c:ptCount val="39"/>
                <c:pt idx="0">
                  <c:v>201713</c:v>
                </c:pt>
                <c:pt idx="1">
                  <c:v>201714</c:v>
                </c:pt>
                <c:pt idx="2">
                  <c:v>201715</c:v>
                </c:pt>
                <c:pt idx="3">
                  <c:v>201716</c:v>
                </c:pt>
                <c:pt idx="4">
                  <c:v>201717</c:v>
                </c:pt>
                <c:pt idx="5">
                  <c:v>201718</c:v>
                </c:pt>
                <c:pt idx="6">
                  <c:v>201719</c:v>
                </c:pt>
                <c:pt idx="7">
                  <c:v>201720</c:v>
                </c:pt>
                <c:pt idx="8">
                  <c:v>201721</c:v>
                </c:pt>
                <c:pt idx="9">
                  <c:v>201722</c:v>
                </c:pt>
                <c:pt idx="10">
                  <c:v>201723</c:v>
                </c:pt>
                <c:pt idx="11">
                  <c:v>201724</c:v>
                </c:pt>
                <c:pt idx="12">
                  <c:v>201725</c:v>
                </c:pt>
                <c:pt idx="13">
                  <c:v>201726</c:v>
                </c:pt>
                <c:pt idx="14">
                  <c:v>201727</c:v>
                </c:pt>
                <c:pt idx="15">
                  <c:v>201728</c:v>
                </c:pt>
                <c:pt idx="16">
                  <c:v>201729</c:v>
                </c:pt>
                <c:pt idx="17">
                  <c:v>201730</c:v>
                </c:pt>
                <c:pt idx="18">
                  <c:v>201731</c:v>
                </c:pt>
                <c:pt idx="19">
                  <c:v>201732</c:v>
                </c:pt>
                <c:pt idx="20">
                  <c:v>201733</c:v>
                </c:pt>
                <c:pt idx="21">
                  <c:v>201734</c:v>
                </c:pt>
                <c:pt idx="22">
                  <c:v>201735</c:v>
                </c:pt>
                <c:pt idx="23">
                  <c:v>201736</c:v>
                </c:pt>
                <c:pt idx="24">
                  <c:v>201737</c:v>
                </c:pt>
                <c:pt idx="25">
                  <c:v>201738</c:v>
                </c:pt>
                <c:pt idx="26">
                  <c:v>201739</c:v>
                </c:pt>
                <c:pt idx="27">
                  <c:v>201740</c:v>
                </c:pt>
                <c:pt idx="28">
                  <c:v>201741</c:v>
                </c:pt>
                <c:pt idx="29">
                  <c:v>201742</c:v>
                </c:pt>
                <c:pt idx="30">
                  <c:v>201743</c:v>
                </c:pt>
                <c:pt idx="31">
                  <c:v>201744</c:v>
                </c:pt>
                <c:pt idx="32">
                  <c:v>201745</c:v>
                </c:pt>
                <c:pt idx="33">
                  <c:v>201746</c:v>
                </c:pt>
                <c:pt idx="34">
                  <c:v>201747</c:v>
                </c:pt>
                <c:pt idx="35">
                  <c:v>201748</c:v>
                </c:pt>
                <c:pt idx="36">
                  <c:v>201749</c:v>
                </c:pt>
                <c:pt idx="37">
                  <c:v>201750</c:v>
                </c:pt>
                <c:pt idx="38">
                  <c:v>201751</c:v>
                </c:pt>
              </c:numCache>
            </c:numRef>
          </c:cat>
          <c:val>
            <c:numRef>
              <c:f>ReleaseProgress!$D$6:$AP$6</c:f>
              <c:numCache>
                <c:formatCode>0%</c:formatCode>
                <c:ptCount val="39"/>
                <c:pt idx="0">
                  <c:v>0.7857142857142857</c:v>
                </c:pt>
                <c:pt idx="1">
                  <c:v>0.8571428571428571</c:v>
                </c:pt>
                <c:pt idx="2">
                  <c:v>0.9285714285714286</c:v>
                </c:pt>
                <c:pt idx="3">
                  <c:v>0.9285714285714286</c:v>
                </c:pt>
                <c:pt idx="4">
                  <c:v>0.9285714285714286</c:v>
                </c:pt>
                <c:pt idx="5">
                  <c:v>0.9642857142857143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6664704"/>
        <c:axId val="106666240"/>
      </c:lineChart>
      <c:catAx>
        <c:axId val="106664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06666240"/>
        <c:crosses val="autoZero"/>
        <c:auto val="1"/>
        <c:lblAlgn val="ctr"/>
        <c:lblOffset val="100"/>
        <c:noMultiLvlLbl val="0"/>
      </c:catAx>
      <c:valAx>
        <c:axId val="106666240"/>
        <c:scaling>
          <c:orientation val="minMax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spPr>
          <a:ln w="9525">
            <a:noFill/>
          </a:ln>
        </c:spPr>
        <c:crossAx val="106664704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352986</xdr:colOff>
      <xdr:row>1</xdr:row>
      <xdr:rowOff>112059</xdr:rowOff>
    </xdr:from>
    <xdr:to>
      <xdr:col>16</xdr:col>
      <xdr:colOff>2381251</xdr:colOff>
      <xdr:row>3</xdr:row>
      <xdr:rowOff>89648</xdr:rowOff>
    </xdr:to>
    <xdr:sp macro="[0]!ResetData" textlink="">
      <xdr:nvSpPr>
        <xdr:cNvPr id="3" name="ZoneTexte 2"/>
        <xdr:cNvSpPr txBox="1"/>
      </xdr:nvSpPr>
      <xdr:spPr>
        <a:xfrm>
          <a:off x="13295780" y="268941"/>
          <a:ext cx="2028265" cy="291354"/>
        </a:xfrm>
        <a:prstGeom prst="rect">
          <a:avLst/>
        </a:prstGeom>
        <a:solidFill>
          <a:srgbClr val="C00000"/>
        </a:solidFill>
        <a:ln/>
        <a:scene3d>
          <a:camera prst="orthographicFront"/>
          <a:lightRig rig="glow" dir="tl">
            <a:rot lat="0" lon="0" rev="5400000"/>
          </a:lightRig>
        </a:scene3d>
        <a:sp3d>
          <a:bevelT prst="convex"/>
        </a:sp3d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cap="none" spc="0">
              <a:ln>
                <a:noFill/>
              </a:ln>
              <a:solidFill>
                <a:srgbClr val="FFFF00"/>
              </a:solidFill>
              <a:effectLst/>
            </a:rPr>
            <a:t>R E S E T</a:t>
          </a:r>
          <a:r>
            <a:rPr lang="fr-FR" sz="1100" b="1" cap="none" spc="0" baseline="0">
              <a:ln>
                <a:noFill/>
              </a:ln>
              <a:solidFill>
                <a:srgbClr val="FFFF00"/>
              </a:solidFill>
              <a:effectLst/>
            </a:rPr>
            <a:t>   D A T A ...</a:t>
          </a:r>
          <a:endParaRPr lang="fr-FR" sz="1100" b="1" cap="none" spc="0">
            <a:ln>
              <a:noFill/>
            </a:ln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16</xdr:col>
      <xdr:colOff>352986</xdr:colOff>
      <xdr:row>4</xdr:row>
      <xdr:rowOff>29135</xdr:rowOff>
    </xdr:from>
    <xdr:to>
      <xdr:col>16</xdr:col>
      <xdr:colOff>3266514</xdr:colOff>
      <xdr:row>6</xdr:row>
      <xdr:rowOff>6724</xdr:rowOff>
    </xdr:to>
    <xdr:sp macro="[0]!ResetFormatConditions" textlink="">
      <xdr:nvSpPr>
        <xdr:cNvPr id="4" name="ZoneTexte 3"/>
        <xdr:cNvSpPr txBox="1"/>
      </xdr:nvSpPr>
      <xdr:spPr>
        <a:xfrm>
          <a:off x="13295780" y="656664"/>
          <a:ext cx="2913528" cy="302560"/>
        </a:xfrm>
        <a:prstGeom prst="rect">
          <a:avLst/>
        </a:prstGeom>
        <a:ln/>
        <a:scene3d>
          <a:camera prst="orthographicFront"/>
          <a:lightRig rig="threePt" dir="t"/>
        </a:scene3d>
        <a:sp3d>
          <a:bevelT prst="convex"/>
        </a:sp3d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cap="none" spc="0">
              <a:ln>
                <a:noFill/>
              </a:ln>
              <a:solidFill>
                <a:schemeClr val="tx1"/>
              </a:solidFill>
              <a:effectLst/>
            </a:rPr>
            <a:t>U P D A T E</a:t>
          </a:r>
          <a:r>
            <a:rPr lang="fr-FR" sz="1100" b="1" cap="none" spc="0" baseline="0">
              <a:ln>
                <a:noFill/>
              </a:ln>
              <a:solidFill>
                <a:schemeClr val="tx1"/>
              </a:solidFill>
              <a:effectLst/>
            </a:rPr>
            <a:t>   A L L  </a:t>
          </a:r>
          <a:r>
            <a:rPr lang="fr-FR" sz="1100" b="1" cap="all" spc="0" baseline="0">
              <a:ln>
                <a:noFill/>
              </a:ln>
              <a:solidFill>
                <a:schemeClr val="tx1"/>
              </a:solidFill>
              <a:effectLst/>
            </a:rPr>
            <a:t>conditional format. ...</a:t>
          </a:r>
        </a:p>
      </xdr:txBody>
    </xdr:sp>
    <xdr:clientData/>
  </xdr:twoCellAnchor>
  <xdr:twoCellAnchor>
    <xdr:from>
      <xdr:col>16</xdr:col>
      <xdr:colOff>348504</xdr:colOff>
      <xdr:row>6</xdr:row>
      <xdr:rowOff>125506</xdr:rowOff>
    </xdr:from>
    <xdr:to>
      <xdr:col>16</xdr:col>
      <xdr:colOff>1501588</xdr:colOff>
      <xdr:row>8</xdr:row>
      <xdr:rowOff>91889</xdr:rowOff>
    </xdr:to>
    <xdr:sp macro="[0]!ShowAllData" textlink="">
      <xdr:nvSpPr>
        <xdr:cNvPr id="5" name="ZoneTexte 4"/>
        <xdr:cNvSpPr txBox="1"/>
      </xdr:nvSpPr>
      <xdr:spPr>
        <a:xfrm>
          <a:off x="12932710" y="1078006"/>
          <a:ext cx="1153084" cy="291354"/>
        </a:xfrm>
        <a:prstGeom prst="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cap="none" spc="0">
              <a:ln>
                <a:noFill/>
              </a:ln>
              <a:solidFill>
                <a:srgbClr val="FFFF00"/>
              </a:solidFill>
              <a:effectLst/>
            </a:rPr>
            <a:t>SHOW ALL DATA</a:t>
          </a:r>
        </a:p>
      </xdr:txBody>
    </xdr:sp>
    <xdr:clientData/>
  </xdr:twoCellAnchor>
  <xdr:twoCellAnchor>
    <xdr:from>
      <xdr:col>16</xdr:col>
      <xdr:colOff>1554257</xdr:colOff>
      <xdr:row>6</xdr:row>
      <xdr:rowOff>125506</xdr:rowOff>
    </xdr:from>
    <xdr:to>
      <xdr:col>16</xdr:col>
      <xdr:colOff>3025589</xdr:colOff>
      <xdr:row>8</xdr:row>
      <xdr:rowOff>91889</xdr:rowOff>
    </xdr:to>
    <xdr:sp macro="[0]!AppendNewStory" textlink="">
      <xdr:nvSpPr>
        <xdr:cNvPr id="6" name="ZoneTexte 5"/>
        <xdr:cNvSpPr txBox="1"/>
      </xdr:nvSpPr>
      <xdr:spPr>
        <a:xfrm>
          <a:off x="14138463" y="1078006"/>
          <a:ext cx="1471332" cy="291354"/>
        </a:xfrm>
        <a:prstGeom prst="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cap="none" spc="0">
              <a:ln>
                <a:noFill/>
              </a:ln>
              <a:solidFill>
                <a:srgbClr val="FFFF00"/>
              </a:solidFill>
              <a:effectLst/>
            </a:rPr>
            <a:t>APPEND NEW</a:t>
          </a:r>
          <a:r>
            <a:rPr lang="fr-FR" sz="1100" b="1" cap="none" spc="0" baseline="0">
              <a:ln>
                <a:noFill/>
              </a:ln>
              <a:solidFill>
                <a:srgbClr val="FFFF00"/>
              </a:solidFill>
              <a:effectLst/>
            </a:rPr>
            <a:t> STORY</a:t>
          </a:r>
          <a:endParaRPr lang="fr-FR" sz="1100" b="1" cap="none" spc="0">
            <a:ln>
              <a:noFill/>
            </a:ln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16</xdr:col>
      <xdr:colOff>3073773</xdr:colOff>
      <xdr:row>6</xdr:row>
      <xdr:rowOff>125506</xdr:rowOff>
    </xdr:from>
    <xdr:to>
      <xdr:col>16</xdr:col>
      <xdr:colOff>4493559</xdr:colOff>
      <xdr:row>8</xdr:row>
      <xdr:rowOff>91889</xdr:rowOff>
    </xdr:to>
    <xdr:sp macro="[0]!CopyAsNewStory" textlink="">
      <xdr:nvSpPr>
        <xdr:cNvPr id="7" name="ZoneTexte 6"/>
        <xdr:cNvSpPr txBox="1"/>
      </xdr:nvSpPr>
      <xdr:spPr>
        <a:xfrm>
          <a:off x="15657979" y="1078006"/>
          <a:ext cx="1419786" cy="291354"/>
        </a:xfrm>
        <a:prstGeom prst="rect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 cap="none" spc="0">
              <a:ln>
                <a:noFill/>
              </a:ln>
              <a:solidFill>
                <a:srgbClr val="FFFF00"/>
              </a:solidFill>
              <a:effectLst/>
            </a:rPr>
            <a:t>COPY AS NEW</a:t>
          </a:r>
          <a:r>
            <a:rPr lang="fr-FR" sz="1100" b="1" cap="none" spc="0" baseline="0">
              <a:ln>
                <a:noFill/>
              </a:ln>
              <a:solidFill>
                <a:srgbClr val="FFFF00"/>
              </a:solidFill>
              <a:effectLst/>
            </a:rPr>
            <a:t> STORY</a:t>
          </a:r>
          <a:endParaRPr lang="fr-FR" sz="1100" b="1" cap="none" spc="0">
            <a:ln>
              <a:noFill/>
            </a:ln>
            <a:solidFill>
              <a:srgbClr val="FFFF00"/>
            </a:solidFill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1476374</xdr:colOff>
      <xdr:row>8</xdr:row>
      <xdr:rowOff>130968</xdr:rowOff>
    </xdr:from>
    <xdr:to>
      <xdr:col>13</xdr:col>
      <xdr:colOff>761999</xdr:colOff>
      <xdr:row>35</xdr:row>
      <xdr:rowOff>47624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p2013.myatos.net/Users/A104968/Documents%20W/01%20-%20LA%20POSTE/09%20-%20ZIP/LaPoste-Canaux-PIL-PlanAction-ZIP_V1.0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ions"/>
      <sheetName val="ActionsApplis"/>
      <sheetName val="SuiviAvct"/>
      <sheetName val="SuiviAvct-G"/>
      <sheetName val="StatusReport-ZIP"/>
      <sheetName val="AEL"/>
      <sheetName val="ARIS"/>
      <sheetName val="LISA"/>
      <sheetName val="Nabucco"/>
      <sheetName val="AMS"/>
      <sheetName val="IntranetAutomate"/>
      <sheetName val="ServeurAutomate"/>
      <sheetName val="EspaceService"/>
      <sheetName val="IntranetUELP"/>
      <sheetName val="PPC"/>
      <sheetName val="IntranetEnvoiMessage"/>
      <sheetName val="Admin"/>
      <sheetName val="Feuil18"/>
    </sheetNames>
    <sheetDataSet>
      <sheetData sheetId="0"/>
      <sheetData sheetId="1" refreshError="1"/>
      <sheetData sheetId="2">
        <row r="9">
          <cell r="E9">
            <v>201449</v>
          </cell>
        </row>
      </sheetData>
      <sheetData sheetId="3" refreshError="1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  <sheetData sheetId="14" refreshError="1"/>
      <sheetData sheetId="15" refreshError="1"/>
      <sheetData sheetId="16">
        <row r="1">
          <cell r="A1" t="str">
            <v>Non débutée</v>
          </cell>
        </row>
        <row r="2">
          <cell r="A2" t="str">
            <v>En cours</v>
          </cell>
        </row>
        <row r="3">
          <cell r="A3" t="str">
            <v>Clos</v>
          </cell>
        </row>
        <row r="4">
          <cell r="A4" t="str">
            <v>Abandonnée</v>
          </cell>
        </row>
        <row r="5">
          <cell r="A5" t="str">
            <v>Suspendue</v>
          </cell>
        </row>
        <row r="6">
          <cell r="A6" t="str">
            <v>Appliquée</v>
          </cell>
        </row>
        <row r="7">
          <cell r="A7" t="str">
            <v>N/A</v>
          </cell>
        </row>
      </sheetData>
      <sheetData sheetId="17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R1009"/>
  <sheetViews>
    <sheetView showGridLines="0" showRowColHeaders="0" tabSelected="1" zoomScale="85" zoomScaleNormal="85" workbookViewId="0">
      <pane xSplit="8" ySplit="10" topLeftCell="I11" activePane="bottomRight" state="frozen"/>
      <selection pane="topRight" activeCell="C1" sqref="C1"/>
      <selection pane="bottomLeft" activeCell="A11" sqref="A11"/>
      <selection pane="bottomRight" activeCell="F10" sqref="F10"/>
    </sheetView>
  </sheetViews>
  <sheetFormatPr baseColWidth="10" defaultRowHeight="12.75" x14ac:dyDescent="0.2"/>
  <cols>
    <col min="1" max="1" width="1" customWidth="1"/>
    <col min="2" max="5" width="11.42578125" hidden="1" customWidth="1"/>
    <col min="6" max="6" width="9.42578125" customWidth="1"/>
    <col min="7" max="7" width="0.7109375" customWidth="1"/>
    <col min="8" max="8" width="7.140625" customWidth="1"/>
    <col min="9" max="9" width="11.85546875" customWidth="1"/>
    <col min="10" max="10" width="35.85546875" customWidth="1"/>
    <col min="11" max="11" width="34.140625" style="5" customWidth="1"/>
    <col min="12" max="12" width="5.5703125" style="5" customWidth="1"/>
    <col min="13" max="13" width="15" customWidth="1"/>
    <col min="14" max="14" width="14.28515625" customWidth="1"/>
    <col min="15" max="15" width="12.42578125" bestFit="1" customWidth="1"/>
    <col min="16" max="16" width="14.42578125" customWidth="1"/>
    <col min="17" max="17" width="70.85546875" customWidth="1"/>
    <col min="18" max="18" width="28.42578125" style="6" customWidth="1"/>
  </cols>
  <sheetData>
    <row r="1" spans="1:18" x14ac:dyDescent="0.2">
      <c r="A1" s="112"/>
      <c r="B1" s="112"/>
      <c r="C1" s="112"/>
      <c r="D1" s="112"/>
      <c r="E1" s="112"/>
      <c r="F1" s="112"/>
      <c r="G1" s="112"/>
      <c r="H1" s="112"/>
      <c r="I1" s="112"/>
      <c r="J1" s="112"/>
      <c r="K1" s="113"/>
      <c r="L1" s="113"/>
    </row>
    <row r="2" spans="1:18" ht="12.75" customHeight="1" x14ac:dyDescent="0.2">
      <c r="A2" s="112"/>
      <c r="B2" s="112"/>
      <c r="C2" s="112"/>
      <c r="D2" s="112"/>
      <c r="E2" s="112"/>
      <c r="F2" s="112"/>
      <c r="G2" s="112"/>
      <c r="H2" s="143" t="s">
        <v>1121</v>
      </c>
      <c r="I2" s="143"/>
      <c r="J2" s="143"/>
      <c r="K2" s="143"/>
      <c r="L2" s="113"/>
      <c r="M2" s="70" t="s">
        <v>1087</v>
      </c>
      <c r="N2" s="72">
        <f t="shared" ref="N2:N8" si="0">COUNTIF($O$10:$O$1009,M2)</f>
        <v>7</v>
      </c>
      <c r="O2" s="73">
        <f t="shared" ref="O2:O8" si="1">IFERROR(N2/SUM($N$2:$N$8),"--")</f>
        <v>0.23333333333333334</v>
      </c>
      <c r="P2" s="137" t="s">
        <v>1093</v>
      </c>
    </row>
    <row r="3" spans="1:18" ht="12.75" customHeight="1" x14ac:dyDescent="0.2">
      <c r="A3" s="112"/>
      <c r="B3" s="112"/>
      <c r="C3" s="112"/>
      <c r="D3" s="112"/>
      <c r="E3" s="112"/>
      <c r="F3" s="112"/>
      <c r="G3" s="112"/>
      <c r="H3" s="143"/>
      <c r="I3" s="143"/>
      <c r="J3" s="143"/>
      <c r="K3" s="143"/>
      <c r="L3" s="113"/>
      <c r="M3" s="70" t="s">
        <v>1088</v>
      </c>
      <c r="N3" s="72">
        <f t="shared" si="0"/>
        <v>14</v>
      </c>
      <c r="O3" s="73">
        <f t="shared" si="1"/>
        <v>0.46666666666666667</v>
      </c>
      <c r="P3" s="138"/>
    </row>
    <row r="4" spans="1:18" ht="12.75" customHeight="1" thickBot="1" x14ac:dyDescent="0.25">
      <c r="A4" s="112"/>
      <c r="B4" s="112"/>
      <c r="C4" s="112"/>
      <c r="D4" s="112"/>
      <c r="E4" s="112"/>
      <c r="F4" s="112"/>
      <c r="G4" s="112"/>
      <c r="H4" s="143"/>
      <c r="I4" s="143"/>
      <c r="J4" s="143"/>
      <c r="K4" s="143"/>
      <c r="L4" s="113"/>
      <c r="M4" s="71" t="s">
        <v>1089</v>
      </c>
      <c r="N4" s="74">
        <f t="shared" si="0"/>
        <v>6</v>
      </c>
      <c r="O4" s="75">
        <f t="shared" si="1"/>
        <v>0.2</v>
      </c>
      <c r="P4" s="139"/>
    </row>
    <row r="5" spans="1:18" ht="12.75" customHeight="1" x14ac:dyDescent="0.2">
      <c r="A5" s="112"/>
      <c r="B5" s="112"/>
      <c r="C5" s="112"/>
      <c r="D5" s="112"/>
      <c r="E5" s="112"/>
      <c r="F5" s="144" t="s">
        <v>1092</v>
      </c>
      <c r="G5" s="112"/>
      <c r="H5" s="143"/>
      <c r="I5" s="143"/>
      <c r="J5" s="143"/>
      <c r="K5" s="143"/>
      <c r="L5" s="113"/>
      <c r="M5" s="71" t="s">
        <v>1091</v>
      </c>
      <c r="N5" s="74">
        <f t="shared" si="0"/>
        <v>1</v>
      </c>
      <c r="O5" s="75">
        <f>IFERROR(N5/SUM($N$2:$N$8),"--")</f>
        <v>3.3333333333333333E-2</v>
      </c>
      <c r="P5" s="140">
        <f>IFERROR((N4+N5)/(N2+N3+N4+N5),"--")</f>
        <v>0.25</v>
      </c>
    </row>
    <row r="6" spans="1:18" ht="13.5" customHeight="1" x14ac:dyDescent="0.2">
      <c r="A6" s="112"/>
      <c r="B6" s="112"/>
      <c r="C6" s="112"/>
      <c r="D6" s="112"/>
      <c r="E6" s="112"/>
      <c r="F6" s="145"/>
      <c r="G6" s="112"/>
      <c r="H6" s="143"/>
      <c r="I6" s="143"/>
      <c r="J6" s="143"/>
      <c r="K6" s="143"/>
      <c r="L6" s="113"/>
      <c r="M6" s="70" t="s">
        <v>1111</v>
      </c>
      <c r="N6" s="72">
        <f t="shared" si="0"/>
        <v>1</v>
      </c>
      <c r="O6" s="73">
        <f>IFERROR(N6/SUM($N$2:$N$8),"--")</f>
        <v>3.3333333333333333E-2</v>
      </c>
      <c r="P6" s="141"/>
    </row>
    <row r="7" spans="1:18" ht="12.75" customHeight="1" x14ac:dyDescent="0.2">
      <c r="A7" s="112"/>
      <c r="B7" s="112"/>
      <c r="C7" s="112"/>
      <c r="D7" s="112"/>
      <c r="E7" s="112"/>
      <c r="F7" s="145"/>
      <c r="G7" s="112"/>
      <c r="H7" s="143"/>
      <c r="I7" s="143"/>
      <c r="J7" s="143"/>
      <c r="K7" s="143"/>
      <c r="L7" s="113"/>
      <c r="M7" s="70" t="s">
        <v>1090</v>
      </c>
      <c r="N7" s="72">
        <f t="shared" si="0"/>
        <v>1</v>
      </c>
      <c r="O7" s="73">
        <f>IFERROR(N7/SUM($N$2:$N$8),"--")</f>
        <v>3.3333333333333333E-2</v>
      </c>
      <c r="P7" s="141"/>
    </row>
    <row r="8" spans="1:18" ht="13.5" customHeight="1" thickBot="1" x14ac:dyDescent="0.25">
      <c r="A8" s="112"/>
      <c r="B8" s="112"/>
      <c r="C8" s="112"/>
      <c r="D8" s="112"/>
      <c r="E8" s="112"/>
      <c r="F8" s="132">
        <f ca="1">IF(WEEKNUM(TODAY())&lt;10,VALUE(CONCATENATE(YEAR(TODAY()),"0",WEEKNUM(TODAY()))),VALUE(CONCATENATE(YEAR(TODAY()),WEEKNUM(TODAY()))))</f>
        <v>201713</v>
      </c>
      <c r="G8" s="112"/>
      <c r="H8" s="143"/>
      <c r="I8" s="143"/>
      <c r="J8" s="143"/>
      <c r="K8" s="143"/>
      <c r="L8" s="113"/>
      <c r="M8" s="71" t="s">
        <v>13</v>
      </c>
      <c r="N8" s="74">
        <f t="shared" si="0"/>
        <v>0</v>
      </c>
      <c r="O8" s="75">
        <f t="shared" si="1"/>
        <v>0</v>
      </c>
      <c r="P8" s="142"/>
    </row>
    <row r="9" spans="1:18" x14ac:dyDescent="0.2">
      <c r="A9" s="112"/>
      <c r="B9" s="112"/>
      <c r="C9" s="112"/>
      <c r="D9" s="112"/>
      <c r="E9" s="112"/>
      <c r="F9" s="112"/>
      <c r="G9" s="112"/>
      <c r="H9" s="112"/>
      <c r="I9" s="112"/>
      <c r="J9" s="112"/>
      <c r="K9" s="113"/>
      <c r="L9" s="113"/>
    </row>
    <row r="10" spans="1:18" ht="44.25" customHeight="1" x14ac:dyDescent="0.2">
      <c r="B10" s="1" t="s">
        <v>1107</v>
      </c>
      <c r="C10" s="1" t="s">
        <v>1108</v>
      </c>
      <c r="D10" s="1" t="s">
        <v>1109</v>
      </c>
      <c r="E10" s="1" t="s">
        <v>1110</v>
      </c>
      <c r="F10" s="114" t="s">
        <v>1040</v>
      </c>
      <c r="H10" s="120" t="s">
        <v>0</v>
      </c>
      <c r="I10" s="81" t="s">
        <v>1041</v>
      </c>
      <c r="J10" s="81" t="s">
        <v>1007</v>
      </c>
      <c r="K10" s="81" t="s">
        <v>1023</v>
      </c>
      <c r="L10" s="82" t="s">
        <v>1010</v>
      </c>
      <c r="M10" s="81" t="s">
        <v>101</v>
      </c>
      <c r="N10" s="81" t="s">
        <v>102</v>
      </c>
      <c r="O10" s="81" t="s">
        <v>103</v>
      </c>
      <c r="P10" s="81" t="s">
        <v>104</v>
      </c>
      <c r="Q10" s="83" t="s">
        <v>1016</v>
      </c>
      <c r="R10" s="76" t="s">
        <v>1039</v>
      </c>
    </row>
    <row r="11" spans="1:18" x14ac:dyDescent="0.2">
      <c r="B11" s="2">
        <f>IF(M11="","",IF(WEEKNUM(M11)&lt;10,VALUE(CONCATENATE(YEAR(M11),"0",WEEKNUM(M11))),VALUE(CONCATENATE(YEAR(M11),WEEKNUM(M11)))))</f>
        <v>201713</v>
      </c>
      <c r="C11" s="2">
        <f>IF(P11="","",IF(WEEKNUM(P11)&lt;10,VALUE(CONCATENATE(YEAR(P11),"0",WEEKNUM(P11))),VALUE(CONCATENATE(YEAR(P11),WEEKNUM(P11)))))</f>
        <v>201713</v>
      </c>
      <c r="D11" s="2" t="str">
        <f>IF(OR(O11="Not started",O11="In progress"),"N",IF(OR(O11="N/A",O11="Suspended",O11="Canceled"),"","Y"))</f>
        <v>Y</v>
      </c>
      <c r="E11" s="2">
        <f>IF(OR(O11="Not started",O11="In progress",O11="Applied",O11="Closed"),1,0)</f>
        <v>1</v>
      </c>
      <c r="F11" s="2">
        <f>IF(N11="",B11,IF(WEEKNUM(N11)&lt;10,VALUE(CONCATENATE(YEAR(N11),"0",WEEKNUM(N11))),VALUE(CONCATENATE(YEAR(N11),WEEKNUM(N11)))))</f>
        <v>201713</v>
      </c>
      <c r="H11" s="121" t="s">
        <v>1</v>
      </c>
      <c r="I11" s="84" t="s">
        <v>1095</v>
      </c>
      <c r="J11" s="85" t="s">
        <v>1102</v>
      </c>
      <c r="K11" s="85" t="s">
        <v>1026</v>
      </c>
      <c r="L11" s="86"/>
      <c r="M11" s="87">
        <v>42825</v>
      </c>
      <c r="N11" s="88"/>
      <c r="O11" s="89" t="s">
        <v>1089</v>
      </c>
      <c r="P11" s="90">
        <v>42825</v>
      </c>
      <c r="Q11" s="91" t="s">
        <v>1116</v>
      </c>
      <c r="R11" s="77" t="str">
        <f t="shared" ref="R11:R74" si="2">IF(ISERROR(VLOOKUP(K11,LB_PROJECTS,2,FALSE)),"",VLOOKUP(K11,LB_PROJECTS,2,FALSE))</f>
        <v>Team 1</v>
      </c>
    </row>
    <row r="12" spans="1:18" ht="38.25" x14ac:dyDescent="0.2">
      <c r="B12" s="2">
        <f t="shared" ref="B12:B75" si="3">IF(M12="","",IF(WEEKNUM(M12)&lt;10,VALUE(CONCATENATE(YEAR(M12),"0",WEEKNUM(M12))),VALUE(CONCATENATE(YEAR(M12),WEEKNUM(M12)))))</f>
        <v>201713</v>
      </c>
      <c r="C12" s="2" t="str">
        <f t="shared" ref="C12:C75" si="4">IF(P12="","",IF(WEEKNUM(P12)&lt;10,VALUE(CONCATENATE(YEAR(P12),"0",WEEKNUM(P12))),VALUE(CONCATENATE(YEAR(P12),WEEKNUM(P12)))))</f>
        <v/>
      </c>
      <c r="D12" s="2" t="str">
        <f t="shared" ref="D12:D75" si="5">IF(OR(O12="Not started",O12="In progress"),"N",IF(OR(O12="N/A",O12="Suspended",O12="Canceled"),"","Y"))</f>
        <v>N</v>
      </c>
      <c r="E12" s="2">
        <f t="shared" ref="E12:E75" si="6">IF(OR(O12="Not started",O12="In progress",O12="Applied",O12="Closed"),1,0)</f>
        <v>1</v>
      </c>
      <c r="F12" s="2">
        <f>IF(N12="",B12,IF(WEEKNUM(N12)&lt;10,VALUE(CONCATENATE(YEAR(N12),"0",WEEKNUM(N12))),VALUE(CONCATENATE(YEAR(N12),WEEKNUM(N12)))))</f>
        <v>201713</v>
      </c>
      <c r="H12" s="121" t="s">
        <v>2</v>
      </c>
      <c r="I12" s="92" t="s">
        <v>1095</v>
      </c>
      <c r="J12" s="93" t="s">
        <v>1105</v>
      </c>
      <c r="K12" s="93" t="s">
        <v>1026</v>
      </c>
      <c r="L12" s="94" t="s">
        <v>1011</v>
      </c>
      <c r="M12" s="95">
        <v>42824</v>
      </c>
      <c r="N12" s="96"/>
      <c r="O12" s="97" t="s">
        <v>1088</v>
      </c>
      <c r="P12" s="98"/>
      <c r="Q12" s="99" t="s">
        <v>1104</v>
      </c>
      <c r="R12" s="78" t="str">
        <f t="shared" si="2"/>
        <v>Team 1</v>
      </c>
    </row>
    <row r="13" spans="1:18" ht="25.5" x14ac:dyDescent="0.2">
      <c r="B13" s="2">
        <f t="shared" si="3"/>
        <v>201719</v>
      </c>
      <c r="C13" s="2" t="str">
        <f t="shared" si="4"/>
        <v/>
      </c>
      <c r="D13" s="2" t="str">
        <f t="shared" si="5"/>
        <v>Y</v>
      </c>
      <c r="E13" s="2">
        <f t="shared" si="6"/>
        <v>0</v>
      </c>
      <c r="F13" s="2">
        <f>IF(N13="",B13,IF(WEEKNUM(N13)&lt;10,VALUE(CONCATENATE(YEAR(N13),"0",WEEKNUM(N13))),VALUE(CONCATENATE(YEAR(N13),WEEKNUM(N13)))))</f>
        <v>201719</v>
      </c>
      <c r="H13" s="121" t="s">
        <v>3</v>
      </c>
      <c r="I13" s="92" t="s">
        <v>1096</v>
      </c>
      <c r="J13" s="93" t="s">
        <v>1106</v>
      </c>
      <c r="K13" s="93" t="s">
        <v>1025</v>
      </c>
      <c r="L13" s="94"/>
      <c r="M13" s="100">
        <v>42867</v>
      </c>
      <c r="N13" s="96"/>
      <c r="O13" s="97"/>
      <c r="P13" s="98"/>
      <c r="Q13" s="101" t="s">
        <v>1113</v>
      </c>
      <c r="R13" s="78" t="str">
        <f t="shared" si="2"/>
        <v>Team 2</v>
      </c>
    </row>
    <row r="14" spans="1:18" ht="38.25" x14ac:dyDescent="0.2">
      <c r="B14" s="2">
        <f t="shared" si="3"/>
        <v>201713</v>
      </c>
      <c r="C14" s="2" t="str">
        <f t="shared" si="4"/>
        <v/>
      </c>
      <c r="D14" s="2" t="str">
        <f t="shared" si="5"/>
        <v/>
      </c>
      <c r="E14" s="2">
        <f t="shared" si="6"/>
        <v>0</v>
      </c>
      <c r="F14" s="2">
        <f t="shared" ref="F14:F77" si="7">IF(N14="",B14,IF(WEEKNUM(N14)&lt;10,VALUE(CONCATENATE(YEAR(N14),"0",WEEKNUM(N14))),VALUE(CONCATENATE(YEAR(N14),WEEKNUM(N14)))))</f>
        <v>201713</v>
      </c>
      <c r="H14" s="121" t="s">
        <v>4</v>
      </c>
      <c r="I14" s="92" t="s">
        <v>1096</v>
      </c>
      <c r="J14" s="93" t="s">
        <v>1112</v>
      </c>
      <c r="K14" s="93" t="s">
        <v>1025</v>
      </c>
      <c r="L14" s="94"/>
      <c r="M14" s="100">
        <v>42824</v>
      </c>
      <c r="N14" s="96"/>
      <c r="O14" s="97" t="s">
        <v>1090</v>
      </c>
      <c r="P14" s="98"/>
      <c r="Q14" s="101" t="s">
        <v>1104</v>
      </c>
      <c r="R14" s="78" t="str">
        <f t="shared" si="2"/>
        <v>Team 2</v>
      </c>
    </row>
    <row r="15" spans="1:18" ht="25.5" x14ac:dyDescent="0.2">
      <c r="B15" s="2">
        <f t="shared" si="3"/>
        <v>201713</v>
      </c>
      <c r="C15" s="2">
        <f t="shared" si="4"/>
        <v>201713</v>
      </c>
      <c r="D15" s="2" t="str">
        <f t="shared" si="5"/>
        <v>Y</v>
      </c>
      <c r="E15" s="2">
        <f t="shared" si="6"/>
        <v>1</v>
      </c>
      <c r="F15" s="2">
        <f t="shared" si="7"/>
        <v>201713</v>
      </c>
      <c r="H15" s="121" t="s">
        <v>5</v>
      </c>
      <c r="I15" s="92" t="s">
        <v>1096</v>
      </c>
      <c r="J15" s="93" t="s">
        <v>1112</v>
      </c>
      <c r="K15" s="93" t="s">
        <v>1025</v>
      </c>
      <c r="L15" s="94"/>
      <c r="M15" s="100">
        <v>42824</v>
      </c>
      <c r="N15" s="96"/>
      <c r="O15" s="97" t="s">
        <v>1091</v>
      </c>
      <c r="P15" s="98">
        <v>42824</v>
      </c>
      <c r="Q15" s="101" t="s">
        <v>1115</v>
      </c>
      <c r="R15" s="78" t="str">
        <f t="shared" si="2"/>
        <v>Team 2</v>
      </c>
    </row>
    <row r="16" spans="1:18" ht="25.5" x14ac:dyDescent="0.2">
      <c r="B16" s="2">
        <f t="shared" si="3"/>
        <v>201713</v>
      </c>
      <c r="C16" s="2" t="str">
        <f t="shared" si="4"/>
        <v/>
      </c>
      <c r="D16" s="2" t="str">
        <f t="shared" si="5"/>
        <v>N</v>
      </c>
      <c r="E16" s="2">
        <f t="shared" si="6"/>
        <v>1</v>
      </c>
      <c r="F16" s="2">
        <f t="shared" si="7"/>
        <v>201714</v>
      </c>
      <c r="H16" s="121" t="s">
        <v>6</v>
      </c>
      <c r="I16" s="92" t="s">
        <v>1097</v>
      </c>
      <c r="J16" s="93" t="s">
        <v>1102</v>
      </c>
      <c r="K16" s="93" t="s">
        <v>1027</v>
      </c>
      <c r="L16" s="94"/>
      <c r="M16" s="100">
        <v>42821</v>
      </c>
      <c r="N16" s="96">
        <v>42830</v>
      </c>
      <c r="O16" s="97" t="s">
        <v>1088</v>
      </c>
      <c r="P16" s="98"/>
      <c r="Q16" s="101" t="s">
        <v>1103</v>
      </c>
      <c r="R16" s="78" t="str">
        <f t="shared" si="2"/>
        <v>Team 3</v>
      </c>
    </row>
    <row r="17" spans="2:18" ht="25.5" x14ac:dyDescent="0.2">
      <c r="B17" s="2">
        <f t="shared" si="3"/>
        <v>201719</v>
      </c>
      <c r="C17" s="2" t="str">
        <f t="shared" si="4"/>
        <v/>
      </c>
      <c r="D17" s="2" t="str">
        <f t="shared" si="5"/>
        <v>N</v>
      </c>
      <c r="E17" s="2">
        <f t="shared" si="6"/>
        <v>1</v>
      </c>
      <c r="F17" s="2">
        <f t="shared" si="7"/>
        <v>201719</v>
      </c>
      <c r="H17" s="121" t="s">
        <v>7</v>
      </c>
      <c r="I17" s="92" t="s">
        <v>1097</v>
      </c>
      <c r="J17" s="93" t="s">
        <v>1102</v>
      </c>
      <c r="K17" s="93" t="s">
        <v>1028</v>
      </c>
      <c r="L17" s="94"/>
      <c r="M17" s="100">
        <v>42867</v>
      </c>
      <c r="N17" s="96"/>
      <c r="O17" s="97" t="s">
        <v>1087</v>
      </c>
      <c r="P17" s="98"/>
      <c r="Q17" s="101" t="s">
        <v>1103</v>
      </c>
      <c r="R17" s="78" t="str">
        <f t="shared" si="2"/>
        <v>Team 1</v>
      </c>
    </row>
    <row r="18" spans="2:18" ht="25.5" x14ac:dyDescent="0.2">
      <c r="B18" s="2">
        <f t="shared" si="3"/>
        <v>201713</v>
      </c>
      <c r="C18" s="2" t="str">
        <f t="shared" si="4"/>
        <v/>
      </c>
      <c r="D18" s="2" t="str">
        <f t="shared" si="5"/>
        <v>N</v>
      </c>
      <c r="E18" s="2">
        <f t="shared" si="6"/>
        <v>1</v>
      </c>
      <c r="F18" s="2">
        <f t="shared" si="7"/>
        <v>201713</v>
      </c>
      <c r="H18" s="121" t="s">
        <v>8</v>
      </c>
      <c r="I18" s="92" t="s">
        <v>1097</v>
      </c>
      <c r="J18" s="93" t="s">
        <v>1102</v>
      </c>
      <c r="K18" s="93" t="s">
        <v>1026</v>
      </c>
      <c r="L18" s="94"/>
      <c r="M18" s="100">
        <v>42825</v>
      </c>
      <c r="N18" s="96"/>
      <c r="O18" s="97" t="s">
        <v>1088</v>
      </c>
      <c r="P18" s="98"/>
      <c r="Q18" s="101" t="s">
        <v>1103</v>
      </c>
      <c r="R18" s="78" t="str">
        <f t="shared" si="2"/>
        <v>Team 1</v>
      </c>
    </row>
    <row r="19" spans="2:18" ht="25.5" x14ac:dyDescent="0.2">
      <c r="B19" s="2">
        <f t="shared" si="3"/>
        <v>201713</v>
      </c>
      <c r="C19" s="2">
        <f t="shared" si="4"/>
        <v>201713</v>
      </c>
      <c r="D19" s="2" t="str">
        <f t="shared" si="5"/>
        <v>Y</v>
      </c>
      <c r="E19" s="2">
        <f t="shared" si="6"/>
        <v>1</v>
      </c>
      <c r="F19" s="2">
        <f t="shared" si="7"/>
        <v>201713</v>
      </c>
      <c r="H19" s="121" t="s">
        <v>9</v>
      </c>
      <c r="I19" s="92" t="s">
        <v>1095</v>
      </c>
      <c r="J19" s="93" t="s">
        <v>1105</v>
      </c>
      <c r="K19" s="93" t="s">
        <v>1026</v>
      </c>
      <c r="L19" s="94" t="s">
        <v>1011</v>
      </c>
      <c r="M19" s="100">
        <v>42824</v>
      </c>
      <c r="N19" s="96"/>
      <c r="O19" s="97" t="s">
        <v>1089</v>
      </c>
      <c r="P19" s="98">
        <v>42824</v>
      </c>
      <c r="Q19" s="101" t="s">
        <v>1115</v>
      </c>
      <c r="R19" s="78" t="str">
        <f t="shared" si="2"/>
        <v>Team 1</v>
      </c>
    </row>
    <row r="20" spans="2:18" ht="25.5" x14ac:dyDescent="0.2">
      <c r="B20" s="2">
        <f t="shared" si="3"/>
        <v>201713</v>
      </c>
      <c r="C20" s="2" t="str">
        <f t="shared" si="4"/>
        <v/>
      </c>
      <c r="D20" s="2" t="str">
        <f t="shared" si="5"/>
        <v>N</v>
      </c>
      <c r="E20" s="2">
        <f t="shared" si="6"/>
        <v>1</v>
      </c>
      <c r="F20" s="2">
        <f t="shared" si="7"/>
        <v>201713</v>
      </c>
      <c r="H20" s="121" t="s">
        <v>10</v>
      </c>
      <c r="I20" s="92" t="s">
        <v>1096</v>
      </c>
      <c r="J20" s="93" t="s">
        <v>1112</v>
      </c>
      <c r="K20" s="93" t="s">
        <v>1027</v>
      </c>
      <c r="L20" s="94"/>
      <c r="M20" s="100">
        <v>42824</v>
      </c>
      <c r="N20" s="96"/>
      <c r="O20" s="97" t="s">
        <v>1088</v>
      </c>
      <c r="P20" s="98"/>
      <c r="Q20" s="101" t="s">
        <v>1114</v>
      </c>
      <c r="R20" s="78" t="str">
        <f t="shared" si="2"/>
        <v>Team 3</v>
      </c>
    </row>
    <row r="21" spans="2:18" ht="38.25" x14ac:dyDescent="0.2">
      <c r="B21" s="2">
        <f t="shared" si="3"/>
        <v>201715</v>
      </c>
      <c r="C21" s="2" t="str">
        <f t="shared" si="4"/>
        <v/>
      </c>
      <c r="D21" s="2" t="str">
        <f t="shared" si="5"/>
        <v>N</v>
      </c>
      <c r="E21" s="2">
        <f t="shared" si="6"/>
        <v>1</v>
      </c>
      <c r="F21" s="2">
        <f t="shared" si="7"/>
        <v>201715</v>
      </c>
      <c r="H21" s="121" t="s">
        <v>11</v>
      </c>
      <c r="I21" s="92" t="s">
        <v>1096</v>
      </c>
      <c r="J21" s="93" t="s">
        <v>1112</v>
      </c>
      <c r="K21" s="93" t="s">
        <v>1025</v>
      </c>
      <c r="L21" s="94"/>
      <c r="M21" s="100">
        <v>42838</v>
      </c>
      <c r="N21" s="96"/>
      <c r="O21" s="97" t="s">
        <v>1087</v>
      </c>
      <c r="P21" s="98"/>
      <c r="Q21" s="101" t="s">
        <v>1104</v>
      </c>
      <c r="R21" s="78" t="str">
        <f t="shared" si="2"/>
        <v>Team 2</v>
      </c>
    </row>
    <row r="22" spans="2:18" ht="38.25" x14ac:dyDescent="0.2">
      <c r="B22" s="2">
        <f t="shared" si="3"/>
        <v>201716</v>
      </c>
      <c r="C22" s="2" t="str">
        <f t="shared" si="4"/>
        <v/>
      </c>
      <c r="D22" s="2" t="str">
        <f t="shared" si="5"/>
        <v>Y</v>
      </c>
      <c r="E22" s="2">
        <f t="shared" si="6"/>
        <v>0</v>
      </c>
      <c r="F22" s="2">
        <f t="shared" si="7"/>
        <v>201716</v>
      </c>
      <c r="H22" s="121" t="s">
        <v>12</v>
      </c>
      <c r="I22" s="92" t="s">
        <v>1096</v>
      </c>
      <c r="J22" s="93" t="s">
        <v>1112</v>
      </c>
      <c r="K22" s="93" t="s">
        <v>1025</v>
      </c>
      <c r="L22" s="94"/>
      <c r="M22" s="100">
        <v>42842</v>
      </c>
      <c r="N22" s="96"/>
      <c r="O22" s="97"/>
      <c r="P22" s="98"/>
      <c r="Q22" s="101" t="s">
        <v>1104</v>
      </c>
      <c r="R22" s="78" t="str">
        <f t="shared" si="2"/>
        <v>Team 2</v>
      </c>
    </row>
    <row r="23" spans="2:18" ht="38.25" x14ac:dyDescent="0.2">
      <c r="B23" s="2">
        <f t="shared" si="3"/>
        <v>201715</v>
      </c>
      <c r="C23" s="2" t="str">
        <f t="shared" si="4"/>
        <v/>
      </c>
      <c r="D23" s="2" t="str">
        <f t="shared" si="5"/>
        <v>N</v>
      </c>
      <c r="E23" s="2">
        <f t="shared" si="6"/>
        <v>1</v>
      </c>
      <c r="F23" s="2">
        <f t="shared" si="7"/>
        <v>201715</v>
      </c>
      <c r="H23" s="121" t="s">
        <v>14</v>
      </c>
      <c r="I23" s="92" t="s">
        <v>1096</v>
      </c>
      <c r="J23" s="93" t="s">
        <v>1112</v>
      </c>
      <c r="K23" s="93" t="s">
        <v>1025</v>
      </c>
      <c r="L23" s="94"/>
      <c r="M23" s="100">
        <v>42837</v>
      </c>
      <c r="N23" s="96"/>
      <c r="O23" s="97" t="s">
        <v>1087</v>
      </c>
      <c r="P23" s="98"/>
      <c r="Q23" s="101" t="s">
        <v>1104</v>
      </c>
      <c r="R23" s="78" t="str">
        <f t="shared" si="2"/>
        <v>Team 2</v>
      </c>
    </row>
    <row r="24" spans="2:18" ht="25.5" x14ac:dyDescent="0.2">
      <c r="B24" s="2">
        <f t="shared" si="3"/>
        <v>201713</v>
      </c>
      <c r="C24" s="2" t="str">
        <f t="shared" si="4"/>
        <v/>
      </c>
      <c r="D24" s="2" t="str">
        <f t="shared" si="5"/>
        <v>N</v>
      </c>
      <c r="E24" s="2">
        <f t="shared" si="6"/>
        <v>1</v>
      </c>
      <c r="F24" s="2">
        <f t="shared" si="7"/>
        <v>201713</v>
      </c>
      <c r="H24" s="121" t="s">
        <v>15</v>
      </c>
      <c r="I24" s="92" t="s">
        <v>1097</v>
      </c>
      <c r="J24" s="93" t="s">
        <v>1102</v>
      </c>
      <c r="K24" s="93" t="s">
        <v>1026</v>
      </c>
      <c r="L24" s="94"/>
      <c r="M24" s="100">
        <v>42825</v>
      </c>
      <c r="N24" s="100"/>
      <c r="O24" s="97" t="s">
        <v>1088</v>
      </c>
      <c r="P24" s="98"/>
      <c r="Q24" s="101" t="s">
        <v>1103</v>
      </c>
      <c r="R24" s="78" t="str">
        <f t="shared" si="2"/>
        <v>Team 1</v>
      </c>
    </row>
    <row r="25" spans="2:18" ht="25.5" x14ac:dyDescent="0.2">
      <c r="B25" s="2">
        <f t="shared" si="3"/>
        <v>201713</v>
      </c>
      <c r="C25" s="2" t="str">
        <f t="shared" si="4"/>
        <v/>
      </c>
      <c r="D25" s="2" t="str">
        <f t="shared" si="5"/>
        <v>N</v>
      </c>
      <c r="E25" s="2">
        <f t="shared" si="6"/>
        <v>1</v>
      </c>
      <c r="F25" s="2">
        <f t="shared" si="7"/>
        <v>201713</v>
      </c>
      <c r="H25" s="121" t="s">
        <v>16</v>
      </c>
      <c r="I25" s="92" t="s">
        <v>1097</v>
      </c>
      <c r="J25" s="93" t="s">
        <v>1102</v>
      </c>
      <c r="K25" s="93" t="s">
        <v>1026</v>
      </c>
      <c r="L25" s="94"/>
      <c r="M25" s="100">
        <v>42825</v>
      </c>
      <c r="N25" s="96"/>
      <c r="O25" s="97" t="s">
        <v>1088</v>
      </c>
      <c r="P25" s="98"/>
      <c r="Q25" s="101" t="s">
        <v>1103</v>
      </c>
      <c r="R25" s="78" t="str">
        <f t="shared" si="2"/>
        <v>Team 1</v>
      </c>
    </row>
    <row r="26" spans="2:18" x14ac:dyDescent="0.2">
      <c r="B26" s="2">
        <f t="shared" si="3"/>
        <v>201713</v>
      </c>
      <c r="C26" s="2">
        <f t="shared" si="4"/>
        <v>201713</v>
      </c>
      <c r="D26" s="2" t="str">
        <f t="shared" si="5"/>
        <v>Y</v>
      </c>
      <c r="E26" s="2">
        <f t="shared" si="6"/>
        <v>1</v>
      </c>
      <c r="F26" s="2">
        <f t="shared" si="7"/>
        <v>201713</v>
      </c>
      <c r="H26" s="121" t="s">
        <v>17</v>
      </c>
      <c r="I26" s="92" t="s">
        <v>1097</v>
      </c>
      <c r="J26" s="93" t="s">
        <v>1102</v>
      </c>
      <c r="K26" s="93" t="s">
        <v>1027</v>
      </c>
      <c r="L26" s="94"/>
      <c r="M26" s="100">
        <v>42825</v>
      </c>
      <c r="N26" s="96"/>
      <c r="O26" s="97" t="s">
        <v>1089</v>
      </c>
      <c r="P26" s="98">
        <v>42825</v>
      </c>
      <c r="Q26" s="101" t="s">
        <v>1116</v>
      </c>
      <c r="R26" s="78" t="str">
        <f t="shared" si="2"/>
        <v>Team 3</v>
      </c>
    </row>
    <row r="27" spans="2:18" x14ac:dyDescent="0.2">
      <c r="B27" s="2">
        <f t="shared" si="3"/>
        <v>201713</v>
      </c>
      <c r="C27" s="2">
        <f t="shared" si="4"/>
        <v>201713</v>
      </c>
      <c r="D27" s="2" t="str">
        <f t="shared" si="5"/>
        <v>Y</v>
      </c>
      <c r="E27" s="2">
        <f t="shared" si="6"/>
        <v>1</v>
      </c>
      <c r="F27" s="2">
        <f t="shared" si="7"/>
        <v>201713</v>
      </c>
      <c r="H27" s="121" t="s">
        <v>18</v>
      </c>
      <c r="I27" s="92" t="s">
        <v>1097</v>
      </c>
      <c r="J27" s="93" t="s">
        <v>1102</v>
      </c>
      <c r="K27" s="93" t="s">
        <v>1026</v>
      </c>
      <c r="L27" s="94"/>
      <c r="M27" s="100">
        <v>42825</v>
      </c>
      <c r="N27" s="96"/>
      <c r="O27" s="97" t="s">
        <v>1089</v>
      </c>
      <c r="P27" s="98">
        <v>42825</v>
      </c>
      <c r="Q27" s="101" t="s">
        <v>1116</v>
      </c>
      <c r="R27" s="78" t="str">
        <f t="shared" si="2"/>
        <v>Team 1</v>
      </c>
    </row>
    <row r="28" spans="2:18" ht="25.5" x14ac:dyDescent="0.2">
      <c r="B28" s="2">
        <f t="shared" si="3"/>
        <v>201714</v>
      </c>
      <c r="C28" s="2" t="str">
        <f t="shared" si="4"/>
        <v/>
      </c>
      <c r="D28" s="2" t="str">
        <f t="shared" si="5"/>
        <v>N</v>
      </c>
      <c r="E28" s="2">
        <f t="shared" si="6"/>
        <v>1</v>
      </c>
      <c r="F28" s="2">
        <f t="shared" si="7"/>
        <v>201714</v>
      </c>
      <c r="H28" s="121" t="s">
        <v>19</v>
      </c>
      <c r="I28" s="92" t="s">
        <v>1097</v>
      </c>
      <c r="J28" s="93" t="s">
        <v>1102</v>
      </c>
      <c r="K28" s="93" t="s">
        <v>1026</v>
      </c>
      <c r="L28" s="94"/>
      <c r="M28" s="100">
        <v>42828</v>
      </c>
      <c r="N28" s="96"/>
      <c r="O28" s="97" t="s">
        <v>1087</v>
      </c>
      <c r="P28" s="98"/>
      <c r="Q28" s="101" t="s">
        <v>1103</v>
      </c>
      <c r="R28" s="78" t="str">
        <f t="shared" si="2"/>
        <v>Team 1</v>
      </c>
    </row>
    <row r="29" spans="2:18" ht="25.5" x14ac:dyDescent="0.2">
      <c r="B29" s="2">
        <f t="shared" si="3"/>
        <v>201713</v>
      </c>
      <c r="C29" s="2" t="str">
        <f t="shared" si="4"/>
        <v/>
      </c>
      <c r="D29" s="2" t="str">
        <f t="shared" si="5"/>
        <v>N</v>
      </c>
      <c r="E29" s="2">
        <f t="shared" si="6"/>
        <v>1</v>
      </c>
      <c r="F29" s="2">
        <f t="shared" si="7"/>
        <v>201713</v>
      </c>
      <c r="H29" s="121" t="s">
        <v>20</v>
      </c>
      <c r="I29" s="92" t="s">
        <v>1095</v>
      </c>
      <c r="J29" s="93" t="s">
        <v>1102</v>
      </c>
      <c r="K29" s="93" t="s">
        <v>1026</v>
      </c>
      <c r="L29" s="94"/>
      <c r="M29" s="100">
        <v>42825</v>
      </c>
      <c r="N29" s="96"/>
      <c r="O29" s="97" t="s">
        <v>1088</v>
      </c>
      <c r="P29" s="98"/>
      <c r="Q29" s="101" t="s">
        <v>1103</v>
      </c>
      <c r="R29" s="78" t="str">
        <f t="shared" si="2"/>
        <v>Team 1</v>
      </c>
    </row>
    <row r="30" spans="2:18" ht="25.5" x14ac:dyDescent="0.2">
      <c r="B30" s="2">
        <f t="shared" si="3"/>
        <v>201714</v>
      </c>
      <c r="C30" s="2" t="str">
        <f t="shared" si="4"/>
        <v/>
      </c>
      <c r="D30" s="2" t="str">
        <f t="shared" si="5"/>
        <v>N</v>
      </c>
      <c r="E30" s="2">
        <f t="shared" si="6"/>
        <v>1</v>
      </c>
      <c r="F30" s="2">
        <f t="shared" si="7"/>
        <v>201714</v>
      </c>
      <c r="H30" s="121" t="s">
        <v>21</v>
      </c>
      <c r="I30" s="92" t="s">
        <v>1095</v>
      </c>
      <c r="J30" s="93" t="s">
        <v>1102</v>
      </c>
      <c r="K30" s="93" t="s">
        <v>1027</v>
      </c>
      <c r="L30" s="94"/>
      <c r="M30" s="100">
        <v>42832</v>
      </c>
      <c r="N30" s="96"/>
      <c r="O30" s="97" t="s">
        <v>1087</v>
      </c>
      <c r="P30" s="98"/>
      <c r="Q30" s="101" t="s">
        <v>1103</v>
      </c>
      <c r="R30" s="78" t="str">
        <f t="shared" si="2"/>
        <v>Team 3</v>
      </c>
    </row>
    <row r="31" spans="2:18" ht="25.5" x14ac:dyDescent="0.2">
      <c r="B31" s="2">
        <f t="shared" si="3"/>
        <v>201713</v>
      </c>
      <c r="C31" s="2" t="str">
        <f t="shared" si="4"/>
        <v/>
      </c>
      <c r="D31" s="2" t="str">
        <f t="shared" si="5"/>
        <v>N</v>
      </c>
      <c r="E31" s="2">
        <f t="shared" si="6"/>
        <v>1</v>
      </c>
      <c r="F31" s="2">
        <f t="shared" si="7"/>
        <v>201713</v>
      </c>
      <c r="H31" s="121" t="s">
        <v>22</v>
      </c>
      <c r="I31" s="92" t="s">
        <v>1095</v>
      </c>
      <c r="J31" s="93" t="s">
        <v>1102</v>
      </c>
      <c r="K31" s="93" t="s">
        <v>1026</v>
      </c>
      <c r="L31" s="94"/>
      <c r="M31" s="100">
        <v>42825</v>
      </c>
      <c r="N31" s="96"/>
      <c r="O31" s="97" t="s">
        <v>1088</v>
      </c>
      <c r="P31" s="98"/>
      <c r="Q31" s="101" t="s">
        <v>1103</v>
      </c>
      <c r="R31" s="78" t="str">
        <f t="shared" si="2"/>
        <v>Team 1</v>
      </c>
    </row>
    <row r="32" spans="2:18" x14ac:dyDescent="0.2">
      <c r="B32" s="2">
        <f t="shared" si="3"/>
        <v>201713</v>
      </c>
      <c r="C32" s="2">
        <f t="shared" si="4"/>
        <v>201713</v>
      </c>
      <c r="D32" s="2" t="str">
        <f t="shared" si="5"/>
        <v/>
      </c>
      <c r="E32" s="2">
        <f t="shared" si="6"/>
        <v>0</v>
      </c>
      <c r="F32" s="2">
        <f t="shared" si="7"/>
        <v>201713</v>
      </c>
      <c r="H32" s="121" t="s">
        <v>23</v>
      </c>
      <c r="I32" s="92" t="s">
        <v>1095</v>
      </c>
      <c r="J32" s="93" t="s">
        <v>1102</v>
      </c>
      <c r="K32" s="93" t="s">
        <v>1026</v>
      </c>
      <c r="L32" s="94"/>
      <c r="M32" s="100">
        <v>42825</v>
      </c>
      <c r="N32" s="96"/>
      <c r="O32" s="97" t="s">
        <v>1111</v>
      </c>
      <c r="P32" s="98">
        <v>42825</v>
      </c>
      <c r="Q32" s="101" t="s">
        <v>1116</v>
      </c>
      <c r="R32" s="78" t="str">
        <f t="shared" si="2"/>
        <v>Team 1</v>
      </c>
    </row>
    <row r="33" spans="2:18" ht="25.5" x14ac:dyDescent="0.2">
      <c r="B33" s="2">
        <f t="shared" si="3"/>
        <v>201713</v>
      </c>
      <c r="C33" s="2" t="str">
        <f t="shared" si="4"/>
        <v/>
      </c>
      <c r="D33" s="2" t="str">
        <f t="shared" si="5"/>
        <v>N</v>
      </c>
      <c r="E33" s="2">
        <f t="shared" si="6"/>
        <v>1</v>
      </c>
      <c r="F33" s="2">
        <f t="shared" si="7"/>
        <v>201713</v>
      </c>
      <c r="H33" s="121" t="s">
        <v>24</v>
      </c>
      <c r="I33" s="92" t="s">
        <v>1097</v>
      </c>
      <c r="J33" s="93" t="s">
        <v>1102</v>
      </c>
      <c r="K33" s="93" t="s">
        <v>1026</v>
      </c>
      <c r="L33" s="94"/>
      <c r="M33" s="100">
        <v>42825</v>
      </c>
      <c r="N33" s="96"/>
      <c r="O33" s="97" t="s">
        <v>1088</v>
      </c>
      <c r="P33" s="98"/>
      <c r="Q33" s="101" t="s">
        <v>1103</v>
      </c>
      <c r="R33" s="78" t="str">
        <f t="shared" si="2"/>
        <v>Team 1</v>
      </c>
    </row>
    <row r="34" spans="2:18" ht="25.5" x14ac:dyDescent="0.2">
      <c r="B34" s="2">
        <f t="shared" si="3"/>
        <v>201713</v>
      </c>
      <c r="C34" s="2" t="str">
        <f t="shared" si="4"/>
        <v/>
      </c>
      <c r="D34" s="2" t="str">
        <f t="shared" si="5"/>
        <v>N</v>
      </c>
      <c r="E34" s="2">
        <f t="shared" si="6"/>
        <v>1</v>
      </c>
      <c r="F34" s="2">
        <f t="shared" si="7"/>
        <v>201713</v>
      </c>
      <c r="H34" s="121" t="s">
        <v>25</v>
      </c>
      <c r="I34" s="92" t="s">
        <v>1097</v>
      </c>
      <c r="J34" s="93" t="s">
        <v>1102</v>
      </c>
      <c r="K34" s="93" t="s">
        <v>1027</v>
      </c>
      <c r="L34" s="94"/>
      <c r="M34" s="100">
        <v>42825</v>
      </c>
      <c r="N34" s="96"/>
      <c r="O34" s="97" t="s">
        <v>1088</v>
      </c>
      <c r="P34" s="98"/>
      <c r="Q34" s="101" t="s">
        <v>1103</v>
      </c>
      <c r="R34" s="78" t="str">
        <f t="shared" si="2"/>
        <v>Team 3</v>
      </c>
    </row>
    <row r="35" spans="2:18" ht="25.5" x14ac:dyDescent="0.2">
      <c r="B35" s="2">
        <f t="shared" si="3"/>
        <v>201713</v>
      </c>
      <c r="C35" s="2" t="str">
        <f t="shared" si="4"/>
        <v/>
      </c>
      <c r="D35" s="2" t="str">
        <f t="shared" si="5"/>
        <v>N</v>
      </c>
      <c r="E35" s="2">
        <f t="shared" si="6"/>
        <v>1</v>
      </c>
      <c r="F35" s="2">
        <f t="shared" si="7"/>
        <v>201713</v>
      </c>
      <c r="H35" s="121" t="s">
        <v>26</v>
      </c>
      <c r="I35" s="92" t="s">
        <v>1097</v>
      </c>
      <c r="J35" s="93" t="s">
        <v>1102</v>
      </c>
      <c r="K35" s="93" t="s">
        <v>1026</v>
      </c>
      <c r="L35" s="94"/>
      <c r="M35" s="100">
        <v>42825</v>
      </c>
      <c r="N35" s="96"/>
      <c r="O35" s="97" t="s">
        <v>1087</v>
      </c>
      <c r="P35" s="98"/>
      <c r="Q35" s="101" t="s">
        <v>1103</v>
      </c>
      <c r="R35" s="78" t="str">
        <f t="shared" si="2"/>
        <v>Team 1</v>
      </c>
    </row>
    <row r="36" spans="2:18" x14ac:dyDescent="0.2">
      <c r="B36" s="2">
        <f t="shared" si="3"/>
        <v>201713</v>
      </c>
      <c r="C36" s="2">
        <f t="shared" si="4"/>
        <v>201713</v>
      </c>
      <c r="D36" s="2" t="str">
        <f t="shared" si="5"/>
        <v>Y</v>
      </c>
      <c r="E36" s="2">
        <f t="shared" si="6"/>
        <v>1</v>
      </c>
      <c r="F36" s="2">
        <f t="shared" si="7"/>
        <v>201713</v>
      </c>
      <c r="H36" s="121" t="s">
        <v>27</v>
      </c>
      <c r="I36" s="92" t="s">
        <v>1097</v>
      </c>
      <c r="J36" s="93" t="s">
        <v>1102</v>
      </c>
      <c r="K36" s="93" t="s">
        <v>1026</v>
      </c>
      <c r="L36" s="94"/>
      <c r="M36" s="100">
        <v>42825</v>
      </c>
      <c r="N36" s="96"/>
      <c r="O36" s="97" t="s">
        <v>1089</v>
      </c>
      <c r="P36" s="98">
        <v>42825</v>
      </c>
      <c r="Q36" s="101" t="s">
        <v>1116</v>
      </c>
      <c r="R36" s="78" t="str">
        <f t="shared" si="2"/>
        <v>Team 1</v>
      </c>
    </row>
    <row r="37" spans="2:18" ht="25.5" x14ac:dyDescent="0.2">
      <c r="B37" s="2">
        <f t="shared" si="3"/>
        <v>201713</v>
      </c>
      <c r="C37" s="2" t="str">
        <f t="shared" si="4"/>
        <v/>
      </c>
      <c r="D37" s="2" t="str">
        <f t="shared" si="5"/>
        <v>N</v>
      </c>
      <c r="E37" s="2">
        <f t="shared" si="6"/>
        <v>1</v>
      </c>
      <c r="F37" s="2">
        <f t="shared" si="7"/>
        <v>201713</v>
      </c>
      <c r="H37" s="121" t="s">
        <v>28</v>
      </c>
      <c r="I37" s="92" t="s">
        <v>1097</v>
      </c>
      <c r="J37" s="93" t="s">
        <v>1102</v>
      </c>
      <c r="K37" s="93" t="s">
        <v>1026</v>
      </c>
      <c r="L37" s="94"/>
      <c r="M37" s="100">
        <v>42825</v>
      </c>
      <c r="N37" s="96"/>
      <c r="O37" s="97" t="s">
        <v>1088</v>
      </c>
      <c r="P37" s="98"/>
      <c r="Q37" s="101" t="s">
        <v>1103</v>
      </c>
      <c r="R37" s="78" t="str">
        <f t="shared" si="2"/>
        <v>Team 1</v>
      </c>
    </row>
    <row r="38" spans="2:18" ht="25.5" x14ac:dyDescent="0.2">
      <c r="B38" s="2">
        <f t="shared" si="3"/>
        <v>201713</v>
      </c>
      <c r="C38" s="2" t="str">
        <f t="shared" si="4"/>
        <v/>
      </c>
      <c r="D38" s="2" t="str">
        <f t="shared" si="5"/>
        <v>N</v>
      </c>
      <c r="E38" s="2">
        <f t="shared" si="6"/>
        <v>1</v>
      </c>
      <c r="F38" s="2">
        <f t="shared" si="7"/>
        <v>201713</v>
      </c>
      <c r="H38" s="121" t="s">
        <v>29</v>
      </c>
      <c r="I38" s="92" t="s">
        <v>1095</v>
      </c>
      <c r="J38" s="93" t="s">
        <v>1102</v>
      </c>
      <c r="K38" s="93" t="s">
        <v>1026</v>
      </c>
      <c r="L38" s="94"/>
      <c r="M38" s="100">
        <v>42825</v>
      </c>
      <c r="N38" s="96"/>
      <c r="O38" s="97" t="s">
        <v>1088</v>
      </c>
      <c r="P38" s="98"/>
      <c r="Q38" s="101" t="s">
        <v>1103</v>
      </c>
      <c r="R38" s="78" t="str">
        <f t="shared" si="2"/>
        <v>Team 1</v>
      </c>
    </row>
    <row r="39" spans="2:18" ht="38.25" x14ac:dyDescent="0.2">
      <c r="B39" s="2">
        <f t="shared" si="3"/>
        <v>201713</v>
      </c>
      <c r="C39" s="2" t="str">
        <f t="shared" si="4"/>
        <v/>
      </c>
      <c r="D39" s="2" t="str">
        <f t="shared" si="5"/>
        <v>N</v>
      </c>
      <c r="E39" s="2">
        <f t="shared" si="6"/>
        <v>1</v>
      </c>
      <c r="F39" s="2">
        <f t="shared" si="7"/>
        <v>201713</v>
      </c>
      <c r="H39" s="121" t="s">
        <v>30</v>
      </c>
      <c r="I39" s="92" t="s">
        <v>1096</v>
      </c>
      <c r="J39" s="93" t="s">
        <v>1112</v>
      </c>
      <c r="K39" s="93" t="s">
        <v>1025</v>
      </c>
      <c r="L39" s="94"/>
      <c r="M39" s="100">
        <v>42824</v>
      </c>
      <c r="N39" s="96"/>
      <c r="O39" s="97" t="s">
        <v>1088</v>
      </c>
      <c r="P39" s="98"/>
      <c r="Q39" s="101" t="s">
        <v>1104</v>
      </c>
      <c r="R39" s="78" t="str">
        <f t="shared" si="2"/>
        <v>Team 2</v>
      </c>
    </row>
    <row r="40" spans="2:18" x14ac:dyDescent="0.2">
      <c r="B40" s="2">
        <f t="shared" si="3"/>
        <v>201713</v>
      </c>
      <c r="C40" s="2">
        <f t="shared" si="4"/>
        <v>201713</v>
      </c>
      <c r="D40" s="2" t="str">
        <f t="shared" si="5"/>
        <v>Y</v>
      </c>
      <c r="E40" s="2">
        <f t="shared" si="6"/>
        <v>1</v>
      </c>
      <c r="F40" s="2">
        <f t="shared" si="7"/>
        <v>201713</v>
      </c>
      <c r="H40" s="121" t="s">
        <v>31</v>
      </c>
      <c r="I40" s="92" t="s">
        <v>1097</v>
      </c>
      <c r="J40" s="93" t="s">
        <v>1102</v>
      </c>
      <c r="K40" s="93" t="s">
        <v>1026</v>
      </c>
      <c r="L40" s="94"/>
      <c r="M40" s="100">
        <v>42825</v>
      </c>
      <c r="N40" s="96"/>
      <c r="O40" s="97" t="s">
        <v>1089</v>
      </c>
      <c r="P40" s="98">
        <v>42825</v>
      </c>
      <c r="Q40" s="101" t="s">
        <v>1116</v>
      </c>
      <c r="R40" s="78" t="str">
        <f t="shared" si="2"/>
        <v>Team 1</v>
      </c>
    </row>
    <row r="41" spans="2:18" ht="25.5" x14ac:dyDescent="0.2">
      <c r="B41" s="2">
        <f t="shared" si="3"/>
        <v>201713</v>
      </c>
      <c r="C41" s="2" t="str">
        <f t="shared" si="4"/>
        <v/>
      </c>
      <c r="D41" s="2" t="str">
        <f t="shared" si="5"/>
        <v>N</v>
      </c>
      <c r="E41" s="2">
        <f t="shared" si="6"/>
        <v>1</v>
      </c>
      <c r="F41" s="2">
        <f t="shared" si="7"/>
        <v>201713</v>
      </c>
      <c r="H41" s="121" t="s">
        <v>32</v>
      </c>
      <c r="I41" s="92" t="s">
        <v>1097</v>
      </c>
      <c r="J41" s="93" t="s">
        <v>1102</v>
      </c>
      <c r="K41" s="93" t="s">
        <v>1026</v>
      </c>
      <c r="L41" s="94"/>
      <c r="M41" s="100">
        <v>42825</v>
      </c>
      <c r="N41" s="96"/>
      <c r="O41" s="97" t="s">
        <v>1088</v>
      </c>
      <c r="P41" s="98"/>
      <c r="Q41" s="101" t="s">
        <v>1103</v>
      </c>
      <c r="R41" s="78" t="str">
        <f t="shared" si="2"/>
        <v>Team 1</v>
      </c>
    </row>
    <row r="42" spans="2:18" ht="38.25" x14ac:dyDescent="0.2">
      <c r="B42" s="2">
        <f t="shared" si="3"/>
        <v>201718</v>
      </c>
      <c r="C42" s="2" t="str">
        <f t="shared" si="4"/>
        <v/>
      </c>
      <c r="D42" s="2" t="str">
        <f t="shared" si="5"/>
        <v>N</v>
      </c>
      <c r="E42" s="2">
        <f t="shared" si="6"/>
        <v>1</v>
      </c>
      <c r="F42" s="2">
        <f t="shared" si="7"/>
        <v>201718</v>
      </c>
      <c r="H42" s="121" t="s">
        <v>33</v>
      </c>
      <c r="I42" s="92" t="s">
        <v>1096</v>
      </c>
      <c r="J42" s="93" t="s">
        <v>1112</v>
      </c>
      <c r="K42" s="93" t="s">
        <v>1025</v>
      </c>
      <c r="L42" s="94"/>
      <c r="M42" s="100">
        <v>42855</v>
      </c>
      <c r="N42" s="96"/>
      <c r="O42" s="97" t="s">
        <v>1087</v>
      </c>
      <c r="P42" s="98"/>
      <c r="Q42" s="99" t="s">
        <v>1104</v>
      </c>
      <c r="R42" s="78" t="str">
        <f t="shared" si="2"/>
        <v>Team 2</v>
      </c>
    </row>
    <row r="43" spans="2:18" x14ac:dyDescent="0.2">
      <c r="B43" s="2" t="str">
        <f t="shared" si="3"/>
        <v/>
      </c>
      <c r="C43" s="2" t="str">
        <f t="shared" si="4"/>
        <v/>
      </c>
      <c r="D43" s="2" t="str">
        <f t="shared" si="5"/>
        <v>Y</v>
      </c>
      <c r="E43" s="2">
        <f t="shared" si="6"/>
        <v>0</v>
      </c>
      <c r="F43" s="2" t="str">
        <f t="shared" si="7"/>
        <v/>
      </c>
      <c r="H43" s="121" t="s">
        <v>34</v>
      </c>
      <c r="I43" s="92"/>
      <c r="J43" s="93"/>
      <c r="K43" s="93"/>
      <c r="L43" s="94"/>
      <c r="M43" s="100"/>
      <c r="N43" s="96"/>
      <c r="O43" s="97"/>
      <c r="P43" s="98"/>
      <c r="Q43" s="99"/>
      <c r="R43" s="78" t="str">
        <f t="shared" si="2"/>
        <v/>
      </c>
    </row>
    <row r="44" spans="2:18" x14ac:dyDescent="0.2">
      <c r="B44" s="2" t="str">
        <f t="shared" si="3"/>
        <v/>
      </c>
      <c r="C44" s="2" t="str">
        <f t="shared" si="4"/>
        <v/>
      </c>
      <c r="D44" s="2" t="str">
        <f t="shared" si="5"/>
        <v>Y</v>
      </c>
      <c r="E44" s="2">
        <f t="shared" si="6"/>
        <v>0</v>
      </c>
      <c r="F44" s="2" t="str">
        <f t="shared" si="7"/>
        <v/>
      </c>
      <c r="H44" s="121" t="s">
        <v>35</v>
      </c>
      <c r="I44" s="92"/>
      <c r="J44" s="93"/>
      <c r="K44" s="93"/>
      <c r="L44" s="94"/>
      <c r="M44" s="100"/>
      <c r="N44" s="96"/>
      <c r="O44" s="97"/>
      <c r="P44" s="98"/>
      <c r="Q44" s="99"/>
      <c r="R44" s="78" t="str">
        <f t="shared" si="2"/>
        <v/>
      </c>
    </row>
    <row r="45" spans="2:18" x14ac:dyDescent="0.2">
      <c r="B45" s="2" t="str">
        <f t="shared" si="3"/>
        <v/>
      </c>
      <c r="C45" s="2" t="str">
        <f t="shared" si="4"/>
        <v/>
      </c>
      <c r="D45" s="2" t="str">
        <f t="shared" si="5"/>
        <v>Y</v>
      </c>
      <c r="E45" s="2">
        <f t="shared" si="6"/>
        <v>0</v>
      </c>
      <c r="F45" s="2" t="str">
        <f t="shared" si="7"/>
        <v/>
      </c>
      <c r="H45" s="121" t="s">
        <v>36</v>
      </c>
      <c r="I45" s="92"/>
      <c r="J45" s="93"/>
      <c r="K45" s="93"/>
      <c r="L45" s="94"/>
      <c r="M45" s="100"/>
      <c r="N45" s="96"/>
      <c r="O45" s="97"/>
      <c r="P45" s="98"/>
      <c r="Q45" s="99"/>
      <c r="R45" s="78" t="str">
        <f t="shared" si="2"/>
        <v/>
      </c>
    </row>
    <row r="46" spans="2:18" x14ac:dyDescent="0.2">
      <c r="B46" s="2" t="str">
        <f t="shared" si="3"/>
        <v/>
      </c>
      <c r="C46" s="2" t="str">
        <f t="shared" si="4"/>
        <v/>
      </c>
      <c r="D46" s="2" t="str">
        <f t="shared" si="5"/>
        <v>Y</v>
      </c>
      <c r="E46" s="2">
        <f t="shared" si="6"/>
        <v>0</v>
      </c>
      <c r="F46" s="2" t="str">
        <f t="shared" si="7"/>
        <v/>
      </c>
      <c r="H46" s="121" t="s">
        <v>37</v>
      </c>
      <c r="I46" s="92"/>
      <c r="J46" s="93"/>
      <c r="K46" s="93"/>
      <c r="L46" s="94"/>
      <c r="M46" s="100"/>
      <c r="N46" s="96"/>
      <c r="O46" s="97"/>
      <c r="P46" s="98"/>
      <c r="Q46" s="99"/>
      <c r="R46" s="78" t="str">
        <f t="shared" si="2"/>
        <v/>
      </c>
    </row>
    <row r="47" spans="2:18" x14ac:dyDescent="0.2">
      <c r="B47" s="2" t="str">
        <f t="shared" si="3"/>
        <v/>
      </c>
      <c r="C47" s="2" t="str">
        <f t="shared" si="4"/>
        <v/>
      </c>
      <c r="D47" s="2" t="str">
        <f t="shared" si="5"/>
        <v>Y</v>
      </c>
      <c r="E47" s="2">
        <f t="shared" si="6"/>
        <v>0</v>
      </c>
      <c r="F47" s="2" t="str">
        <f t="shared" si="7"/>
        <v/>
      </c>
      <c r="H47" s="121" t="s">
        <v>38</v>
      </c>
      <c r="I47" s="92"/>
      <c r="J47" s="93"/>
      <c r="K47" s="93"/>
      <c r="L47" s="94"/>
      <c r="M47" s="100"/>
      <c r="N47" s="96"/>
      <c r="O47" s="97"/>
      <c r="P47" s="98"/>
      <c r="Q47" s="99"/>
      <c r="R47" s="78" t="str">
        <f t="shared" si="2"/>
        <v/>
      </c>
    </row>
    <row r="48" spans="2:18" x14ac:dyDescent="0.2">
      <c r="B48" s="2" t="str">
        <f t="shared" si="3"/>
        <v/>
      </c>
      <c r="C48" s="2" t="str">
        <f t="shared" si="4"/>
        <v/>
      </c>
      <c r="D48" s="2" t="str">
        <f t="shared" si="5"/>
        <v>Y</v>
      </c>
      <c r="E48" s="2">
        <f t="shared" si="6"/>
        <v>0</v>
      </c>
      <c r="F48" s="2" t="str">
        <f t="shared" si="7"/>
        <v/>
      </c>
      <c r="H48" s="121" t="s">
        <v>51</v>
      </c>
      <c r="I48" s="92"/>
      <c r="J48" s="93"/>
      <c r="K48" s="93"/>
      <c r="L48" s="94"/>
      <c r="M48" s="100"/>
      <c r="N48" s="96"/>
      <c r="O48" s="97"/>
      <c r="P48" s="98"/>
      <c r="Q48" s="101"/>
      <c r="R48" s="78" t="str">
        <f t="shared" si="2"/>
        <v/>
      </c>
    </row>
    <row r="49" spans="2:18" x14ac:dyDescent="0.2">
      <c r="B49" s="2" t="str">
        <f t="shared" si="3"/>
        <v/>
      </c>
      <c r="C49" s="2" t="str">
        <f t="shared" si="4"/>
        <v/>
      </c>
      <c r="D49" s="2" t="str">
        <f t="shared" si="5"/>
        <v>Y</v>
      </c>
      <c r="E49" s="2">
        <f t="shared" si="6"/>
        <v>0</v>
      </c>
      <c r="F49" s="2" t="str">
        <f t="shared" si="7"/>
        <v/>
      </c>
      <c r="H49" s="121" t="s">
        <v>39</v>
      </c>
      <c r="I49" s="92"/>
      <c r="J49" s="93"/>
      <c r="K49" s="93"/>
      <c r="L49" s="94"/>
      <c r="M49" s="100"/>
      <c r="N49" s="96"/>
      <c r="O49" s="97"/>
      <c r="P49" s="98"/>
      <c r="Q49" s="101"/>
      <c r="R49" s="78" t="str">
        <f t="shared" si="2"/>
        <v/>
      </c>
    </row>
    <row r="50" spans="2:18" x14ac:dyDescent="0.2">
      <c r="B50" s="2" t="str">
        <f t="shared" si="3"/>
        <v/>
      </c>
      <c r="C50" s="2" t="str">
        <f t="shared" si="4"/>
        <v/>
      </c>
      <c r="D50" s="2" t="str">
        <f t="shared" si="5"/>
        <v>Y</v>
      </c>
      <c r="E50" s="2">
        <f t="shared" si="6"/>
        <v>0</v>
      </c>
      <c r="F50" s="2" t="str">
        <f t="shared" si="7"/>
        <v/>
      </c>
      <c r="H50" s="121" t="s">
        <v>40</v>
      </c>
      <c r="I50" s="92"/>
      <c r="J50" s="93"/>
      <c r="K50" s="93"/>
      <c r="L50" s="94"/>
      <c r="M50" s="100"/>
      <c r="N50" s="96"/>
      <c r="O50" s="97"/>
      <c r="P50" s="98"/>
      <c r="Q50" s="101"/>
      <c r="R50" s="78" t="str">
        <f t="shared" si="2"/>
        <v/>
      </c>
    </row>
    <row r="51" spans="2:18" x14ac:dyDescent="0.2">
      <c r="B51" s="2" t="str">
        <f t="shared" si="3"/>
        <v/>
      </c>
      <c r="C51" s="2" t="str">
        <f t="shared" si="4"/>
        <v/>
      </c>
      <c r="D51" s="2" t="str">
        <f t="shared" si="5"/>
        <v>Y</v>
      </c>
      <c r="E51" s="2">
        <f t="shared" si="6"/>
        <v>0</v>
      </c>
      <c r="F51" s="2" t="str">
        <f t="shared" si="7"/>
        <v/>
      </c>
      <c r="H51" s="121" t="s">
        <v>41</v>
      </c>
      <c r="I51" s="92"/>
      <c r="J51" s="93"/>
      <c r="K51" s="93"/>
      <c r="L51" s="94"/>
      <c r="M51" s="100"/>
      <c r="N51" s="96"/>
      <c r="O51" s="97"/>
      <c r="P51" s="98"/>
      <c r="Q51" s="101"/>
      <c r="R51" s="78" t="str">
        <f t="shared" si="2"/>
        <v/>
      </c>
    </row>
    <row r="52" spans="2:18" x14ac:dyDescent="0.2">
      <c r="B52" s="2" t="str">
        <f t="shared" si="3"/>
        <v/>
      </c>
      <c r="C52" s="2" t="str">
        <f t="shared" si="4"/>
        <v/>
      </c>
      <c r="D52" s="2" t="str">
        <f t="shared" si="5"/>
        <v>Y</v>
      </c>
      <c r="E52" s="2">
        <f t="shared" si="6"/>
        <v>0</v>
      </c>
      <c r="F52" s="2" t="str">
        <f t="shared" si="7"/>
        <v/>
      </c>
      <c r="H52" s="121" t="s">
        <v>42</v>
      </c>
      <c r="I52" s="92"/>
      <c r="J52" s="93"/>
      <c r="K52" s="93"/>
      <c r="L52" s="94"/>
      <c r="M52" s="100"/>
      <c r="N52" s="96"/>
      <c r="O52" s="97"/>
      <c r="P52" s="98"/>
      <c r="Q52" s="99"/>
      <c r="R52" s="78" t="str">
        <f t="shared" si="2"/>
        <v/>
      </c>
    </row>
    <row r="53" spans="2:18" x14ac:dyDescent="0.2">
      <c r="B53" s="2" t="str">
        <f t="shared" si="3"/>
        <v/>
      </c>
      <c r="C53" s="2" t="str">
        <f t="shared" si="4"/>
        <v/>
      </c>
      <c r="D53" s="2" t="str">
        <f t="shared" si="5"/>
        <v>Y</v>
      </c>
      <c r="E53" s="2">
        <f t="shared" si="6"/>
        <v>0</v>
      </c>
      <c r="F53" s="2" t="str">
        <f t="shared" si="7"/>
        <v/>
      </c>
      <c r="H53" s="121" t="s">
        <v>43</v>
      </c>
      <c r="I53" s="92"/>
      <c r="J53" s="93"/>
      <c r="K53" s="93"/>
      <c r="L53" s="94"/>
      <c r="M53" s="100"/>
      <c r="N53" s="96"/>
      <c r="O53" s="97"/>
      <c r="P53" s="98"/>
      <c r="Q53" s="101"/>
      <c r="R53" s="78" t="str">
        <f t="shared" si="2"/>
        <v/>
      </c>
    </row>
    <row r="54" spans="2:18" x14ac:dyDescent="0.2">
      <c r="B54" s="2" t="str">
        <f t="shared" si="3"/>
        <v/>
      </c>
      <c r="C54" s="2" t="str">
        <f t="shared" si="4"/>
        <v/>
      </c>
      <c r="D54" s="2" t="str">
        <f t="shared" si="5"/>
        <v>Y</v>
      </c>
      <c r="E54" s="2">
        <f t="shared" si="6"/>
        <v>0</v>
      </c>
      <c r="F54" s="2" t="str">
        <f t="shared" si="7"/>
        <v/>
      </c>
      <c r="H54" s="121" t="s">
        <v>44</v>
      </c>
      <c r="I54" s="92"/>
      <c r="J54" s="93"/>
      <c r="K54" s="93"/>
      <c r="L54" s="94"/>
      <c r="M54" s="100"/>
      <c r="N54" s="96"/>
      <c r="O54" s="102"/>
      <c r="P54" s="98"/>
      <c r="Q54" s="99"/>
      <c r="R54" s="78" t="str">
        <f t="shared" si="2"/>
        <v/>
      </c>
    </row>
    <row r="55" spans="2:18" x14ac:dyDescent="0.2">
      <c r="B55" s="2" t="str">
        <f t="shared" si="3"/>
        <v/>
      </c>
      <c r="C55" s="2" t="str">
        <f t="shared" si="4"/>
        <v/>
      </c>
      <c r="D55" s="2" t="str">
        <f t="shared" si="5"/>
        <v>Y</v>
      </c>
      <c r="E55" s="2">
        <f t="shared" si="6"/>
        <v>0</v>
      </c>
      <c r="F55" s="2" t="str">
        <f t="shared" si="7"/>
        <v/>
      </c>
      <c r="H55" s="121" t="s">
        <v>45</v>
      </c>
      <c r="I55" s="92"/>
      <c r="J55" s="93"/>
      <c r="K55" s="93"/>
      <c r="L55" s="94"/>
      <c r="M55" s="100"/>
      <c r="N55" s="96"/>
      <c r="O55" s="97"/>
      <c r="P55" s="98"/>
      <c r="Q55" s="101"/>
      <c r="R55" s="78" t="str">
        <f t="shared" si="2"/>
        <v/>
      </c>
    </row>
    <row r="56" spans="2:18" x14ac:dyDescent="0.2">
      <c r="B56" s="2" t="str">
        <f t="shared" si="3"/>
        <v/>
      </c>
      <c r="C56" s="2" t="str">
        <f t="shared" si="4"/>
        <v/>
      </c>
      <c r="D56" s="2" t="str">
        <f t="shared" si="5"/>
        <v>Y</v>
      </c>
      <c r="E56" s="2">
        <f t="shared" si="6"/>
        <v>0</v>
      </c>
      <c r="F56" s="2" t="str">
        <f t="shared" si="7"/>
        <v/>
      </c>
      <c r="H56" s="121" t="s">
        <v>46</v>
      </c>
      <c r="I56" s="92"/>
      <c r="J56" s="93"/>
      <c r="K56" s="93"/>
      <c r="L56" s="94"/>
      <c r="M56" s="100"/>
      <c r="N56" s="96"/>
      <c r="O56" s="97"/>
      <c r="P56" s="98"/>
      <c r="Q56" s="101"/>
      <c r="R56" s="78" t="str">
        <f t="shared" si="2"/>
        <v/>
      </c>
    </row>
    <row r="57" spans="2:18" x14ac:dyDescent="0.2">
      <c r="B57" s="2" t="str">
        <f t="shared" si="3"/>
        <v/>
      </c>
      <c r="C57" s="2" t="str">
        <f t="shared" si="4"/>
        <v/>
      </c>
      <c r="D57" s="2" t="str">
        <f t="shared" si="5"/>
        <v>Y</v>
      </c>
      <c r="E57" s="2">
        <f t="shared" si="6"/>
        <v>0</v>
      </c>
      <c r="F57" s="2" t="str">
        <f t="shared" si="7"/>
        <v/>
      </c>
      <c r="H57" s="121" t="s">
        <v>47</v>
      </c>
      <c r="I57" s="92"/>
      <c r="J57" s="93"/>
      <c r="K57" s="93"/>
      <c r="L57" s="94"/>
      <c r="M57" s="100"/>
      <c r="N57" s="96"/>
      <c r="O57" s="97"/>
      <c r="P57" s="98"/>
      <c r="Q57" s="101"/>
      <c r="R57" s="78" t="str">
        <f t="shared" si="2"/>
        <v/>
      </c>
    </row>
    <row r="58" spans="2:18" x14ac:dyDescent="0.2">
      <c r="B58" s="2" t="str">
        <f t="shared" si="3"/>
        <v/>
      </c>
      <c r="C58" s="2" t="str">
        <f t="shared" si="4"/>
        <v/>
      </c>
      <c r="D58" s="2" t="str">
        <f t="shared" si="5"/>
        <v>Y</v>
      </c>
      <c r="E58" s="2">
        <f t="shared" si="6"/>
        <v>0</v>
      </c>
      <c r="F58" s="2" t="str">
        <f t="shared" si="7"/>
        <v/>
      </c>
      <c r="H58" s="121" t="s">
        <v>48</v>
      </c>
      <c r="I58" s="92"/>
      <c r="J58" s="93"/>
      <c r="K58" s="93"/>
      <c r="L58" s="94"/>
      <c r="M58" s="100"/>
      <c r="N58" s="96"/>
      <c r="O58" s="97"/>
      <c r="P58" s="98"/>
      <c r="Q58" s="101"/>
      <c r="R58" s="78" t="str">
        <f t="shared" si="2"/>
        <v/>
      </c>
    </row>
    <row r="59" spans="2:18" x14ac:dyDescent="0.2">
      <c r="B59" s="2" t="str">
        <f t="shared" si="3"/>
        <v/>
      </c>
      <c r="C59" s="2" t="str">
        <f t="shared" si="4"/>
        <v/>
      </c>
      <c r="D59" s="2" t="str">
        <f t="shared" si="5"/>
        <v>Y</v>
      </c>
      <c r="E59" s="2">
        <f t="shared" si="6"/>
        <v>0</v>
      </c>
      <c r="F59" s="2" t="str">
        <f t="shared" si="7"/>
        <v/>
      </c>
      <c r="H59" s="121" t="s">
        <v>49</v>
      </c>
      <c r="I59" s="92"/>
      <c r="J59" s="93"/>
      <c r="K59" s="93"/>
      <c r="L59" s="94"/>
      <c r="M59" s="100"/>
      <c r="N59" s="96"/>
      <c r="O59" s="97"/>
      <c r="P59" s="98"/>
      <c r="Q59" s="101"/>
      <c r="R59" s="78" t="str">
        <f t="shared" si="2"/>
        <v/>
      </c>
    </row>
    <row r="60" spans="2:18" x14ac:dyDescent="0.2">
      <c r="B60" s="2" t="str">
        <f t="shared" si="3"/>
        <v/>
      </c>
      <c r="C60" s="2" t="str">
        <f t="shared" si="4"/>
        <v/>
      </c>
      <c r="D60" s="2" t="str">
        <f t="shared" si="5"/>
        <v>Y</v>
      </c>
      <c r="E60" s="2">
        <f t="shared" si="6"/>
        <v>0</v>
      </c>
      <c r="F60" s="2" t="str">
        <f t="shared" si="7"/>
        <v/>
      </c>
      <c r="H60" s="121" t="s">
        <v>50</v>
      </c>
      <c r="I60" s="92"/>
      <c r="J60" s="93"/>
      <c r="K60" s="93"/>
      <c r="L60" s="94"/>
      <c r="M60" s="100"/>
      <c r="N60" s="96"/>
      <c r="O60" s="97"/>
      <c r="P60" s="98"/>
      <c r="Q60" s="101"/>
      <c r="R60" s="78" t="str">
        <f t="shared" si="2"/>
        <v/>
      </c>
    </row>
    <row r="61" spans="2:18" x14ac:dyDescent="0.2">
      <c r="B61" s="2" t="str">
        <f t="shared" si="3"/>
        <v/>
      </c>
      <c r="C61" s="2" t="str">
        <f t="shared" si="4"/>
        <v/>
      </c>
      <c r="D61" s="2" t="str">
        <f t="shared" si="5"/>
        <v>Y</v>
      </c>
      <c r="E61" s="2">
        <f t="shared" si="6"/>
        <v>0</v>
      </c>
      <c r="F61" s="2" t="str">
        <f t="shared" si="7"/>
        <v/>
      </c>
      <c r="H61" s="121" t="s">
        <v>52</v>
      </c>
      <c r="I61" s="92"/>
      <c r="J61" s="93"/>
      <c r="K61" s="93"/>
      <c r="L61" s="94"/>
      <c r="M61" s="100"/>
      <c r="N61" s="96"/>
      <c r="O61" s="97"/>
      <c r="P61" s="98"/>
      <c r="Q61" s="101"/>
      <c r="R61" s="78" t="str">
        <f t="shared" si="2"/>
        <v/>
      </c>
    </row>
    <row r="62" spans="2:18" x14ac:dyDescent="0.2">
      <c r="B62" s="2" t="str">
        <f t="shared" si="3"/>
        <v/>
      </c>
      <c r="C62" s="2" t="str">
        <f t="shared" si="4"/>
        <v/>
      </c>
      <c r="D62" s="2" t="str">
        <f t="shared" si="5"/>
        <v>Y</v>
      </c>
      <c r="E62" s="2">
        <f t="shared" si="6"/>
        <v>0</v>
      </c>
      <c r="F62" s="2" t="str">
        <f t="shared" si="7"/>
        <v/>
      </c>
      <c r="H62" s="121" t="s">
        <v>53</v>
      </c>
      <c r="I62" s="92"/>
      <c r="J62" s="93"/>
      <c r="K62" s="93"/>
      <c r="L62" s="94"/>
      <c r="M62" s="100"/>
      <c r="N62" s="96"/>
      <c r="O62" s="97"/>
      <c r="P62" s="98"/>
      <c r="Q62" s="101"/>
      <c r="R62" s="78" t="str">
        <f t="shared" si="2"/>
        <v/>
      </c>
    </row>
    <row r="63" spans="2:18" x14ac:dyDescent="0.2">
      <c r="B63" s="2" t="str">
        <f t="shared" si="3"/>
        <v/>
      </c>
      <c r="C63" s="2" t="str">
        <f t="shared" si="4"/>
        <v/>
      </c>
      <c r="D63" s="2" t="str">
        <f t="shared" si="5"/>
        <v>Y</v>
      </c>
      <c r="E63" s="2">
        <f t="shared" si="6"/>
        <v>0</v>
      </c>
      <c r="F63" s="2" t="str">
        <f t="shared" si="7"/>
        <v/>
      </c>
      <c r="H63" s="121" t="s">
        <v>54</v>
      </c>
      <c r="I63" s="92"/>
      <c r="J63" s="93"/>
      <c r="K63" s="93"/>
      <c r="L63" s="94"/>
      <c r="M63" s="100"/>
      <c r="N63" s="96"/>
      <c r="O63" s="97"/>
      <c r="P63" s="98"/>
      <c r="Q63" s="101"/>
      <c r="R63" s="78" t="str">
        <f t="shared" si="2"/>
        <v/>
      </c>
    </row>
    <row r="64" spans="2:18" x14ac:dyDescent="0.2">
      <c r="B64" s="2" t="str">
        <f t="shared" si="3"/>
        <v/>
      </c>
      <c r="C64" s="2" t="str">
        <f t="shared" si="4"/>
        <v/>
      </c>
      <c r="D64" s="2" t="str">
        <f t="shared" si="5"/>
        <v>Y</v>
      </c>
      <c r="E64" s="2">
        <f t="shared" si="6"/>
        <v>0</v>
      </c>
      <c r="F64" s="2" t="str">
        <f t="shared" si="7"/>
        <v/>
      </c>
      <c r="H64" s="121" t="s">
        <v>55</v>
      </c>
      <c r="I64" s="92"/>
      <c r="J64" s="93"/>
      <c r="K64" s="93"/>
      <c r="L64" s="94"/>
      <c r="M64" s="100"/>
      <c r="N64" s="96"/>
      <c r="O64" s="97"/>
      <c r="P64" s="98"/>
      <c r="Q64" s="101"/>
      <c r="R64" s="78" t="str">
        <f t="shared" si="2"/>
        <v/>
      </c>
    </row>
    <row r="65" spans="2:18" x14ac:dyDescent="0.2">
      <c r="B65" s="2" t="str">
        <f t="shared" si="3"/>
        <v/>
      </c>
      <c r="C65" s="2" t="str">
        <f t="shared" si="4"/>
        <v/>
      </c>
      <c r="D65" s="2" t="str">
        <f t="shared" si="5"/>
        <v>Y</v>
      </c>
      <c r="E65" s="2">
        <f t="shared" si="6"/>
        <v>0</v>
      </c>
      <c r="F65" s="2" t="str">
        <f t="shared" si="7"/>
        <v/>
      </c>
      <c r="H65" s="121" t="s">
        <v>56</v>
      </c>
      <c r="I65" s="92"/>
      <c r="J65" s="93"/>
      <c r="K65" s="93"/>
      <c r="L65" s="94"/>
      <c r="M65" s="100"/>
      <c r="N65" s="96"/>
      <c r="O65" s="97"/>
      <c r="P65" s="98"/>
      <c r="Q65" s="101"/>
      <c r="R65" s="78" t="str">
        <f t="shared" si="2"/>
        <v/>
      </c>
    </row>
    <row r="66" spans="2:18" x14ac:dyDescent="0.2">
      <c r="B66" s="2" t="str">
        <f t="shared" si="3"/>
        <v/>
      </c>
      <c r="C66" s="2" t="str">
        <f t="shared" si="4"/>
        <v/>
      </c>
      <c r="D66" s="2" t="str">
        <f t="shared" si="5"/>
        <v>Y</v>
      </c>
      <c r="E66" s="2">
        <f t="shared" si="6"/>
        <v>0</v>
      </c>
      <c r="F66" s="2" t="str">
        <f t="shared" si="7"/>
        <v/>
      </c>
      <c r="H66" s="121" t="s">
        <v>57</v>
      </c>
      <c r="I66" s="92"/>
      <c r="J66" s="93"/>
      <c r="K66" s="93"/>
      <c r="L66" s="94"/>
      <c r="M66" s="100"/>
      <c r="N66" s="96"/>
      <c r="O66" s="97"/>
      <c r="P66" s="98"/>
      <c r="Q66" s="101"/>
      <c r="R66" s="78" t="str">
        <f t="shared" si="2"/>
        <v/>
      </c>
    </row>
    <row r="67" spans="2:18" x14ac:dyDescent="0.2">
      <c r="B67" s="2" t="str">
        <f t="shared" si="3"/>
        <v/>
      </c>
      <c r="C67" s="2" t="str">
        <f t="shared" si="4"/>
        <v/>
      </c>
      <c r="D67" s="2" t="str">
        <f t="shared" si="5"/>
        <v>Y</v>
      </c>
      <c r="E67" s="2">
        <f t="shared" si="6"/>
        <v>0</v>
      </c>
      <c r="F67" s="2" t="str">
        <f t="shared" si="7"/>
        <v/>
      </c>
      <c r="H67" s="121" t="s">
        <v>58</v>
      </c>
      <c r="I67" s="92"/>
      <c r="J67" s="93"/>
      <c r="K67" s="93"/>
      <c r="L67" s="94"/>
      <c r="M67" s="100"/>
      <c r="N67" s="96"/>
      <c r="O67" s="97"/>
      <c r="P67" s="98"/>
      <c r="Q67" s="101"/>
      <c r="R67" s="78" t="str">
        <f t="shared" si="2"/>
        <v/>
      </c>
    </row>
    <row r="68" spans="2:18" x14ac:dyDescent="0.2">
      <c r="B68" s="2" t="str">
        <f t="shared" si="3"/>
        <v/>
      </c>
      <c r="C68" s="2" t="str">
        <f t="shared" si="4"/>
        <v/>
      </c>
      <c r="D68" s="2" t="str">
        <f t="shared" si="5"/>
        <v>Y</v>
      </c>
      <c r="E68" s="2">
        <f t="shared" si="6"/>
        <v>0</v>
      </c>
      <c r="F68" s="2" t="str">
        <f t="shared" si="7"/>
        <v/>
      </c>
      <c r="H68" s="121" t="s">
        <v>59</v>
      </c>
      <c r="I68" s="92"/>
      <c r="J68" s="93"/>
      <c r="K68" s="93"/>
      <c r="L68" s="94"/>
      <c r="M68" s="100"/>
      <c r="N68" s="96"/>
      <c r="O68" s="97"/>
      <c r="P68" s="98"/>
      <c r="Q68" s="101"/>
      <c r="R68" s="78" t="str">
        <f t="shared" si="2"/>
        <v/>
      </c>
    </row>
    <row r="69" spans="2:18" x14ac:dyDescent="0.2">
      <c r="B69" s="2" t="str">
        <f t="shared" si="3"/>
        <v/>
      </c>
      <c r="C69" s="2" t="str">
        <f t="shared" si="4"/>
        <v/>
      </c>
      <c r="D69" s="2" t="str">
        <f t="shared" si="5"/>
        <v>Y</v>
      </c>
      <c r="E69" s="2">
        <f t="shared" si="6"/>
        <v>0</v>
      </c>
      <c r="F69" s="2" t="str">
        <f t="shared" si="7"/>
        <v/>
      </c>
      <c r="H69" s="121" t="s">
        <v>60</v>
      </c>
      <c r="I69" s="92"/>
      <c r="J69" s="93"/>
      <c r="K69" s="93"/>
      <c r="L69" s="94"/>
      <c r="M69" s="100"/>
      <c r="N69" s="96"/>
      <c r="O69" s="97"/>
      <c r="P69" s="98"/>
      <c r="Q69" s="101"/>
      <c r="R69" s="78" t="str">
        <f t="shared" si="2"/>
        <v/>
      </c>
    </row>
    <row r="70" spans="2:18" x14ac:dyDescent="0.2">
      <c r="B70" s="2" t="str">
        <f t="shared" si="3"/>
        <v/>
      </c>
      <c r="C70" s="2" t="str">
        <f t="shared" si="4"/>
        <v/>
      </c>
      <c r="D70" s="2" t="str">
        <f t="shared" si="5"/>
        <v>Y</v>
      </c>
      <c r="E70" s="2">
        <f t="shared" si="6"/>
        <v>0</v>
      </c>
      <c r="F70" s="2" t="str">
        <f t="shared" si="7"/>
        <v/>
      </c>
      <c r="H70" s="121" t="s">
        <v>61</v>
      </c>
      <c r="I70" s="92"/>
      <c r="J70" s="93"/>
      <c r="K70" s="93"/>
      <c r="L70" s="94"/>
      <c r="M70" s="100"/>
      <c r="N70" s="96"/>
      <c r="O70" s="97"/>
      <c r="P70" s="98"/>
      <c r="Q70" s="101"/>
      <c r="R70" s="78" t="str">
        <f t="shared" si="2"/>
        <v/>
      </c>
    </row>
    <row r="71" spans="2:18" x14ac:dyDescent="0.2">
      <c r="B71" s="2" t="str">
        <f t="shared" si="3"/>
        <v/>
      </c>
      <c r="C71" s="2" t="str">
        <f t="shared" si="4"/>
        <v/>
      </c>
      <c r="D71" s="2" t="str">
        <f t="shared" si="5"/>
        <v>Y</v>
      </c>
      <c r="E71" s="2">
        <f t="shared" si="6"/>
        <v>0</v>
      </c>
      <c r="F71" s="2" t="str">
        <f t="shared" si="7"/>
        <v/>
      </c>
      <c r="H71" s="121" t="s">
        <v>62</v>
      </c>
      <c r="I71" s="92"/>
      <c r="J71" s="93"/>
      <c r="K71" s="93"/>
      <c r="L71" s="94"/>
      <c r="M71" s="100"/>
      <c r="N71" s="96"/>
      <c r="O71" s="97"/>
      <c r="P71" s="98"/>
      <c r="Q71" s="101"/>
      <c r="R71" s="78" t="str">
        <f t="shared" si="2"/>
        <v/>
      </c>
    </row>
    <row r="72" spans="2:18" x14ac:dyDescent="0.2">
      <c r="B72" s="2" t="str">
        <f t="shared" si="3"/>
        <v/>
      </c>
      <c r="C72" s="2" t="str">
        <f t="shared" si="4"/>
        <v/>
      </c>
      <c r="D72" s="2" t="str">
        <f t="shared" si="5"/>
        <v>Y</v>
      </c>
      <c r="E72" s="2">
        <f t="shared" si="6"/>
        <v>0</v>
      </c>
      <c r="F72" s="2" t="str">
        <f t="shared" si="7"/>
        <v/>
      </c>
      <c r="H72" s="121" t="s">
        <v>63</v>
      </c>
      <c r="I72" s="92"/>
      <c r="J72" s="93"/>
      <c r="K72" s="93"/>
      <c r="L72" s="94"/>
      <c r="M72" s="100"/>
      <c r="N72" s="96"/>
      <c r="O72" s="97"/>
      <c r="P72" s="98"/>
      <c r="Q72" s="101"/>
      <c r="R72" s="78" t="str">
        <f t="shared" si="2"/>
        <v/>
      </c>
    </row>
    <row r="73" spans="2:18" x14ac:dyDescent="0.2">
      <c r="B73" s="2" t="str">
        <f t="shared" si="3"/>
        <v/>
      </c>
      <c r="C73" s="2" t="str">
        <f t="shared" si="4"/>
        <v/>
      </c>
      <c r="D73" s="2" t="str">
        <f t="shared" si="5"/>
        <v>Y</v>
      </c>
      <c r="E73" s="2">
        <f t="shared" si="6"/>
        <v>0</v>
      </c>
      <c r="F73" s="2" t="str">
        <f t="shared" si="7"/>
        <v/>
      </c>
      <c r="H73" s="121" t="s">
        <v>64</v>
      </c>
      <c r="I73" s="92"/>
      <c r="J73" s="93"/>
      <c r="K73" s="93"/>
      <c r="L73" s="94"/>
      <c r="M73" s="100"/>
      <c r="N73" s="96"/>
      <c r="O73" s="97"/>
      <c r="P73" s="98"/>
      <c r="Q73" s="101"/>
      <c r="R73" s="78" t="str">
        <f t="shared" si="2"/>
        <v/>
      </c>
    </row>
    <row r="74" spans="2:18" x14ac:dyDescent="0.2">
      <c r="B74" s="2" t="str">
        <f t="shared" si="3"/>
        <v/>
      </c>
      <c r="C74" s="2" t="str">
        <f t="shared" si="4"/>
        <v/>
      </c>
      <c r="D74" s="2" t="str">
        <f t="shared" si="5"/>
        <v>Y</v>
      </c>
      <c r="E74" s="2">
        <f t="shared" si="6"/>
        <v>0</v>
      </c>
      <c r="F74" s="2" t="str">
        <f t="shared" si="7"/>
        <v/>
      </c>
      <c r="H74" s="121" t="s">
        <v>65</v>
      </c>
      <c r="I74" s="92"/>
      <c r="J74" s="93"/>
      <c r="K74" s="93"/>
      <c r="L74" s="94"/>
      <c r="M74" s="100"/>
      <c r="N74" s="96"/>
      <c r="O74" s="97"/>
      <c r="P74" s="98"/>
      <c r="Q74" s="101"/>
      <c r="R74" s="78" t="str">
        <f t="shared" si="2"/>
        <v/>
      </c>
    </row>
    <row r="75" spans="2:18" x14ac:dyDescent="0.2">
      <c r="B75" s="2" t="str">
        <f t="shared" si="3"/>
        <v/>
      </c>
      <c r="C75" s="2" t="str">
        <f t="shared" si="4"/>
        <v/>
      </c>
      <c r="D75" s="2" t="str">
        <f t="shared" si="5"/>
        <v>Y</v>
      </c>
      <c r="E75" s="2">
        <f t="shared" si="6"/>
        <v>0</v>
      </c>
      <c r="F75" s="2" t="str">
        <f t="shared" si="7"/>
        <v/>
      </c>
      <c r="H75" s="121" t="s">
        <v>66</v>
      </c>
      <c r="I75" s="92"/>
      <c r="J75" s="93"/>
      <c r="K75" s="93"/>
      <c r="L75" s="94"/>
      <c r="M75" s="100"/>
      <c r="N75" s="96"/>
      <c r="O75" s="97"/>
      <c r="P75" s="98"/>
      <c r="Q75" s="101"/>
      <c r="R75" s="78" t="str">
        <f t="shared" ref="R75:R138" si="8">IF(ISERROR(VLOOKUP(K75,LB_PROJECTS,2,FALSE)),"",VLOOKUP(K75,LB_PROJECTS,2,FALSE))</f>
        <v/>
      </c>
    </row>
    <row r="76" spans="2:18" x14ac:dyDescent="0.2">
      <c r="B76" s="2" t="str">
        <f t="shared" ref="B76:B139" si="9">IF(M76="","",IF(WEEKNUM(M76)&lt;10,VALUE(CONCATENATE(YEAR(M76),"0",WEEKNUM(M76))),VALUE(CONCATENATE(YEAR(M76),WEEKNUM(M76)))))</f>
        <v/>
      </c>
      <c r="C76" s="2" t="str">
        <f t="shared" ref="C76:C139" si="10">IF(P76="","",IF(WEEKNUM(P76)&lt;10,VALUE(CONCATENATE(YEAR(P76),"0",WEEKNUM(P76))),VALUE(CONCATENATE(YEAR(P76),WEEKNUM(P76)))))</f>
        <v/>
      </c>
      <c r="D76" s="2" t="str">
        <f t="shared" ref="D76:D139" si="11">IF(OR(O76="Not started",O76="In progress"),"N",IF(OR(O76="N/A",O76="Suspended",O76="Canceled"),"","Y"))</f>
        <v>Y</v>
      </c>
      <c r="E76" s="2">
        <f t="shared" ref="E76:E139" si="12">IF(OR(O76="Not started",O76="In progress",O76="Applied",O76="Closed"),1,0)</f>
        <v>0</v>
      </c>
      <c r="F76" s="2" t="str">
        <f t="shared" si="7"/>
        <v/>
      </c>
      <c r="H76" s="121" t="s">
        <v>67</v>
      </c>
      <c r="I76" s="92"/>
      <c r="J76" s="93"/>
      <c r="K76" s="93"/>
      <c r="L76" s="94"/>
      <c r="M76" s="100"/>
      <c r="N76" s="96"/>
      <c r="O76" s="97"/>
      <c r="P76" s="98"/>
      <c r="Q76" s="101"/>
      <c r="R76" s="78" t="str">
        <f t="shared" si="8"/>
        <v/>
      </c>
    </row>
    <row r="77" spans="2:18" x14ac:dyDescent="0.2">
      <c r="B77" s="2" t="str">
        <f t="shared" si="9"/>
        <v/>
      </c>
      <c r="C77" s="2" t="str">
        <f t="shared" si="10"/>
        <v/>
      </c>
      <c r="D77" s="2" t="str">
        <f t="shared" si="11"/>
        <v>Y</v>
      </c>
      <c r="E77" s="2">
        <f t="shared" si="12"/>
        <v>0</v>
      </c>
      <c r="F77" s="2" t="str">
        <f t="shared" si="7"/>
        <v/>
      </c>
      <c r="H77" s="121" t="s">
        <v>68</v>
      </c>
      <c r="I77" s="92"/>
      <c r="J77" s="93"/>
      <c r="K77" s="93"/>
      <c r="L77" s="94"/>
      <c r="M77" s="100"/>
      <c r="N77" s="96"/>
      <c r="O77" s="97"/>
      <c r="P77" s="98"/>
      <c r="Q77" s="101"/>
      <c r="R77" s="78" t="str">
        <f t="shared" si="8"/>
        <v/>
      </c>
    </row>
    <row r="78" spans="2:18" x14ac:dyDescent="0.2">
      <c r="B78" s="2" t="str">
        <f t="shared" si="9"/>
        <v/>
      </c>
      <c r="C78" s="2" t="str">
        <f t="shared" si="10"/>
        <v/>
      </c>
      <c r="D78" s="2" t="str">
        <f t="shared" si="11"/>
        <v>Y</v>
      </c>
      <c r="E78" s="2">
        <f t="shared" si="12"/>
        <v>0</v>
      </c>
      <c r="F78" s="2" t="str">
        <f t="shared" ref="F78:F141" si="13">IF(N78="",B78,IF(WEEKNUM(N78)&lt;10,VALUE(CONCATENATE(YEAR(N78),"0",WEEKNUM(N78))),VALUE(CONCATENATE(YEAR(N78),WEEKNUM(N78)))))</f>
        <v/>
      </c>
      <c r="H78" s="121" t="s">
        <v>69</v>
      </c>
      <c r="I78" s="92"/>
      <c r="J78" s="93"/>
      <c r="K78" s="93"/>
      <c r="L78" s="94"/>
      <c r="M78" s="100"/>
      <c r="N78" s="96"/>
      <c r="O78" s="97"/>
      <c r="P78" s="98"/>
      <c r="Q78" s="101"/>
      <c r="R78" s="78" t="str">
        <f t="shared" si="8"/>
        <v/>
      </c>
    </row>
    <row r="79" spans="2:18" x14ac:dyDescent="0.2">
      <c r="B79" s="2" t="str">
        <f t="shared" si="9"/>
        <v/>
      </c>
      <c r="C79" s="2" t="str">
        <f t="shared" si="10"/>
        <v/>
      </c>
      <c r="D79" s="2" t="str">
        <f t="shared" si="11"/>
        <v>Y</v>
      </c>
      <c r="E79" s="2">
        <f t="shared" si="12"/>
        <v>0</v>
      </c>
      <c r="F79" s="2" t="str">
        <f t="shared" si="13"/>
        <v/>
      </c>
      <c r="H79" s="121" t="s">
        <v>70</v>
      </c>
      <c r="I79" s="92"/>
      <c r="J79" s="93"/>
      <c r="K79" s="93"/>
      <c r="L79" s="94"/>
      <c r="M79" s="100"/>
      <c r="N79" s="96"/>
      <c r="O79" s="97"/>
      <c r="P79" s="98"/>
      <c r="Q79" s="101"/>
      <c r="R79" s="78" t="str">
        <f t="shared" si="8"/>
        <v/>
      </c>
    </row>
    <row r="80" spans="2:18" x14ac:dyDescent="0.2">
      <c r="B80" s="2" t="str">
        <f t="shared" si="9"/>
        <v/>
      </c>
      <c r="C80" s="2" t="str">
        <f t="shared" si="10"/>
        <v/>
      </c>
      <c r="D80" s="2" t="str">
        <f t="shared" si="11"/>
        <v>Y</v>
      </c>
      <c r="E80" s="2">
        <f t="shared" si="12"/>
        <v>0</v>
      </c>
      <c r="F80" s="2" t="str">
        <f t="shared" si="13"/>
        <v/>
      </c>
      <c r="H80" s="121" t="s">
        <v>71</v>
      </c>
      <c r="I80" s="92"/>
      <c r="J80" s="93"/>
      <c r="K80" s="93"/>
      <c r="L80" s="94"/>
      <c r="M80" s="100"/>
      <c r="N80" s="96"/>
      <c r="O80" s="97"/>
      <c r="P80" s="98"/>
      <c r="Q80" s="101"/>
      <c r="R80" s="78" t="str">
        <f t="shared" si="8"/>
        <v/>
      </c>
    </row>
    <row r="81" spans="2:18" x14ac:dyDescent="0.2">
      <c r="B81" s="2" t="str">
        <f t="shared" si="9"/>
        <v/>
      </c>
      <c r="C81" s="2" t="str">
        <f t="shared" si="10"/>
        <v/>
      </c>
      <c r="D81" s="2" t="str">
        <f t="shared" si="11"/>
        <v>Y</v>
      </c>
      <c r="E81" s="2">
        <f t="shared" si="12"/>
        <v>0</v>
      </c>
      <c r="F81" s="2" t="str">
        <f t="shared" si="13"/>
        <v/>
      </c>
      <c r="H81" s="121" t="s">
        <v>72</v>
      </c>
      <c r="I81" s="92"/>
      <c r="J81" s="93"/>
      <c r="K81" s="93"/>
      <c r="L81" s="94"/>
      <c r="M81" s="100"/>
      <c r="N81" s="96"/>
      <c r="O81" s="97"/>
      <c r="P81" s="98"/>
      <c r="Q81" s="101"/>
      <c r="R81" s="78" t="str">
        <f t="shared" si="8"/>
        <v/>
      </c>
    </row>
    <row r="82" spans="2:18" x14ac:dyDescent="0.2">
      <c r="B82" s="2" t="str">
        <f t="shared" si="9"/>
        <v/>
      </c>
      <c r="C82" s="2" t="str">
        <f t="shared" si="10"/>
        <v/>
      </c>
      <c r="D82" s="2" t="str">
        <f t="shared" si="11"/>
        <v>Y</v>
      </c>
      <c r="E82" s="2">
        <f t="shared" si="12"/>
        <v>0</v>
      </c>
      <c r="F82" s="2" t="str">
        <f t="shared" si="13"/>
        <v/>
      </c>
      <c r="H82" s="121" t="s">
        <v>73</v>
      </c>
      <c r="I82" s="92"/>
      <c r="J82" s="93"/>
      <c r="K82" s="93"/>
      <c r="L82" s="94"/>
      <c r="M82" s="100"/>
      <c r="N82" s="96"/>
      <c r="O82" s="97"/>
      <c r="P82" s="98"/>
      <c r="Q82" s="101"/>
      <c r="R82" s="78" t="str">
        <f t="shared" si="8"/>
        <v/>
      </c>
    </row>
    <row r="83" spans="2:18" x14ac:dyDescent="0.2">
      <c r="B83" s="2" t="str">
        <f t="shared" si="9"/>
        <v/>
      </c>
      <c r="C83" s="2" t="str">
        <f t="shared" si="10"/>
        <v/>
      </c>
      <c r="D83" s="2" t="str">
        <f t="shared" si="11"/>
        <v>Y</v>
      </c>
      <c r="E83" s="2">
        <f t="shared" si="12"/>
        <v>0</v>
      </c>
      <c r="F83" s="2" t="str">
        <f t="shared" si="13"/>
        <v/>
      </c>
      <c r="H83" s="121" t="s">
        <v>74</v>
      </c>
      <c r="I83" s="92"/>
      <c r="J83" s="93"/>
      <c r="K83" s="93"/>
      <c r="L83" s="94"/>
      <c r="M83" s="100"/>
      <c r="N83" s="96"/>
      <c r="O83" s="97"/>
      <c r="P83" s="98"/>
      <c r="Q83" s="101"/>
      <c r="R83" s="78" t="str">
        <f t="shared" si="8"/>
        <v/>
      </c>
    </row>
    <row r="84" spans="2:18" x14ac:dyDescent="0.2">
      <c r="B84" s="2" t="str">
        <f t="shared" si="9"/>
        <v/>
      </c>
      <c r="C84" s="2" t="str">
        <f t="shared" si="10"/>
        <v/>
      </c>
      <c r="D84" s="2" t="str">
        <f t="shared" si="11"/>
        <v>Y</v>
      </c>
      <c r="E84" s="2">
        <f t="shared" si="12"/>
        <v>0</v>
      </c>
      <c r="F84" s="2" t="str">
        <f t="shared" si="13"/>
        <v/>
      </c>
      <c r="H84" s="121" t="s">
        <v>75</v>
      </c>
      <c r="I84" s="92"/>
      <c r="J84" s="93"/>
      <c r="K84" s="93"/>
      <c r="L84" s="94"/>
      <c r="M84" s="100"/>
      <c r="N84" s="96"/>
      <c r="O84" s="97"/>
      <c r="P84" s="98"/>
      <c r="Q84" s="101"/>
      <c r="R84" s="78" t="str">
        <f t="shared" si="8"/>
        <v/>
      </c>
    </row>
    <row r="85" spans="2:18" x14ac:dyDescent="0.2">
      <c r="B85" s="2" t="str">
        <f t="shared" si="9"/>
        <v/>
      </c>
      <c r="C85" s="2" t="str">
        <f t="shared" si="10"/>
        <v/>
      </c>
      <c r="D85" s="2" t="str">
        <f t="shared" si="11"/>
        <v>Y</v>
      </c>
      <c r="E85" s="2">
        <f t="shared" si="12"/>
        <v>0</v>
      </c>
      <c r="F85" s="2" t="str">
        <f t="shared" si="13"/>
        <v/>
      </c>
      <c r="H85" s="121" t="s">
        <v>76</v>
      </c>
      <c r="I85" s="92"/>
      <c r="J85" s="93"/>
      <c r="K85" s="93"/>
      <c r="L85" s="94"/>
      <c r="M85" s="100"/>
      <c r="N85" s="96"/>
      <c r="O85" s="97"/>
      <c r="P85" s="98"/>
      <c r="Q85" s="101"/>
      <c r="R85" s="78" t="str">
        <f t="shared" si="8"/>
        <v/>
      </c>
    </row>
    <row r="86" spans="2:18" x14ac:dyDescent="0.2">
      <c r="B86" s="2" t="str">
        <f t="shared" si="9"/>
        <v/>
      </c>
      <c r="C86" s="2" t="str">
        <f t="shared" si="10"/>
        <v/>
      </c>
      <c r="D86" s="2" t="str">
        <f t="shared" si="11"/>
        <v>Y</v>
      </c>
      <c r="E86" s="2">
        <f t="shared" si="12"/>
        <v>0</v>
      </c>
      <c r="F86" s="2" t="str">
        <f t="shared" si="13"/>
        <v/>
      </c>
      <c r="H86" s="121" t="s">
        <v>77</v>
      </c>
      <c r="I86" s="92"/>
      <c r="J86" s="93"/>
      <c r="K86" s="93"/>
      <c r="L86" s="94"/>
      <c r="M86" s="100"/>
      <c r="N86" s="96"/>
      <c r="O86" s="97"/>
      <c r="P86" s="98"/>
      <c r="Q86" s="101"/>
      <c r="R86" s="78" t="str">
        <f t="shared" si="8"/>
        <v/>
      </c>
    </row>
    <row r="87" spans="2:18" x14ac:dyDescent="0.2">
      <c r="B87" s="2" t="str">
        <f t="shared" si="9"/>
        <v/>
      </c>
      <c r="C87" s="2" t="str">
        <f t="shared" si="10"/>
        <v/>
      </c>
      <c r="D87" s="2" t="str">
        <f t="shared" si="11"/>
        <v>Y</v>
      </c>
      <c r="E87" s="2">
        <f t="shared" si="12"/>
        <v>0</v>
      </c>
      <c r="F87" s="2" t="str">
        <f t="shared" si="13"/>
        <v/>
      </c>
      <c r="H87" s="121" t="s">
        <v>78</v>
      </c>
      <c r="I87" s="92"/>
      <c r="J87" s="93"/>
      <c r="K87" s="93"/>
      <c r="L87" s="94"/>
      <c r="M87" s="100"/>
      <c r="N87" s="96"/>
      <c r="O87" s="97"/>
      <c r="P87" s="98"/>
      <c r="Q87" s="101"/>
      <c r="R87" s="78" t="str">
        <f t="shared" si="8"/>
        <v/>
      </c>
    </row>
    <row r="88" spans="2:18" x14ac:dyDescent="0.2">
      <c r="B88" s="2" t="str">
        <f t="shared" si="9"/>
        <v/>
      </c>
      <c r="C88" s="2" t="str">
        <f t="shared" si="10"/>
        <v/>
      </c>
      <c r="D88" s="2" t="str">
        <f t="shared" si="11"/>
        <v>Y</v>
      </c>
      <c r="E88" s="2">
        <f t="shared" si="12"/>
        <v>0</v>
      </c>
      <c r="F88" s="2" t="str">
        <f t="shared" si="13"/>
        <v/>
      </c>
      <c r="H88" s="121" t="s">
        <v>79</v>
      </c>
      <c r="I88" s="92"/>
      <c r="J88" s="93"/>
      <c r="K88" s="93"/>
      <c r="L88" s="94"/>
      <c r="M88" s="100"/>
      <c r="N88" s="96"/>
      <c r="O88" s="97"/>
      <c r="P88" s="98"/>
      <c r="Q88" s="101"/>
      <c r="R88" s="78" t="str">
        <f t="shared" si="8"/>
        <v/>
      </c>
    </row>
    <row r="89" spans="2:18" x14ac:dyDescent="0.2">
      <c r="B89" s="2" t="str">
        <f t="shared" si="9"/>
        <v/>
      </c>
      <c r="C89" s="2" t="str">
        <f t="shared" si="10"/>
        <v/>
      </c>
      <c r="D89" s="2" t="str">
        <f t="shared" si="11"/>
        <v>Y</v>
      </c>
      <c r="E89" s="2">
        <f t="shared" si="12"/>
        <v>0</v>
      </c>
      <c r="F89" s="2" t="str">
        <f t="shared" si="13"/>
        <v/>
      </c>
      <c r="H89" s="121" t="s">
        <v>80</v>
      </c>
      <c r="I89" s="92"/>
      <c r="J89" s="93"/>
      <c r="K89" s="93"/>
      <c r="L89" s="94"/>
      <c r="M89" s="100"/>
      <c r="N89" s="96"/>
      <c r="O89" s="97"/>
      <c r="P89" s="98"/>
      <c r="Q89" s="101"/>
      <c r="R89" s="78" t="str">
        <f t="shared" si="8"/>
        <v/>
      </c>
    </row>
    <row r="90" spans="2:18" x14ac:dyDescent="0.2">
      <c r="B90" s="2" t="str">
        <f t="shared" si="9"/>
        <v/>
      </c>
      <c r="C90" s="2" t="str">
        <f t="shared" si="10"/>
        <v/>
      </c>
      <c r="D90" s="2" t="str">
        <f t="shared" si="11"/>
        <v>Y</v>
      </c>
      <c r="E90" s="2">
        <f t="shared" si="12"/>
        <v>0</v>
      </c>
      <c r="F90" s="2" t="str">
        <f t="shared" si="13"/>
        <v/>
      </c>
      <c r="H90" s="121" t="s">
        <v>81</v>
      </c>
      <c r="I90" s="92"/>
      <c r="J90" s="93"/>
      <c r="K90" s="93"/>
      <c r="L90" s="94"/>
      <c r="M90" s="100"/>
      <c r="N90" s="96"/>
      <c r="O90" s="97"/>
      <c r="P90" s="98"/>
      <c r="Q90" s="101"/>
      <c r="R90" s="78" t="str">
        <f t="shared" si="8"/>
        <v/>
      </c>
    </row>
    <row r="91" spans="2:18" x14ac:dyDescent="0.2">
      <c r="B91" s="2" t="str">
        <f t="shared" si="9"/>
        <v/>
      </c>
      <c r="C91" s="2" t="str">
        <f t="shared" si="10"/>
        <v/>
      </c>
      <c r="D91" s="2" t="str">
        <f t="shared" si="11"/>
        <v>Y</v>
      </c>
      <c r="E91" s="2">
        <f t="shared" si="12"/>
        <v>0</v>
      </c>
      <c r="F91" s="2" t="str">
        <f t="shared" si="13"/>
        <v/>
      </c>
      <c r="H91" s="121" t="s">
        <v>82</v>
      </c>
      <c r="I91" s="92"/>
      <c r="J91" s="93"/>
      <c r="K91" s="93"/>
      <c r="L91" s="94"/>
      <c r="M91" s="100"/>
      <c r="N91" s="96"/>
      <c r="O91" s="97"/>
      <c r="P91" s="98"/>
      <c r="Q91" s="101"/>
      <c r="R91" s="78" t="str">
        <f t="shared" si="8"/>
        <v/>
      </c>
    </row>
    <row r="92" spans="2:18" x14ac:dyDescent="0.2">
      <c r="B92" s="2" t="str">
        <f t="shared" si="9"/>
        <v/>
      </c>
      <c r="C92" s="2" t="str">
        <f t="shared" si="10"/>
        <v/>
      </c>
      <c r="D92" s="2" t="str">
        <f t="shared" si="11"/>
        <v>Y</v>
      </c>
      <c r="E92" s="2">
        <f t="shared" si="12"/>
        <v>0</v>
      </c>
      <c r="F92" s="2" t="str">
        <f t="shared" si="13"/>
        <v/>
      </c>
      <c r="H92" s="121" t="s">
        <v>83</v>
      </c>
      <c r="I92" s="92"/>
      <c r="J92" s="93"/>
      <c r="K92" s="93"/>
      <c r="L92" s="94"/>
      <c r="M92" s="100"/>
      <c r="N92" s="96"/>
      <c r="O92" s="97"/>
      <c r="P92" s="98"/>
      <c r="Q92" s="101"/>
      <c r="R92" s="78" t="str">
        <f t="shared" si="8"/>
        <v/>
      </c>
    </row>
    <row r="93" spans="2:18" x14ac:dyDescent="0.2">
      <c r="B93" s="2" t="str">
        <f t="shared" si="9"/>
        <v/>
      </c>
      <c r="C93" s="2" t="str">
        <f t="shared" si="10"/>
        <v/>
      </c>
      <c r="D93" s="2" t="str">
        <f t="shared" si="11"/>
        <v>Y</v>
      </c>
      <c r="E93" s="2">
        <f t="shared" si="12"/>
        <v>0</v>
      </c>
      <c r="F93" s="2" t="str">
        <f t="shared" si="13"/>
        <v/>
      </c>
      <c r="H93" s="121" t="s">
        <v>84</v>
      </c>
      <c r="I93" s="92"/>
      <c r="J93" s="93"/>
      <c r="K93" s="93"/>
      <c r="L93" s="94"/>
      <c r="M93" s="100"/>
      <c r="N93" s="96"/>
      <c r="O93" s="103"/>
      <c r="P93" s="98"/>
      <c r="Q93" s="99"/>
      <c r="R93" s="78" t="str">
        <f t="shared" si="8"/>
        <v/>
      </c>
    </row>
    <row r="94" spans="2:18" x14ac:dyDescent="0.2">
      <c r="B94" s="2" t="str">
        <f t="shared" si="9"/>
        <v/>
      </c>
      <c r="C94" s="2" t="str">
        <f t="shared" si="10"/>
        <v/>
      </c>
      <c r="D94" s="2" t="str">
        <f t="shared" si="11"/>
        <v>Y</v>
      </c>
      <c r="E94" s="2">
        <f t="shared" si="12"/>
        <v>0</v>
      </c>
      <c r="F94" s="2" t="str">
        <f t="shared" si="13"/>
        <v/>
      </c>
      <c r="H94" s="121" t="s">
        <v>85</v>
      </c>
      <c r="I94" s="92"/>
      <c r="J94" s="93"/>
      <c r="K94" s="93"/>
      <c r="L94" s="94"/>
      <c r="M94" s="100"/>
      <c r="N94" s="96"/>
      <c r="O94" s="97"/>
      <c r="P94" s="98"/>
      <c r="Q94" s="99"/>
      <c r="R94" s="78" t="str">
        <f t="shared" si="8"/>
        <v/>
      </c>
    </row>
    <row r="95" spans="2:18" x14ac:dyDescent="0.2">
      <c r="B95" s="2" t="str">
        <f t="shared" si="9"/>
        <v/>
      </c>
      <c r="C95" s="2" t="str">
        <f t="shared" si="10"/>
        <v/>
      </c>
      <c r="D95" s="2" t="str">
        <f t="shared" si="11"/>
        <v>Y</v>
      </c>
      <c r="E95" s="2">
        <f t="shared" si="12"/>
        <v>0</v>
      </c>
      <c r="F95" s="2" t="str">
        <f t="shared" si="13"/>
        <v/>
      </c>
      <c r="H95" s="121" t="s">
        <v>86</v>
      </c>
      <c r="I95" s="92"/>
      <c r="J95" s="93"/>
      <c r="K95" s="93"/>
      <c r="L95" s="94"/>
      <c r="M95" s="100"/>
      <c r="N95" s="96"/>
      <c r="O95" s="97"/>
      <c r="P95" s="98"/>
      <c r="Q95" s="101"/>
      <c r="R95" s="78" t="str">
        <f t="shared" si="8"/>
        <v/>
      </c>
    </row>
    <row r="96" spans="2:18" x14ac:dyDescent="0.2">
      <c r="B96" s="2" t="str">
        <f t="shared" si="9"/>
        <v/>
      </c>
      <c r="C96" s="2" t="str">
        <f t="shared" si="10"/>
        <v/>
      </c>
      <c r="D96" s="2" t="str">
        <f t="shared" si="11"/>
        <v>Y</v>
      </c>
      <c r="E96" s="2">
        <f t="shared" si="12"/>
        <v>0</v>
      </c>
      <c r="F96" s="2" t="str">
        <f t="shared" si="13"/>
        <v/>
      </c>
      <c r="H96" s="121" t="s">
        <v>87</v>
      </c>
      <c r="I96" s="92"/>
      <c r="J96" s="93"/>
      <c r="K96" s="93"/>
      <c r="L96" s="94"/>
      <c r="M96" s="100"/>
      <c r="N96" s="96"/>
      <c r="O96" s="97"/>
      <c r="P96" s="98"/>
      <c r="Q96" s="101"/>
      <c r="R96" s="78" t="str">
        <f t="shared" si="8"/>
        <v/>
      </c>
    </row>
    <row r="97" spans="2:18" x14ac:dyDescent="0.2">
      <c r="B97" s="2" t="str">
        <f t="shared" si="9"/>
        <v/>
      </c>
      <c r="C97" s="2" t="str">
        <f t="shared" si="10"/>
        <v/>
      </c>
      <c r="D97" s="2" t="str">
        <f t="shared" si="11"/>
        <v>Y</v>
      </c>
      <c r="E97" s="2">
        <f t="shared" si="12"/>
        <v>0</v>
      </c>
      <c r="F97" s="2" t="str">
        <f t="shared" si="13"/>
        <v/>
      </c>
      <c r="H97" s="121" t="s">
        <v>88</v>
      </c>
      <c r="I97" s="92"/>
      <c r="J97" s="93"/>
      <c r="K97" s="93"/>
      <c r="L97" s="94"/>
      <c r="M97" s="100"/>
      <c r="N97" s="96"/>
      <c r="O97" s="97"/>
      <c r="P97" s="98"/>
      <c r="Q97" s="101"/>
      <c r="R97" s="78" t="str">
        <f t="shared" si="8"/>
        <v/>
      </c>
    </row>
    <row r="98" spans="2:18" x14ac:dyDescent="0.2">
      <c r="B98" s="2" t="str">
        <f t="shared" si="9"/>
        <v/>
      </c>
      <c r="C98" s="2" t="str">
        <f t="shared" si="10"/>
        <v/>
      </c>
      <c r="D98" s="2" t="str">
        <f t="shared" si="11"/>
        <v>Y</v>
      </c>
      <c r="E98" s="2">
        <f t="shared" si="12"/>
        <v>0</v>
      </c>
      <c r="F98" s="2" t="str">
        <f t="shared" si="13"/>
        <v/>
      </c>
      <c r="H98" s="121" t="s">
        <v>89</v>
      </c>
      <c r="I98" s="92"/>
      <c r="J98" s="93"/>
      <c r="K98" s="93"/>
      <c r="L98" s="94"/>
      <c r="M98" s="100"/>
      <c r="N98" s="96"/>
      <c r="O98" s="97"/>
      <c r="P98" s="98"/>
      <c r="Q98" s="99"/>
      <c r="R98" s="78" t="str">
        <f t="shared" si="8"/>
        <v/>
      </c>
    </row>
    <row r="99" spans="2:18" x14ac:dyDescent="0.2">
      <c r="B99" s="2" t="str">
        <f t="shared" si="9"/>
        <v/>
      </c>
      <c r="C99" s="2" t="str">
        <f t="shared" si="10"/>
        <v/>
      </c>
      <c r="D99" s="2" t="str">
        <f t="shared" si="11"/>
        <v>Y</v>
      </c>
      <c r="E99" s="2">
        <f t="shared" si="12"/>
        <v>0</v>
      </c>
      <c r="F99" s="2" t="str">
        <f t="shared" si="13"/>
        <v/>
      </c>
      <c r="H99" s="121" t="s">
        <v>90</v>
      </c>
      <c r="I99" s="92"/>
      <c r="J99" s="93"/>
      <c r="K99" s="93"/>
      <c r="L99" s="94"/>
      <c r="M99" s="100"/>
      <c r="N99" s="96"/>
      <c r="O99" s="97"/>
      <c r="P99" s="98"/>
      <c r="Q99" s="99"/>
      <c r="R99" s="78" t="str">
        <f t="shared" si="8"/>
        <v/>
      </c>
    </row>
    <row r="100" spans="2:18" x14ac:dyDescent="0.2">
      <c r="B100" s="2" t="str">
        <f t="shared" si="9"/>
        <v/>
      </c>
      <c r="C100" s="2" t="str">
        <f t="shared" si="10"/>
        <v/>
      </c>
      <c r="D100" s="2" t="str">
        <f t="shared" si="11"/>
        <v>Y</v>
      </c>
      <c r="E100" s="2">
        <f t="shared" si="12"/>
        <v>0</v>
      </c>
      <c r="F100" s="2" t="str">
        <f t="shared" si="13"/>
        <v/>
      </c>
      <c r="H100" s="121" t="s">
        <v>91</v>
      </c>
      <c r="I100" s="92"/>
      <c r="J100" s="93"/>
      <c r="K100" s="93"/>
      <c r="L100" s="94"/>
      <c r="M100" s="100"/>
      <c r="N100" s="96"/>
      <c r="O100" s="97"/>
      <c r="P100" s="98"/>
      <c r="Q100" s="99"/>
      <c r="R100" s="78" t="str">
        <f t="shared" si="8"/>
        <v/>
      </c>
    </row>
    <row r="101" spans="2:18" x14ac:dyDescent="0.2">
      <c r="B101" s="2" t="str">
        <f t="shared" si="9"/>
        <v/>
      </c>
      <c r="C101" s="2" t="str">
        <f t="shared" si="10"/>
        <v/>
      </c>
      <c r="D101" s="2" t="str">
        <f t="shared" si="11"/>
        <v>Y</v>
      </c>
      <c r="E101" s="2">
        <f t="shared" si="12"/>
        <v>0</v>
      </c>
      <c r="F101" s="2" t="str">
        <f t="shared" si="13"/>
        <v/>
      </c>
      <c r="H101" s="121" t="s">
        <v>92</v>
      </c>
      <c r="I101" s="92"/>
      <c r="J101" s="93"/>
      <c r="K101" s="93"/>
      <c r="L101" s="94"/>
      <c r="M101" s="100"/>
      <c r="N101" s="96"/>
      <c r="O101" s="97"/>
      <c r="P101" s="98"/>
      <c r="Q101" s="101"/>
      <c r="R101" s="78" t="str">
        <f t="shared" si="8"/>
        <v/>
      </c>
    </row>
    <row r="102" spans="2:18" x14ac:dyDescent="0.2">
      <c r="B102" s="2" t="str">
        <f t="shared" si="9"/>
        <v/>
      </c>
      <c r="C102" s="2" t="str">
        <f t="shared" si="10"/>
        <v/>
      </c>
      <c r="D102" s="2" t="str">
        <f t="shared" si="11"/>
        <v>Y</v>
      </c>
      <c r="E102" s="2">
        <f t="shared" si="12"/>
        <v>0</v>
      </c>
      <c r="F102" s="2" t="str">
        <f t="shared" si="13"/>
        <v/>
      </c>
      <c r="H102" s="121" t="s">
        <v>93</v>
      </c>
      <c r="I102" s="92"/>
      <c r="J102" s="93"/>
      <c r="K102" s="93"/>
      <c r="L102" s="94"/>
      <c r="M102" s="100"/>
      <c r="N102" s="96"/>
      <c r="O102" s="97"/>
      <c r="P102" s="98"/>
      <c r="Q102" s="99"/>
      <c r="R102" s="78" t="str">
        <f t="shared" si="8"/>
        <v/>
      </c>
    </row>
    <row r="103" spans="2:18" x14ac:dyDescent="0.2">
      <c r="B103" s="2" t="str">
        <f t="shared" si="9"/>
        <v/>
      </c>
      <c r="C103" s="2" t="str">
        <f t="shared" si="10"/>
        <v/>
      </c>
      <c r="D103" s="2" t="str">
        <f t="shared" si="11"/>
        <v>Y</v>
      </c>
      <c r="E103" s="2">
        <f t="shared" si="12"/>
        <v>0</v>
      </c>
      <c r="F103" s="2" t="str">
        <f t="shared" si="13"/>
        <v/>
      </c>
      <c r="H103" s="121" t="s">
        <v>94</v>
      </c>
      <c r="I103" s="92"/>
      <c r="J103" s="93"/>
      <c r="K103" s="93"/>
      <c r="L103" s="94"/>
      <c r="M103" s="100"/>
      <c r="N103" s="96"/>
      <c r="O103" s="97"/>
      <c r="P103" s="98"/>
      <c r="Q103" s="99"/>
      <c r="R103" s="78" t="str">
        <f t="shared" si="8"/>
        <v/>
      </c>
    </row>
    <row r="104" spans="2:18" x14ac:dyDescent="0.2">
      <c r="B104" s="2" t="str">
        <f t="shared" si="9"/>
        <v/>
      </c>
      <c r="C104" s="2" t="str">
        <f t="shared" si="10"/>
        <v/>
      </c>
      <c r="D104" s="2" t="str">
        <f t="shared" si="11"/>
        <v>Y</v>
      </c>
      <c r="E104" s="2">
        <f t="shared" si="12"/>
        <v>0</v>
      </c>
      <c r="F104" s="2" t="str">
        <f t="shared" si="13"/>
        <v/>
      </c>
      <c r="H104" s="121" t="s">
        <v>95</v>
      </c>
      <c r="I104" s="92"/>
      <c r="J104" s="93"/>
      <c r="K104" s="93"/>
      <c r="L104" s="94"/>
      <c r="M104" s="100"/>
      <c r="N104" s="96"/>
      <c r="O104" s="97"/>
      <c r="P104" s="98"/>
      <c r="Q104" s="101"/>
      <c r="R104" s="78" t="str">
        <f t="shared" si="8"/>
        <v/>
      </c>
    </row>
    <row r="105" spans="2:18" x14ac:dyDescent="0.2">
      <c r="B105" s="2" t="str">
        <f t="shared" si="9"/>
        <v/>
      </c>
      <c r="C105" s="2" t="str">
        <f t="shared" si="10"/>
        <v/>
      </c>
      <c r="D105" s="2" t="str">
        <f t="shared" si="11"/>
        <v>Y</v>
      </c>
      <c r="E105" s="2">
        <f t="shared" si="12"/>
        <v>0</v>
      </c>
      <c r="F105" s="2" t="str">
        <f t="shared" si="13"/>
        <v/>
      </c>
      <c r="H105" s="121" t="s">
        <v>96</v>
      </c>
      <c r="I105" s="92"/>
      <c r="J105" s="93"/>
      <c r="K105" s="93"/>
      <c r="L105" s="94"/>
      <c r="M105" s="100"/>
      <c r="N105" s="96"/>
      <c r="O105" s="97"/>
      <c r="P105" s="98"/>
      <c r="Q105" s="99"/>
      <c r="R105" s="78" t="str">
        <f t="shared" si="8"/>
        <v/>
      </c>
    </row>
    <row r="106" spans="2:18" x14ac:dyDescent="0.2">
      <c r="B106" s="2" t="str">
        <f t="shared" si="9"/>
        <v/>
      </c>
      <c r="C106" s="2" t="str">
        <f t="shared" si="10"/>
        <v/>
      </c>
      <c r="D106" s="2" t="str">
        <f t="shared" si="11"/>
        <v>Y</v>
      </c>
      <c r="E106" s="2">
        <f t="shared" si="12"/>
        <v>0</v>
      </c>
      <c r="F106" s="2" t="str">
        <f t="shared" si="13"/>
        <v/>
      </c>
      <c r="H106" s="121" t="s">
        <v>97</v>
      </c>
      <c r="I106" s="92"/>
      <c r="J106" s="93"/>
      <c r="K106" s="93"/>
      <c r="L106" s="94"/>
      <c r="M106" s="100"/>
      <c r="N106" s="96"/>
      <c r="O106" s="97"/>
      <c r="P106" s="98"/>
      <c r="Q106" s="99"/>
      <c r="R106" s="78" t="str">
        <f t="shared" si="8"/>
        <v/>
      </c>
    </row>
    <row r="107" spans="2:18" x14ac:dyDescent="0.2">
      <c r="B107" s="2" t="str">
        <f t="shared" si="9"/>
        <v/>
      </c>
      <c r="C107" s="2" t="str">
        <f t="shared" si="10"/>
        <v/>
      </c>
      <c r="D107" s="2" t="str">
        <f t="shared" si="11"/>
        <v>Y</v>
      </c>
      <c r="E107" s="2">
        <f t="shared" si="12"/>
        <v>0</v>
      </c>
      <c r="F107" s="2" t="str">
        <f t="shared" si="13"/>
        <v/>
      </c>
      <c r="H107" s="121" t="s">
        <v>98</v>
      </c>
      <c r="I107" s="92"/>
      <c r="J107" s="93"/>
      <c r="K107" s="93"/>
      <c r="L107" s="94"/>
      <c r="M107" s="100"/>
      <c r="N107" s="96"/>
      <c r="O107" s="97"/>
      <c r="P107" s="98"/>
      <c r="Q107" s="99"/>
      <c r="R107" s="78" t="str">
        <f t="shared" si="8"/>
        <v/>
      </c>
    </row>
    <row r="108" spans="2:18" x14ac:dyDescent="0.2">
      <c r="B108" s="2" t="str">
        <f t="shared" si="9"/>
        <v/>
      </c>
      <c r="C108" s="2" t="str">
        <f t="shared" si="10"/>
        <v/>
      </c>
      <c r="D108" s="2" t="str">
        <f t="shared" si="11"/>
        <v>Y</v>
      </c>
      <c r="E108" s="2">
        <f t="shared" si="12"/>
        <v>0</v>
      </c>
      <c r="F108" s="2" t="str">
        <f t="shared" si="13"/>
        <v/>
      </c>
      <c r="H108" s="121" t="s">
        <v>105</v>
      </c>
      <c r="I108" s="92"/>
      <c r="J108" s="93"/>
      <c r="K108" s="93"/>
      <c r="L108" s="94"/>
      <c r="M108" s="100"/>
      <c r="N108" s="96"/>
      <c r="O108" s="97"/>
      <c r="P108" s="98"/>
      <c r="Q108" s="99"/>
      <c r="R108" s="78" t="str">
        <f t="shared" si="8"/>
        <v/>
      </c>
    </row>
    <row r="109" spans="2:18" x14ac:dyDescent="0.2">
      <c r="B109" s="2" t="str">
        <f t="shared" si="9"/>
        <v/>
      </c>
      <c r="C109" s="2" t="str">
        <f t="shared" si="10"/>
        <v/>
      </c>
      <c r="D109" s="2" t="str">
        <f t="shared" si="11"/>
        <v>Y</v>
      </c>
      <c r="E109" s="2">
        <f t="shared" si="12"/>
        <v>0</v>
      </c>
      <c r="F109" s="2" t="str">
        <f t="shared" si="13"/>
        <v/>
      </c>
      <c r="H109" s="121" t="s">
        <v>106</v>
      </c>
      <c r="I109" s="92"/>
      <c r="J109" s="93"/>
      <c r="K109" s="93"/>
      <c r="L109" s="94"/>
      <c r="M109" s="100"/>
      <c r="N109" s="96"/>
      <c r="O109" s="97"/>
      <c r="P109" s="98"/>
      <c r="Q109" s="99"/>
      <c r="R109" s="78" t="str">
        <f t="shared" si="8"/>
        <v/>
      </c>
    </row>
    <row r="110" spans="2:18" x14ac:dyDescent="0.2">
      <c r="B110" s="2" t="str">
        <f t="shared" si="9"/>
        <v/>
      </c>
      <c r="C110" s="2" t="str">
        <f t="shared" si="10"/>
        <v/>
      </c>
      <c r="D110" s="2" t="str">
        <f t="shared" si="11"/>
        <v>Y</v>
      </c>
      <c r="E110" s="2">
        <f t="shared" si="12"/>
        <v>0</v>
      </c>
      <c r="F110" s="2" t="str">
        <f t="shared" si="13"/>
        <v/>
      </c>
      <c r="H110" s="121" t="s">
        <v>107</v>
      </c>
      <c r="I110" s="92"/>
      <c r="J110" s="93"/>
      <c r="K110" s="93"/>
      <c r="L110" s="94"/>
      <c r="M110" s="100"/>
      <c r="N110" s="96"/>
      <c r="O110" s="97"/>
      <c r="P110" s="98"/>
      <c r="Q110" s="101"/>
      <c r="R110" s="78" t="str">
        <f t="shared" si="8"/>
        <v/>
      </c>
    </row>
    <row r="111" spans="2:18" x14ac:dyDescent="0.2">
      <c r="B111" s="2" t="str">
        <f t="shared" si="9"/>
        <v/>
      </c>
      <c r="C111" s="2" t="str">
        <f t="shared" si="10"/>
        <v/>
      </c>
      <c r="D111" s="2" t="str">
        <f t="shared" si="11"/>
        <v>Y</v>
      </c>
      <c r="E111" s="2">
        <f t="shared" si="12"/>
        <v>0</v>
      </c>
      <c r="F111" s="2" t="str">
        <f t="shared" si="13"/>
        <v/>
      </c>
      <c r="H111" s="121" t="s">
        <v>108</v>
      </c>
      <c r="I111" s="92"/>
      <c r="J111" s="93"/>
      <c r="K111" s="93"/>
      <c r="L111" s="94"/>
      <c r="M111" s="100"/>
      <c r="N111" s="96"/>
      <c r="O111" s="97"/>
      <c r="P111" s="98"/>
      <c r="Q111" s="101"/>
      <c r="R111" s="78" t="str">
        <f t="shared" si="8"/>
        <v/>
      </c>
    </row>
    <row r="112" spans="2:18" x14ac:dyDescent="0.2">
      <c r="B112" s="2" t="str">
        <f t="shared" si="9"/>
        <v/>
      </c>
      <c r="C112" s="2" t="str">
        <f t="shared" si="10"/>
        <v/>
      </c>
      <c r="D112" s="2" t="str">
        <f t="shared" si="11"/>
        <v>Y</v>
      </c>
      <c r="E112" s="2">
        <f t="shared" si="12"/>
        <v>0</v>
      </c>
      <c r="F112" s="2" t="str">
        <f t="shared" si="13"/>
        <v/>
      </c>
      <c r="H112" s="121" t="s">
        <v>109</v>
      </c>
      <c r="I112" s="92"/>
      <c r="J112" s="93"/>
      <c r="K112" s="93"/>
      <c r="L112" s="94"/>
      <c r="M112" s="100"/>
      <c r="N112" s="96"/>
      <c r="O112" s="97"/>
      <c r="P112" s="98"/>
      <c r="Q112" s="101"/>
      <c r="R112" s="78" t="str">
        <f t="shared" si="8"/>
        <v/>
      </c>
    </row>
    <row r="113" spans="2:18" x14ac:dyDescent="0.2">
      <c r="B113" s="2" t="str">
        <f t="shared" si="9"/>
        <v/>
      </c>
      <c r="C113" s="2" t="str">
        <f t="shared" si="10"/>
        <v/>
      </c>
      <c r="D113" s="2" t="str">
        <f t="shared" si="11"/>
        <v>Y</v>
      </c>
      <c r="E113" s="2">
        <f t="shared" si="12"/>
        <v>0</v>
      </c>
      <c r="F113" s="2" t="str">
        <f t="shared" si="13"/>
        <v/>
      </c>
      <c r="H113" s="121" t="s">
        <v>110</v>
      </c>
      <c r="I113" s="92"/>
      <c r="J113" s="93"/>
      <c r="K113" s="93"/>
      <c r="L113" s="94"/>
      <c r="M113" s="100"/>
      <c r="N113" s="96"/>
      <c r="O113" s="97"/>
      <c r="P113" s="98"/>
      <c r="Q113" s="101"/>
      <c r="R113" s="78" t="str">
        <f t="shared" si="8"/>
        <v/>
      </c>
    </row>
    <row r="114" spans="2:18" x14ac:dyDescent="0.2">
      <c r="B114" s="2" t="str">
        <f t="shared" si="9"/>
        <v/>
      </c>
      <c r="C114" s="2" t="str">
        <f t="shared" si="10"/>
        <v/>
      </c>
      <c r="D114" s="2" t="str">
        <f t="shared" si="11"/>
        <v>Y</v>
      </c>
      <c r="E114" s="2">
        <f t="shared" si="12"/>
        <v>0</v>
      </c>
      <c r="F114" s="2" t="str">
        <f t="shared" si="13"/>
        <v/>
      </c>
      <c r="H114" s="121" t="s">
        <v>111</v>
      </c>
      <c r="I114" s="92"/>
      <c r="J114" s="93"/>
      <c r="K114" s="93"/>
      <c r="L114" s="94"/>
      <c r="M114" s="100"/>
      <c r="N114" s="96"/>
      <c r="O114" s="97"/>
      <c r="P114" s="98"/>
      <c r="Q114" s="101"/>
      <c r="R114" s="78" t="str">
        <f t="shared" si="8"/>
        <v/>
      </c>
    </row>
    <row r="115" spans="2:18" x14ac:dyDescent="0.2">
      <c r="B115" s="2" t="str">
        <f t="shared" si="9"/>
        <v/>
      </c>
      <c r="C115" s="2" t="str">
        <f t="shared" si="10"/>
        <v/>
      </c>
      <c r="D115" s="2" t="str">
        <f t="shared" si="11"/>
        <v>Y</v>
      </c>
      <c r="E115" s="2">
        <f t="shared" si="12"/>
        <v>0</v>
      </c>
      <c r="F115" s="2" t="str">
        <f t="shared" si="13"/>
        <v/>
      </c>
      <c r="H115" s="121" t="s">
        <v>112</v>
      </c>
      <c r="I115" s="92"/>
      <c r="J115" s="93"/>
      <c r="K115" s="93"/>
      <c r="L115" s="94"/>
      <c r="M115" s="100"/>
      <c r="N115" s="96"/>
      <c r="O115" s="97"/>
      <c r="P115" s="98"/>
      <c r="Q115" s="101"/>
      <c r="R115" s="78" t="str">
        <f t="shared" si="8"/>
        <v/>
      </c>
    </row>
    <row r="116" spans="2:18" x14ac:dyDescent="0.2">
      <c r="B116" s="2" t="str">
        <f t="shared" si="9"/>
        <v/>
      </c>
      <c r="C116" s="2" t="str">
        <f t="shared" si="10"/>
        <v/>
      </c>
      <c r="D116" s="2" t="str">
        <f t="shared" si="11"/>
        <v>Y</v>
      </c>
      <c r="E116" s="2">
        <f t="shared" si="12"/>
        <v>0</v>
      </c>
      <c r="F116" s="2" t="str">
        <f t="shared" si="13"/>
        <v/>
      </c>
      <c r="H116" s="121" t="s">
        <v>113</v>
      </c>
      <c r="I116" s="92"/>
      <c r="J116" s="93"/>
      <c r="K116" s="93"/>
      <c r="L116" s="94"/>
      <c r="M116" s="100"/>
      <c r="N116" s="96"/>
      <c r="O116" s="97"/>
      <c r="P116" s="98"/>
      <c r="Q116" s="101"/>
      <c r="R116" s="78" t="str">
        <f t="shared" si="8"/>
        <v/>
      </c>
    </row>
    <row r="117" spans="2:18" x14ac:dyDescent="0.2">
      <c r="B117" s="2" t="str">
        <f t="shared" si="9"/>
        <v/>
      </c>
      <c r="C117" s="2" t="str">
        <f t="shared" si="10"/>
        <v/>
      </c>
      <c r="D117" s="2" t="str">
        <f t="shared" si="11"/>
        <v>Y</v>
      </c>
      <c r="E117" s="2">
        <f t="shared" si="12"/>
        <v>0</v>
      </c>
      <c r="F117" s="2" t="str">
        <f t="shared" si="13"/>
        <v/>
      </c>
      <c r="H117" s="121" t="s">
        <v>114</v>
      </c>
      <c r="I117" s="92"/>
      <c r="J117" s="93"/>
      <c r="K117" s="93"/>
      <c r="L117" s="94"/>
      <c r="M117" s="100"/>
      <c r="N117" s="96"/>
      <c r="O117" s="97"/>
      <c r="P117" s="98"/>
      <c r="Q117" s="101"/>
      <c r="R117" s="78" t="str">
        <f t="shared" si="8"/>
        <v/>
      </c>
    </row>
    <row r="118" spans="2:18" x14ac:dyDescent="0.2">
      <c r="B118" s="2" t="str">
        <f t="shared" si="9"/>
        <v/>
      </c>
      <c r="C118" s="2" t="str">
        <f t="shared" si="10"/>
        <v/>
      </c>
      <c r="D118" s="2" t="str">
        <f t="shared" si="11"/>
        <v>Y</v>
      </c>
      <c r="E118" s="2">
        <f t="shared" si="12"/>
        <v>0</v>
      </c>
      <c r="F118" s="2" t="str">
        <f t="shared" si="13"/>
        <v/>
      </c>
      <c r="H118" s="121" t="s">
        <v>115</v>
      </c>
      <c r="I118" s="92"/>
      <c r="J118" s="93"/>
      <c r="K118" s="93"/>
      <c r="L118" s="94"/>
      <c r="M118" s="100"/>
      <c r="N118" s="96"/>
      <c r="O118" s="97"/>
      <c r="P118" s="98"/>
      <c r="Q118" s="101"/>
      <c r="R118" s="78" t="str">
        <f t="shared" si="8"/>
        <v/>
      </c>
    </row>
    <row r="119" spans="2:18" x14ac:dyDescent="0.2">
      <c r="B119" s="2" t="str">
        <f t="shared" si="9"/>
        <v/>
      </c>
      <c r="C119" s="2" t="str">
        <f t="shared" si="10"/>
        <v/>
      </c>
      <c r="D119" s="2" t="str">
        <f t="shared" si="11"/>
        <v>Y</v>
      </c>
      <c r="E119" s="2">
        <f t="shared" si="12"/>
        <v>0</v>
      </c>
      <c r="F119" s="2" t="str">
        <f t="shared" si="13"/>
        <v/>
      </c>
      <c r="H119" s="121" t="s">
        <v>116</v>
      </c>
      <c r="I119" s="92"/>
      <c r="J119" s="93"/>
      <c r="K119" s="93"/>
      <c r="L119" s="94"/>
      <c r="M119" s="100"/>
      <c r="N119" s="96"/>
      <c r="O119" s="97"/>
      <c r="P119" s="98"/>
      <c r="Q119" s="101"/>
      <c r="R119" s="78" t="str">
        <f t="shared" si="8"/>
        <v/>
      </c>
    </row>
    <row r="120" spans="2:18" x14ac:dyDescent="0.2">
      <c r="B120" s="2" t="str">
        <f t="shared" si="9"/>
        <v/>
      </c>
      <c r="C120" s="2" t="str">
        <f t="shared" si="10"/>
        <v/>
      </c>
      <c r="D120" s="2" t="str">
        <f t="shared" si="11"/>
        <v>Y</v>
      </c>
      <c r="E120" s="2">
        <f t="shared" si="12"/>
        <v>0</v>
      </c>
      <c r="F120" s="2" t="str">
        <f t="shared" si="13"/>
        <v/>
      </c>
      <c r="H120" s="121" t="s">
        <v>117</v>
      </c>
      <c r="I120" s="92"/>
      <c r="J120" s="93"/>
      <c r="K120" s="93"/>
      <c r="L120" s="94"/>
      <c r="M120" s="100"/>
      <c r="N120" s="96"/>
      <c r="O120" s="97"/>
      <c r="P120" s="98"/>
      <c r="Q120" s="101"/>
      <c r="R120" s="78" t="str">
        <f t="shared" si="8"/>
        <v/>
      </c>
    </row>
    <row r="121" spans="2:18" x14ac:dyDescent="0.2">
      <c r="B121" s="2" t="str">
        <f t="shared" si="9"/>
        <v/>
      </c>
      <c r="C121" s="2" t="str">
        <f t="shared" si="10"/>
        <v/>
      </c>
      <c r="D121" s="2" t="str">
        <f t="shared" si="11"/>
        <v>Y</v>
      </c>
      <c r="E121" s="2">
        <f t="shared" si="12"/>
        <v>0</v>
      </c>
      <c r="F121" s="2" t="str">
        <f t="shared" si="13"/>
        <v/>
      </c>
      <c r="H121" s="121" t="s">
        <v>118</v>
      </c>
      <c r="I121" s="92"/>
      <c r="J121" s="93"/>
      <c r="K121" s="93"/>
      <c r="L121" s="94"/>
      <c r="M121" s="100"/>
      <c r="N121" s="96"/>
      <c r="O121" s="97"/>
      <c r="P121" s="98"/>
      <c r="Q121" s="101"/>
      <c r="R121" s="78" t="str">
        <f t="shared" si="8"/>
        <v/>
      </c>
    </row>
    <row r="122" spans="2:18" x14ac:dyDescent="0.2">
      <c r="B122" s="2" t="str">
        <f t="shared" si="9"/>
        <v/>
      </c>
      <c r="C122" s="2" t="str">
        <f t="shared" si="10"/>
        <v/>
      </c>
      <c r="D122" s="2" t="str">
        <f t="shared" si="11"/>
        <v>Y</v>
      </c>
      <c r="E122" s="2">
        <f t="shared" si="12"/>
        <v>0</v>
      </c>
      <c r="F122" s="2" t="str">
        <f t="shared" si="13"/>
        <v/>
      </c>
      <c r="H122" s="121" t="s">
        <v>119</v>
      </c>
      <c r="I122" s="92"/>
      <c r="J122" s="93"/>
      <c r="K122" s="93"/>
      <c r="L122" s="94"/>
      <c r="M122" s="100"/>
      <c r="N122" s="96"/>
      <c r="O122" s="97"/>
      <c r="P122" s="98"/>
      <c r="Q122" s="101"/>
      <c r="R122" s="78" t="str">
        <f t="shared" si="8"/>
        <v/>
      </c>
    </row>
    <row r="123" spans="2:18" x14ac:dyDescent="0.2">
      <c r="B123" s="2" t="str">
        <f t="shared" si="9"/>
        <v/>
      </c>
      <c r="C123" s="2" t="str">
        <f t="shared" si="10"/>
        <v/>
      </c>
      <c r="D123" s="2" t="str">
        <f t="shared" si="11"/>
        <v>Y</v>
      </c>
      <c r="E123" s="2">
        <f t="shared" si="12"/>
        <v>0</v>
      </c>
      <c r="F123" s="2" t="str">
        <f t="shared" si="13"/>
        <v/>
      </c>
      <c r="H123" s="121" t="s">
        <v>120</v>
      </c>
      <c r="I123" s="92"/>
      <c r="J123" s="93"/>
      <c r="K123" s="93"/>
      <c r="L123" s="94"/>
      <c r="M123" s="100"/>
      <c r="N123" s="96"/>
      <c r="O123" s="97"/>
      <c r="P123" s="98"/>
      <c r="Q123" s="101"/>
      <c r="R123" s="78" t="str">
        <f t="shared" si="8"/>
        <v/>
      </c>
    </row>
    <row r="124" spans="2:18" x14ac:dyDescent="0.2">
      <c r="B124" s="2" t="str">
        <f t="shared" si="9"/>
        <v/>
      </c>
      <c r="C124" s="2" t="str">
        <f t="shared" si="10"/>
        <v/>
      </c>
      <c r="D124" s="2" t="str">
        <f t="shared" si="11"/>
        <v>Y</v>
      </c>
      <c r="E124" s="2">
        <f t="shared" si="12"/>
        <v>0</v>
      </c>
      <c r="F124" s="2" t="str">
        <f t="shared" si="13"/>
        <v/>
      </c>
      <c r="H124" s="121" t="s">
        <v>121</v>
      </c>
      <c r="I124" s="92"/>
      <c r="J124" s="93"/>
      <c r="K124" s="93"/>
      <c r="L124" s="94"/>
      <c r="M124" s="100"/>
      <c r="N124" s="96"/>
      <c r="O124" s="97"/>
      <c r="P124" s="98"/>
      <c r="Q124" s="101"/>
      <c r="R124" s="78" t="str">
        <f t="shared" si="8"/>
        <v/>
      </c>
    </row>
    <row r="125" spans="2:18" x14ac:dyDescent="0.2">
      <c r="B125" s="2" t="str">
        <f t="shared" si="9"/>
        <v/>
      </c>
      <c r="C125" s="2" t="str">
        <f t="shared" si="10"/>
        <v/>
      </c>
      <c r="D125" s="2" t="str">
        <f t="shared" si="11"/>
        <v>Y</v>
      </c>
      <c r="E125" s="2">
        <f t="shared" si="12"/>
        <v>0</v>
      </c>
      <c r="F125" s="2" t="str">
        <f t="shared" si="13"/>
        <v/>
      </c>
      <c r="H125" s="121" t="s">
        <v>122</v>
      </c>
      <c r="I125" s="92"/>
      <c r="J125" s="93"/>
      <c r="K125" s="93"/>
      <c r="L125" s="94"/>
      <c r="M125" s="100"/>
      <c r="N125" s="96"/>
      <c r="O125" s="97"/>
      <c r="P125" s="98"/>
      <c r="Q125" s="101"/>
      <c r="R125" s="78" t="str">
        <f t="shared" si="8"/>
        <v/>
      </c>
    </row>
    <row r="126" spans="2:18" x14ac:dyDescent="0.2">
      <c r="B126" s="2" t="str">
        <f t="shared" si="9"/>
        <v/>
      </c>
      <c r="C126" s="2" t="str">
        <f t="shared" si="10"/>
        <v/>
      </c>
      <c r="D126" s="2" t="str">
        <f t="shared" si="11"/>
        <v>Y</v>
      </c>
      <c r="E126" s="2">
        <f t="shared" si="12"/>
        <v>0</v>
      </c>
      <c r="F126" s="2" t="str">
        <f t="shared" si="13"/>
        <v/>
      </c>
      <c r="H126" s="121" t="s">
        <v>123</v>
      </c>
      <c r="I126" s="92"/>
      <c r="J126" s="93"/>
      <c r="K126" s="93"/>
      <c r="L126" s="94"/>
      <c r="M126" s="100"/>
      <c r="N126" s="96"/>
      <c r="O126" s="97"/>
      <c r="P126" s="98"/>
      <c r="Q126" s="101"/>
      <c r="R126" s="78" t="str">
        <f t="shared" si="8"/>
        <v/>
      </c>
    </row>
    <row r="127" spans="2:18" x14ac:dyDescent="0.2">
      <c r="B127" s="2" t="str">
        <f t="shared" si="9"/>
        <v/>
      </c>
      <c r="C127" s="2" t="str">
        <f t="shared" si="10"/>
        <v/>
      </c>
      <c r="D127" s="2" t="str">
        <f t="shared" si="11"/>
        <v>Y</v>
      </c>
      <c r="E127" s="2">
        <f t="shared" si="12"/>
        <v>0</v>
      </c>
      <c r="F127" s="2" t="str">
        <f t="shared" si="13"/>
        <v/>
      </c>
      <c r="H127" s="121" t="s">
        <v>124</v>
      </c>
      <c r="I127" s="92"/>
      <c r="J127" s="93"/>
      <c r="K127" s="93"/>
      <c r="L127" s="94"/>
      <c r="M127" s="100"/>
      <c r="N127" s="96"/>
      <c r="O127" s="97"/>
      <c r="P127" s="98"/>
      <c r="Q127" s="101"/>
      <c r="R127" s="78" t="str">
        <f t="shared" si="8"/>
        <v/>
      </c>
    </row>
    <row r="128" spans="2:18" x14ac:dyDescent="0.2">
      <c r="B128" s="2" t="str">
        <f t="shared" si="9"/>
        <v/>
      </c>
      <c r="C128" s="2" t="str">
        <f t="shared" si="10"/>
        <v/>
      </c>
      <c r="D128" s="2" t="str">
        <f t="shared" si="11"/>
        <v>Y</v>
      </c>
      <c r="E128" s="2">
        <f t="shared" si="12"/>
        <v>0</v>
      </c>
      <c r="F128" s="2" t="str">
        <f t="shared" si="13"/>
        <v/>
      </c>
      <c r="H128" s="121" t="s">
        <v>125</v>
      </c>
      <c r="I128" s="92"/>
      <c r="J128" s="93"/>
      <c r="K128" s="93"/>
      <c r="L128" s="94"/>
      <c r="M128" s="100"/>
      <c r="N128" s="96"/>
      <c r="O128" s="97"/>
      <c r="P128" s="98"/>
      <c r="Q128" s="101"/>
      <c r="R128" s="78" t="str">
        <f t="shared" si="8"/>
        <v/>
      </c>
    </row>
    <row r="129" spans="2:18" x14ac:dyDescent="0.2">
      <c r="B129" s="2" t="str">
        <f t="shared" si="9"/>
        <v/>
      </c>
      <c r="C129" s="2" t="str">
        <f t="shared" si="10"/>
        <v/>
      </c>
      <c r="D129" s="2" t="str">
        <f t="shared" si="11"/>
        <v>Y</v>
      </c>
      <c r="E129" s="2">
        <f t="shared" si="12"/>
        <v>0</v>
      </c>
      <c r="F129" s="2" t="str">
        <f t="shared" si="13"/>
        <v/>
      </c>
      <c r="H129" s="121" t="s">
        <v>126</v>
      </c>
      <c r="I129" s="92"/>
      <c r="J129" s="93"/>
      <c r="K129" s="93"/>
      <c r="L129" s="94"/>
      <c r="M129" s="100"/>
      <c r="N129" s="96"/>
      <c r="O129" s="97"/>
      <c r="P129" s="98"/>
      <c r="Q129" s="101"/>
      <c r="R129" s="78" t="str">
        <f t="shared" si="8"/>
        <v/>
      </c>
    </row>
    <row r="130" spans="2:18" x14ac:dyDescent="0.2">
      <c r="B130" s="2" t="str">
        <f t="shared" si="9"/>
        <v/>
      </c>
      <c r="C130" s="2" t="str">
        <f t="shared" si="10"/>
        <v/>
      </c>
      <c r="D130" s="2" t="str">
        <f t="shared" si="11"/>
        <v>Y</v>
      </c>
      <c r="E130" s="2">
        <f t="shared" si="12"/>
        <v>0</v>
      </c>
      <c r="F130" s="2" t="str">
        <f t="shared" si="13"/>
        <v/>
      </c>
      <c r="H130" s="121" t="s">
        <v>127</v>
      </c>
      <c r="I130" s="92"/>
      <c r="J130" s="93"/>
      <c r="K130" s="93"/>
      <c r="L130" s="94"/>
      <c r="M130" s="100"/>
      <c r="N130" s="96"/>
      <c r="O130" s="97"/>
      <c r="P130" s="98"/>
      <c r="Q130" s="101"/>
      <c r="R130" s="78" t="str">
        <f t="shared" si="8"/>
        <v/>
      </c>
    </row>
    <row r="131" spans="2:18" x14ac:dyDescent="0.2">
      <c r="B131" s="2" t="str">
        <f t="shared" si="9"/>
        <v/>
      </c>
      <c r="C131" s="2" t="str">
        <f t="shared" si="10"/>
        <v/>
      </c>
      <c r="D131" s="2" t="str">
        <f t="shared" si="11"/>
        <v>Y</v>
      </c>
      <c r="E131" s="2">
        <f t="shared" si="12"/>
        <v>0</v>
      </c>
      <c r="F131" s="2" t="str">
        <f t="shared" si="13"/>
        <v/>
      </c>
      <c r="H131" s="121" t="s">
        <v>128</v>
      </c>
      <c r="I131" s="92"/>
      <c r="J131" s="93"/>
      <c r="K131" s="93"/>
      <c r="L131" s="94"/>
      <c r="M131" s="100"/>
      <c r="N131" s="96"/>
      <c r="O131" s="97"/>
      <c r="P131" s="98"/>
      <c r="Q131" s="101"/>
      <c r="R131" s="78" t="str">
        <f t="shared" si="8"/>
        <v/>
      </c>
    </row>
    <row r="132" spans="2:18" x14ac:dyDescent="0.2">
      <c r="B132" s="2" t="str">
        <f t="shared" si="9"/>
        <v/>
      </c>
      <c r="C132" s="2" t="str">
        <f t="shared" si="10"/>
        <v/>
      </c>
      <c r="D132" s="2" t="str">
        <f t="shared" si="11"/>
        <v>Y</v>
      </c>
      <c r="E132" s="2">
        <f t="shared" si="12"/>
        <v>0</v>
      </c>
      <c r="F132" s="2" t="str">
        <f t="shared" si="13"/>
        <v/>
      </c>
      <c r="H132" s="121" t="s">
        <v>129</v>
      </c>
      <c r="I132" s="92"/>
      <c r="J132" s="93"/>
      <c r="K132" s="93"/>
      <c r="L132" s="94"/>
      <c r="M132" s="100"/>
      <c r="N132" s="96"/>
      <c r="O132" s="97"/>
      <c r="P132" s="98"/>
      <c r="Q132" s="101"/>
      <c r="R132" s="78" t="str">
        <f t="shared" si="8"/>
        <v/>
      </c>
    </row>
    <row r="133" spans="2:18" x14ac:dyDescent="0.2">
      <c r="B133" s="2" t="str">
        <f t="shared" si="9"/>
        <v/>
      </c>
      <c r="C133" s="2" t="str">
        <f t="shared" si="10"/>
        <v/>
      </c>
      <c r="D133" s="2" t="str">
        <f t="shared" si="11"/>
        <v>Y</v>
      </c>
      <c r="E133" s="2">
        <f t="shared" si="12"/>
        <v>0</v>
      </c>
      <c r="F133" s="2" t="str">
        <f t="shared" si="13"/>
        <v/>
      </c>
      <c r="H133" s="121" t="s">
        <v>130</v>
      </c>
      <c r="I133" s="92"/>
      <c r="J133" s="93"/>
      <c r="K133" s="93"/>
      <c r="L133" s="94"/>
      <c r="M133" s="100"/>
      <c r="N133" s="96"/>
      <c r="O133" s="97"/>
      <c r="P133" s="98"/>
      <c r="Q133" s="101"/>
      <c r="R133" s="78" t="str">
        <f t="shared" si="8"/>
        <v/>
      </c>
    </row>
    <row r="134" spans="2:18" x14ac:dyDescent="0.2">
      <c r="B134" s="2" t="str">
        <f t="shared" si="9"/>
        <v/>
      </c>
      <c r="C134" s="2" t="str">
        <f t="shared" si="10"/>
        <v/>
      </c>
      <c r="D134" s="2" t="str">
        <f t="shared" si="11"/>
        <v>Y</v>
      </c>
      <c r="E134" s="2">
        <f t="shared" si="12"/>
        <v>0</v>
      </c>
      <c r="F134" s="2" t="str">
        <f t="shared" si="13"/>
        <v/>
      </c>
      <c r="H134" s="121" t="s">
        <v>131</v>
      </c>
      <c r="I134" s="92"/>
      <c r="J134" s="93"/>
      <c r="K134" s="93"/>
      <c r="L134" s="94"/>
      <c r="M134" s="100"/>
      <c r="N134" s="96"/>
      <c r="O134" s="97"/>
      <c r="P134" s="98"/>
      <c r="Q134" s="101"/>
      <c r="R134" s="78" t="str">
        <f t="shared" si="8"/>
        <v/>
      </c>
    </row>
    <row r="135" spans="2:18" x14ac:dyDescent="0.2">
      <c r="B135" s="2" t="str">
        <f t="shared" si="9"/>
        <v/>
      </c>
      <c r="C135" s="2" t="str">
        <f t="shared" si="10"/>
        <v/>
      </c>
      <c r="D135" s="2" t="str">
        <f t="shared" si="11"/>
        <v>Y</v>
      </c>
      <c r="E135" s="2">
        <f t="shared" si="12"/>
        <v>0</v>
      </c>
      <c r="F135" s="2" t="str">
        <f t="shared" si="13"/>
        <v/>
      </c>
      <c r="H135" s="121" t="s">
        <v>132</v>
      </c>
      <c r="I135" s="92"/>
      <c r="J135" s="93"/>
      <c r="K135" s="93"/>
      <c r="L135" s="94"/>
      <c r="M135" s="100"/>
      <c r="N135" s="96"/>
      <c r="O135" s="97"/>
      <c r="P135" s="98"/>
      <c r="Q135" s="101"/>
      <c r="R135" s="78" t="str">
        <f t="shared" si="8"/>
        <v/>
      </c>
    </row>
    <row r="136" spans="2:18" x14ac:dyDescent="0.2">
      <c r="B136" s="2" t="str">
        <f t="shared" si="9"/>
        <v/>
      </c>
      <c r="C136" s="2" t="str">
        <f t="shared" si="10"/>
        <v/>
      </c>
      <c r="D136" s="2" t="str">
        <f t="shared" si="11"/>
        <v>Y</v>
      </c>
      <c r="E136" s="2">
        <f t="shared" si="12"/>
        <v>0</v>
      </c>
      <c r="F136" s="2" t="str">
        <f t="shared" si="13"/>
        <v/>
      </c>
      <c r="H136" s="121" t="s">
        <v>133</v>
      </c>
      <c r="I136" s="92"/>
      <c r="J136" s="93"/>
      <c r="K136" s="93"/>
      <c r="L136" s="94"/>
      <c r="M136" s="100"/>
      <c r="N136" s="96"/>
      <c r="O136" s="97"/>
      <c r="P136" s="98"/>
      <c r="Q136" s="101"/>
      <c r="R136" s="78" t="str">
        <f t="shared" si="8"/>
        <v/>
      </c>
    </row>
    <row r="137" spans="2:18" x14ac:dyDescent="0.2">
      <c r="B137" s="2" t="str">
        <f t="shared" si="9"/>
        <v/>
      </c>
      <c r="C137" s="2" t="str">
        <f t="shared" si="10"/>
        <v/>
      </c>
      <c r="D137" s="2" t="str">
        <f t="shared" si="11"/>
        <v>Y</v>
      </c>
      <c r="E137" s="2">
        <f t="shared" si="12"/>
        <v>0</v>
      </c>
      <c r="F137" s="2" t="str">
        <f t="shared" si="13"/>
        <v/>
      </c>
      <c r="H137" s="121" t="s">
        <v>134</v>
      </c>
      <c r="I137" s="92"/>
      <c r="J137" s="93"/>
      <c r="K137" s="93"/>
      <c r="L137" s="94"/>
      <c r="M137" s="100"/>
      <c r="N137" s="96"/>
      <c r="O137" s="97"/>
      <c r="P137" s="98"/>
      <c r="Q137" s="101"/>
      <c r="R137" s="78" t="str">
        <f t="shared" si="8"/>
        <v/>
      </c>
    </row>
    <row r="138" spans="2:18" x14ac:dyDescent="0.2">
      <c r="B138" s="2" t="str">
        <f t="shared" si="9"/>
        <v/>
      </c>
      <c r="C138" s="2" t="str">
        <f t="shared" si="10"/>
        <v/>
      </c>
      <c r="D138" s="2" t="str">
        <f t="shared" si="11"/>
        <v>Y</v>
      </c>
      <c r="E138" s="2">
        <f t="shared" si="12"/>
        <v>0</v>
      </c>
      <c r="F138" s="2" t="str">
        <f t="shared" si="13"/>
        <v/>
      </c>
      <c r="H138" s="121" t="s">
        <v>135</v>
      </c>
      <c r="I138" s="92"/>
      <c r="J138" s="93"/>
      <c r="K138" s="93"/>
      <c r="L138" s="94"/>
      <c r="M138" s="100"/>
      <c r="N138" s="96"/>
      <c r="O138" s="97"/>
      <c r="P138" s="98"/>
      <c r="Q138" s="101"/>
      <c r="R138" s="78" t="str">
        <f t="shared" si="8"/>
        <v/>
      </c>
    </row>
    <row r="139" spans="2:18" x14ac:dyDescent="0.2">
      <c r="B139" s="2" t="str">
        <f t="shared" si="9"/>
        <v/>
      </c>
      <c r="C139" s="2" t="str">
        <f t="shared" si="10"/>
        <v/>
      </c>
      <c r="D139" s="2" t="str">
        <f t="shared" si="11"/>
        <v>Y</v>
      </c>
      <c r="E139" s="2">
        <f t="shared" si="12"/>
        <v>0</v>
      </c>
      <c r="F139" s="2" t="str">
        <f t="shared" si="13"/>
        <v/>
      </c>
      <c r="H139" s="121" t="s">
        <v>136</v>
      </c>
      <c r="I139" s="92"/>
      <c r="J139" s="93"/>
      <c r="K139" s="93"/>
      <c r="L139" s="94"/>
      <c r="M139" s="100"/>
      <c r="N139" s="96"/>
      <c r="O139" s="97"/>
      <c r="P139" s="98"/>
      <c r="Q139" s="101"/>
      <c r="R139" s="78" t="str">
        <f t="shared" ref="R139:R202" si="14">IF(ISERROR(VLOOKUP(K139,LB_PROJECTS,2,FALSE)),"",VLOOKUP(K139,LB_PROJECTS,2,FALSE))</f>
        <v/>
      </c>
    </row>
    <row r="140" spans="2:18" x14ac:dyDescent="0.2">
      <c r="B140" s="2" t="str">
        <f t="shared" ref="B140:B203" si="15">IF(M140="","",IF(WEEKNUM(M140)&lt;10,VALUE(CONCATENATE(YEAR(M140),"0",WEEKNUM(M140))),VALUE(CONCATENATE(YEAR(M140),WEEKNUM(M140)))))</f>
        <v/>
      </c>
      <c r="C140" s="2" t="str">
        <f t="shared" ref="C140:C203" si="16">IF(P140="","",IF(WEEKNUM(P140)&lt;10,VALUE(CONCATENATE(YEAR(P140),"0",WEEKNUM(P140))),VALUE(CONCATENATE(YEAR(P140),WEEKNUM(P140)))))</f>
        <v/>
      </c>
      <c r="D140" s="2" t="str">
        <f t="shared" ref="D140:D203" si="17">IF(OR(O140="Not started",O140="In progress"),"N",IF(OR(O140="N/A",O140="Suspended",O140="Canceled"),"","Y"))</f>
        <v>Y</v>
      </c>
      <c r="E140" s="2">
        <f t="shared" ref="E140:E203" si="18">IF(OR(O140="Not started",O140="In progress",O140="Applied",O140="Closed"),1,0)</f>
        <v>0</v>
      </c>
      <c r="F140" s="2" t="str">
        <f t="shared" si="13"/>
        <v/>
      </c>
      <c r="H140" s="121" t="s">
        <v>137</v>
      </c>
      <c r="I140" s="92"/>
      <c r="J140" s="93"/>
      <c r="K140" s="93"/>
      <c r="L140" s="94"/>
      <c r="M140" s="100"/>
      <c r="N140" s="96"/>
      <c r="O140" s="97"/>
      <c r="P140" s="98"/>
      <c r="Q140" s="101"/>
      <c r="R140" s="78" t="str">
        <f t="shared" si="14"/>
        <v/>
      </c>
    </row>
    <row r="141" spans="2:18" x14ac:dyDescent="0.2">
      <c r="B141" s="2" t="str">
        <f t="shared" si="15"/>
        <v/>
      </c>
      <c r="C141" s="2" t="str">
        <f t="shared" si="16"/>
        <v/>
      </c>
      <c r="D141" s="2" t="str">
        <f t="shared" si="17"/>
        <v>Y</v>
      </c>
      <c r="E141" s="2">
        <f t="shared" si="18"/>
        <v>0</v>
      </c>
      <c r="F141" s="2" t="str">
        <f t="shared" si="13"/>
        <v/>
      </c>
      <c r="H141" s="121" t="s">
        <v>138</v>
      </c>
      <c r="I141" s="92"/>
      <c r="J141" s="93"/>
      <c r="K141" s="93"/>
      <c r="L141" s="94"/>
      <c r="M141" s="100"/>
      <c r="N141" s="96"/>
      <c r="O141" s="97"/>
      <c r="P141" s="98"/>
      <c r="Q141" s="101"/>
      <c r="R141" s="78" t="str">
        <f t="shared" si="14"/>
        <v/>
      </c>
    </row>
    <row r="142" spans="2:18" x14ac:dyDescent="0.2">
      <c r="B142" s="2" t="str">
        <f t="shared" si="15"/>
        <v/>
      </c>
      <c r="C142" s="2" t="str">
        <f t="shared" si="16"/>
        <v/>
      </c>
      <c r="D142" s="2" t="str">
        <f t="shared" si="17"/>
        <v>Y</v>
      </c>
      <c r="E142" s="2">
        <f t="shared" si="18"/>
        <v>0</v>
      </c>
      <c r="F142" s="2" t="str">
        <f t="shared" ref="F142:F205" si="19">IF(N142="",B142,IF(WEEKNUM(N142)&lt;10,VALUE(CONCATENATE(YEAR(N142),"0",WEEKNUM(N142))),VALUE(CONCATENATE(YEAR(N142),WEEKNUM(N142)))))</f>
        <v/>
      </c>
      <c r="H142" s="121" t="s">
        <v>139</v>
      </c>
      <c r="I142" s="92"/>
      <c r="J142" s="93"/>
      <c r="K142" s="93"/>
      <c r="L142" s="94"/>
      <c r="M142" s="100"/>
      <c r="N142" s="96"/>
      <c r="O142" s="97"/>
      <c r="P142" s="98"/>
      <c r="Q142" s="101"/>
      <c r="R142" s="78" t="str">
        <f t="shared" si="14"/>
        <v/>
      </c>
    </row>
    <row r="143" spans="2:18" x14ac:dyDescent="0.2">
      <c r="B143" s="2" t="str">
        <f t="shared" si="15"/>
        <v/>
      </c>
      <c r="C143" s="2" t="str">
        <f t="shared" si="16"/>
        <v/>
      </c>
      <c r="D143" s="2" t="str">
        <f t="shared" si="17"/>
        <v>Y</v>
      </c>
      <c r="E143" s="2">
        <f t="shared" si="18"/>
        <v>0</v>
      </c>
      <c r="F143" s="2" t="str">
        <f t="shared" si="19"/>
        <v/>
      </c>
      <c r="H143" s="121" t="s">
        <v>140</v>
      </c>
      <c r="I143" s="92"/>
      <c r="J143" s="93"/>
      <c r="K143" s="93"/>
      <c r="L143" s="94"/>
      <c r="M143" s="100"/>
      <c r="N143" s="96"/>
      <c r="O143" s="97"/>
      <c r="P143" s="98"/>
      <c r="Q143" s="101"/>
      <c r="R143" s="78" t="str">
        <f t="shared" si="14"/>
        <v/>
      </c>
    </row>
    <row r="144" spans="2:18" x14ac:dyDescent="0.2">
      <c r="B144" s="2" t="str">
        <f t="shared" si="15"/>
        <v/>
      </c>
      <c r="C144" s="2" t="str">
        <f t="shared" si="16"/>
        <v/>
      </c>
      <c r="D144" s="2" t="str">
        <f t="shared" si="17"/>
        <v>Y</v>
      </c>
      <c r="E144" s="2">
        <f t="shared" si="18"/>
        <v>0</v>
      </c>
      <c r="F144" s="2" t="str">
        <f t="shared" si="19"/>
        <v/>
      </c>
      <c r="H144" s="121" t="s">
        <v>141</v>
      </c>
      <c r="I144" s="92"/>
      <c r="J144" s="93"/>
      <c r="K144" s="93"/>
      <c r="L144" s="94"/>
      <c r="M144" s="100"/>
      <c r="N144" s="96"/>
      <c r="O144" s="97"/>
      <c r="P144" s="98"/>
      <c r="Q144" s="101"/>
      <c r="R144" s="78" t="str">
        <f t="shared" si="14"/>
        <v/>
      </c>
    </row>
    <row r="145" spans="2:18" x14ac:dyDescent="0.2">
      <c r="B145" s="2" t="str">
        <f t="shared" si="15"/>
        <v/>
      </c>
      <c r="C145" s="2" t="str">
        <f t="shared" si="16"/>
        <v/>
      </c>
      <c r="D145" s="2" t="str">
        <f t="shared" si="17"/>
        <v>Y</v>
      </c>
      <c r="E145" s="2">
        <f t="shared" si="18"/>
        <v>0</v>
      </c>
      <c r="F145" s="2" t="str">
        <f t="shared" si="19"/>
        <v/>
      </c>
      <c r="H145" s="121" t="s">
        <v>142</v>
      </c>
      <c r="I145" s="92"/>
      <c r="J145" s="93"/>
      <c r="K145" s="93"/>
      <c r="L145" s="94"/>
      <c r="M145" s="100"/>
      <c r="N145" s="96"/>
      <c r="O145" s="97"/>
      <c r="P145" s="98"/>
      <c r="Q145" s="101"/>
      <c r="R145" s="78" t="str">
        <f t="shared" si="14"/>
        <v/>
      </c>
    </row>
    <row r="146" spans="2:18" x14ac:dyDescent="0.2">
      <c r="B146" s="2" t="str">
        <f t="shared" si="15"/>
        <v/>
      </c>
      <c r="C146" s="2" t="str">
        <f t="shared" si="16"/>
        <v/>
      </c>
      <c r="D146" s="2" t="str">
        <f t="shared" si="17"/>
        <v>Y</v>
      </c>
      <c r="E146" s="2">
        <f t="shared" si="18"/>
        <v>0</v>
      </c>
      <c r="F146" s="2" t="str">
        <f t="shared" si="19"/>
        <v/>
      </c>
      <c r="H146" s="121" t="s">
        <v>143</v>
      </c>
      <c r="I146" s="92"/>
      <c r="J146" s="93"/>
      <c r="K146" s="93"/>
      <c r="L146" s="94"/>
      <c r="M146" s="100"/>
      <c r="N146" s="96"/>
      <c r="O146" s="97"/>
      <c r="P146" s="98"/>
      <c r="Q146" s="101"/>
      <c r="R146" s="78" t="str">
        <f t="shared" si="14"/>
        <v/>
      </c>
    </row>
    <row r="147" spans="2:18" x14ac:dyDescent="0.2">
      <c r="B147" s="2" t="str">
        <f t="shared" si="15"/>
        <v/>
      </c>
      <c r="C147" s="2" t="str">
        <f t="shared" si="16"/>
        <v/>
      </c>
      <c r="D147" s="2" t="str">
        <f t="shared" si="17"/>
        <v>Y</v>
      </c>
      <c r="E147" s="2">
        <f t="shared" si="18"/>
        <v>0</v>
      </c>
      <c r="F147" s="2" t="str">
        <f t="shared" si="19"/>
        <v/>
      </c>
      <c r="H147" s="121" t="s">
        <v>144</v>
      </c>
      <c r="I147" s="92"/>
      <c r="J147" s="93"/>
      <c r="K147" s="93"/>
      <c r="L147" s="94"/>
      <c r="M147" s="100"/>
      <c r="N147" s="96"/>
      <c r="O147" s="97"/>
      <c r="P147" s="98"/>
      <c r="Q147" s="101"/>
      <c r="R147" s="78" t="str">
        <f t="shared" si="14"/>
        <v/>
      </c>
    </row>
    <row r="148" spans="2:18" x14ac:dyDescent="0.2">
      <c r="B148" s="2" t="str">
        <f t="shared" si="15"/>
        <v/>
      </c>
      <c r="C148" s="2" t="str">
        <f t="shared" si="16"/>
        <v/>
      </c>
      <c r="D148" s="2" t="str">
        <f t="shared" si="17"/>
        <v>Y</v>
      </c>
      <c r="E148" s="2">
        <f t="shared" si="18"/>
        <v>0</v>
      </c>
      <c r="F148" s="2" t="str">
        <f t="shared" si="19"/>
        <v/>
      </c>
      <c r="H148" s="121" t="s">
        <v>145</v>
      </c>
      <c r="I148" s="92"/>
      <c r="J148" s="93"/>
      <c r="K148" s="93"/>
      <c r="L148" s="94"/>
      <c r="M148" s="100"/>
      <c r="N148" s="96"/>
      <c r="O148" s="97"/>
      <c r="P148" s="98"/>
      <c r="Q148" s="101"/>
      <c r="R148" s="78" t="str">
        <f t="shared" si="14"/>
        <v/>
      </c>
    </row>
    <row r="149" spans="2:18" x14ac:dyDescent="0.2">
      <c r="B149" s="2" t="str">
        <f t="shared" si="15"/>
        <v/>
      </c>
      <c r="C149" s="2" t="str">
        <f t="shared" si="16"/>
        <v/>
      </c>
      <c r="D149" s="2" t="str">
        <f t="shared" si="17"/>
        <v>Y</v>
      </c>
      <c r="E149" s="2">
        <f t="shared" si="18"/>
        <v>0</v>
      </c>
      <c r="F149" s="2" t="str">
        <f t="shared" si="19"/>
        <v/>
      </c>
      <c r="H149" s="121" t="s">
        <v>146</v>
      </c>
      <c r="I149" s="92"/>
      <c r="J149" s="93"/>
      <c r="K149" s="93"/>
      <c r="L149" s="94"/>
      <c r="M149" s="100"/>
      <c r="N149" s="96"/>
      <c r="O149" s="97"/>
      <c r="P149" s="98"/>
      <c r="Q149" s="101"/>
      <c r="R149" s="78" t="str">
        <f t="shared" si="14"/>
        <v/>
      </c>
    </row>
    <row r="150" spans="2:18" x14ac:dyDescent="0.2">
      <c r="B150" s="2" t="str">
        <f t="shared" si="15"/>
        <v/>
      </c>
      <c r="C150" s="2" t="str">
        <f t="shared" si="16"/>
        <v/>
      </c>
      <c r="D150" s="2" t="str">
        <f t="shared" si="17"/>
        <v>Y</v>
      </c>
      <c r="E150" s="2">
        <f t="shared" si="18"/>
        <v>0</v>
      </c>
      <c r="F150" s="2" t="str">
        <f t="shared" si="19"/>
        <v/>
      </c>
      <c r="H150" s="121" t="s">
        <v>147</v>
      </c>
      <c r="I150" s="92"/>
      <c r="J150" s="93"/>
      <c r="K150" s="93"/>
      <c r="L150" s="94"/>
      <c r="M150" s="100"/>
      <c r="N150" s="96"/>
      <c r="O150" s="97"/>
      <c r="P150" s="98"/>
      <c r="Q150" s="101"/>
      <c r="R150" s="78" t="str">
        <f t="shared" si="14"/>
        <v/>
      </c>
    </row>
    <row r="151" spans="2:18" x14ac:dyDescent="0.2">
      <c r="B151" s="2" t="str">
        <f t="shared" si="15"/>
        <v/>
      </c>
      <c r="C151" s="2" t="str">
        <f t="shared" si="16"/>
        <v/>
      </c>
      <c r="D151" s="2" t="str">
        <f t="shared" si="17"/>
        <v>Y</v>
      </c>
      <c r="E151" s="2">
        <f t="shared" si="18"/>
        <v>0</v>
      </c>
      <c r="F151" s="2" t="str">
        <f t="shared" si="19"/>
        <v/>
      </c>
      <c r="H151" s="121" t="s">
        <v>148</v>
      </c>
      <c r="I151" s="92"/>
      <c r="J151" s="93"/>
      <c r="K151" s="93"/>
      <c r="L151" s="94"/>
      <c r="M151" s="100"/>
      <c r="N151" s="96"/>
      <c r="O151" s="97"/>
      <c r="P151" s="98"/>
      <c r="Q151" s="101"/>
      <c r="R151" s="78" t="str">
        <f t="shared" si="14"/>
        <v/>
      </c>
    </row>
    <row r="152" spans="2:18" x14ac:dyDescent="0.2">
      <c r="B152" s="2" t="str">
        <f t="shared" si="15"/>
        <v/>
      </c>
      <c r="C152" s="2" t="str">
        <f t="shared" si="16"/>
        <v/>
      </c>
      <c r="D152" s="2" t="str">
        <f t="shared" si="17"/>
        <v>Y</v>
      </c>
      <c r="E152" s="2">
        <f t="shared" si="18"/>
        <v>0</v>
      </c>
      <c r="F152" s="2" t="str">
        <f t="shared" si="19"/>
        <v/>
      </c>
      <c r="H152" s="121" t="s">
        <v>149</v>
      </c>
      <c r="I152" s="92"/>
      <c r="J152" s="93"/>
      <c r="K152" s="93"/>
      <c r="L152" s="94"/>
      <c r="M152" s="100"/>
      <c r="N152" s="96"/>
      <c r="O152" s="97"/>
      <c r="P152" s="98"/>
      <c r="Q152" s="101"/>
      <c r="R152" s="78" t="str">
        <f t="shared" si="14"/>
        <v/>
      </c>
    </row>
    <row r="153" spans="2:18" x14ac:dyDescent="0.2">
      <c r="B153" s="2" t="str">
        <f t="shared" si="15"/>
        <v/>
      </c>
      <c r="C153" s="2" t="str">
        <f t="shared" si="16"/>
        <v/>
      </c>
      <c r="D153" s="2" t="str">
        <f t="shared" si="17"/>
        <v>Y</v>
      </c>
      <c r="E153" s="2">
        <f t="shared" si="18"/>
        <v>0</v>
      </c>
      <c r="F153" s="2" t="str">
        <f t="shared" si="19"/>
        <v/>
      </c>
      <c r="H153" s="121" t="s">
        <v>150</v>
      </c>
      <c r="I153" s="92"/>
      <c r="J153" s="93"/>
      <c r="K153" s="93"/>
      <c r="L153" s="94"/>
      <c r="M153" s="100"/>
      <c r="N153" s="96"/>
      <c r="O153" s="97"/>
      <c r="P153" s="98"/>
      <c r="Q153" s="101"/>
      <c r="R153" s="78" t="str">
        <f t="shared" si="14"/>
        <v/>
      </c>
    </row>
    <row r="154" spans="2:18" x14ac:dyDescent="0.2">
      <c r="B154" s="2" t="str">
        <f t="shared" si="15"/>
        <v/>
      </c>
      <c r="C154" s="2" t="str">
        <f t="shared" si="16"/>
        <v/>
      </c>
      <c r="D154" s="2" t="str">
        <f t="shared" si="17"/>
        <v>Y</v>
      </c>
      <c r="E154" s="2">
        <f t="shared" si="18"/>
        <v>0</v>
      </c>
      <c r="F154" s="2" t="str">
        <f t="shared" si="19"/>
        <v/>
      </c>
      <c r="H154" s="121" t="s">
        <v>151</v>
      </c>
      <c r="I154" s="92"/>
      <c r="J154" s="93"/>
      <c r="K154" s="93"/>
      <c r="L154" s="94"/>
      <c r="M154" s="100"/>
      <c r="N154" s="96"/>
      <c r="O154" s="97"/>
      <c r="P154" s="98"/>
      <c r="Q154" s="101"/>
      <c r="R154" s="78" t="str">
        <f t="shared" si="14"/>
        <v/>
      </c>
    </row>
    <row r="155" spans="2:18" x14ac:dyDescent="0.2">
      <c r="B155" s="2" t="str">
        <f t="shared" si="15"/>
        <v/>
      </c>
      <c r="C155" s="2" t="str">
        <f t="shared" si="16"/>
        <v/>
      </c>
      <c r="D155" s="2" t="str">
        <f t="shared" si="17"/>
        <v>Y</v>
      </c>
      <c r="E155" s="2">
        <f t="shared" si="18"/>
        <v>0</v>
      </c>
      <c r="F155" s="2" t="str">
        <f t="shared" si="19"/>
        <v/>
      </c>
      <c r="H155" s="121" t="s">
        <v>152</v>
      </c>
      <c r="I155" s="92"/>
      <c r="J155" s="93"/>
      <c r="K155" s="93"/>
      <c r="L155" s="94"/>
      <c r="M155" s="100"/>
      <c r="N155" s="96"/>
      <c r="O155" s="97"/>
      <c r="P155" s="98"/>
      <c r="Q155" s="101"/>
      <c r="R155" s="78" t="str">
        <f t="shared" si="14"/>
        <v/>
      </c>
    </row>
    <row r="156" spans="2:18" x14ac:dyDescent="0.2">
      <c r="B156" s="2" t="str">
        <f t="shared" si="15"/>
        <v/>
      </c>
      <c r="C156" s="2" t="str">
        <f t="shared" si="16"/>
        <v/>
      </c>
      <c r="D156" s="2" t="str">
        <f t="shared" si="17"/>
        <v>Y</v>
      </c>
      <c r="E156" s="2">
        <f t="shared" si="18"/>
        <v>0</v>
      </c>
      <c r="F156" s="2" t="str">
        <f t="shared" si="19"/>
        <v/>
      </c>
      <c r="H156" s="121" t="s">
        <v>153</v>
      </c>
      <c r="I156" s="92"/>
      <c r="J156" s="93"/>
      <c r="K156" s="93"/>
      <c r="L156" s="94"/>
      <c r="M156" s="100"/>
      <c r="N156" s="96"/>
      <c r="O156" s="97"/>
      <c r="P156" s="98"/>
      <c r="Q156" s="101"/>
      <c r="R156" s="78" t="str">
        <f t="shared" si="14"/>
        <v/>
      </c>
    </row>
    <row r="157" spans="2:18" x14ac:dyDescent="0.2">
      <c r="B157" s="2" t="str">
        <f t="shared" si="15"/>
        <v/>
      </c>
      <c r="C157" s="2" t="str">
        <f t="shared" si="16"/>
        <v/>
      </c>
      <c r="D157" s="2" t="str">
        <f t="shared" si="17"/>
        <v>Y</v>
      </c>
      <c r="E157" s="2">
        <f t="shared" si="18"/>
        <v>0</v>
      </c>
      <c r="F157" s="2" t="str">
        <f t="shared" si="19"/>
        <v/>
      </c>
      <c r="H157" s="121" t="s">
        <v>154</v>
      </c>
      <c r="I157" s="92"/>
      <c r="J157" s="93"/>
      <c r="K157" s="93"/>
      <c r="L157" s="94"/>
      <c r="M157" s="100"/>
      <c r="N157" s="96"/>
      <c r="O157" s="97"/>
      <c r="P157" s="98"/>
      <c r="Q157" s="101"/>
      <c r="R157" s="78" t="str">
        <f t="shared" si="14"/>
        <v/>
      </c>
    </row>
    <row r="158" spans="2:18" x14ac:dyDescent="0.2">
      <c r="B158" s="2" t="str">
        <f t="shared" si="15"/>
        <v/>
      </c>
      <c r="C158" s="2" t="str">
        <f t="shared" si="16"/>
        <v/>
      </c>
      <c r="D158" s="2" t="str">
        <f t="shared" si="17"/>
        <v>Y</v>
      </c>
      <c r="E158" s="2">
        <f t="shared" si="18"/>
        <v>0</v>
      </c>
      <c r="F158" s="2" t="str">
        <f t="shared" si="19"/>
        <v/>
      </c>
      <c r="H158" s="121" t="s">
        <v>155</v>
      </c>
      <c r="I158" s="92"/>
      <c r="J158" s="93"/>
      <c r="K158" s="93"/>
      <c r="L158" s="94"/>
      <c r="M158" s="100"/>
      <c r="N158" s="96"/>
      <c r="O158" s="97"/>
      <c r="P158" s="98"/>
      <c r="Q158" s="101"/>
      <c r="R158" s="78" t="str">
        <f t="shared" si="14"/>
        <v/>
      </c>
    </row>
    <row r="159" spans="2:18" x14ac:dyDescent="0.2">
      <c r="B159" s="2" t="str">
        <f t="shared" si="15"/>
        <v/>
      </c>
      <c r="C159" s="2" t="str">
        <f t="shared" si="16"/>
        <v/>
      </c>
      <c r="D159" s="2" t="str">
        <f t="shared" si="17"/>
        <v>Y</v>
      </c>
      <c r="E159" s="2">
        <f t="shared" si="18"/>
        <v>0</v>
      </c>
      <c r="F159" s="2" t="str">
        <f t="shared" si="19"/>
        <v/>
      </c>
      <c r="H159" s="121" t="s">
        <v>156</v>
      </c>
      <c r="I159" s="92"/>
      <c r="J159" s="93"/>
      <c r="K159" s="93"/>
      <c r="L159" s="94"/>
      <c r="M159" s="100"/>
      <c r="N159" s="96"/>
      <c r="O159" s="97"/>
      <c r="P159" s="98"/>
      <c r="Q159" s="101"/>
      <c r="R159" s="78" t="str">
        <f t="shared" si="14"/>
        <v/>
      </c>
    </row>
    <row r="160" spans="2:18" x14ac:dyDescent="0.2">
      <c r="B160" s="2" t="str">
        <f t="shared" si="15"/>
        <v/>
      </c>
      <c r="C160" s="2" t="str">
        <f t="shared" si="16"/>
        <v/>
      </c>
      <c r="D160" s="2" t="str">
        <f t="shared" si="17"/>
        <v>Y</v>
      </c>
      <c r="E160" s="2">
        <f t="shared" si="18"/>
        <v>0</v>
      </c>
      <c r="F160" s="2" t="str">
        <f t="shared" si="19"/>
        <v/>
      </c>
      <c r="H160" s="121" t="s">
        <v>157</v>
      </c>
      <c r="I160" s="92"/>
      <c r="J160" s="93"/>
      <c r="K160" s="93"/>
      <c r="L160" s="94"/>
      <c r="M160" s="100"/>
      <c r="N160" s="96"/>
      <c r="O160" s="97"/>
      <c r="P160" s="98"/>
      <c r="Q160" s="101"/>
      <c r="R160" s="78" t="str">
        <f t="shared" si="14"/>
        <v/>
      </c>
    </row>
    <row r="161" spans="2:18" x14ac:dyDescent="0.2">
      <c r="B161" s="2" t="str">
        <f t="shared" si="15"/>
        <v/>
      </c>
      <c r="C161" s="2" t="str">
        <f t="shared" si="16"/>
        <v/>
      </c>
      <c r="D161" s="2" t="str">
        <f t="shared" si="17"/>
        <v>Y</v>
      </c>
      <c r="E161" s="2">
        <f t="shared" si="18"/>
        <v>0</v>
      </c>
      <c r="F161" s="2" t="str">
        <f t="shared" si="19"/>
        <v/>
      </c>
      <c r="H161" s="121" t="s">
        <v>158</v>
      </c>
      <c r="I161" s="92"/>
      <c r="J161" s="93"/>
      <c r="K161" s="93"/>
      <c r="L161" s="94"/>
      <c r="M161" s="100"/>
      <c r="N161" s="96"/>
      <c r="O161" s="97"/>
      <c r="P161" s="98"/>
      <c r="Q161" s="101"/>
      <c r="R161" s="78" t="str">
        <f t="shared" si="14"/>
        <v/>
      </c>
    </row>
    <row r="162" spans="2:18" x14ac:dyDescent="0.2">
      <c r="B162" s="2" t="str">
        <f t="shared" si="15"/>
        <v/>
      </c>
      <c r="C162" s="2" t="str">
        <f t="shared" si="16"/>
        <v/>
      </c>
      <c r="D162" s="2" t="str">
        <f t="shared" si="17"/>
        <v>Y</v>
      </c>
      <c r="E162" s="2">
        <f t="shared" si="18"/>
        <v>0</v>
      </c>
      <c r="F162" s="2" t="str">
        <f t="shared" si="19"/>
        <v/>
      </c>
      <c r="H162" s="121" t="s">
        <v>159</v>
      </c>
      <c r="I162" s="92"/>
      <c r="J162" s="93"/>
      <c r="K162" s="93"/>
      <c r="L162" s="94"/>
      <c r="M162" s="100"/>
      <c r="N162" s="96"/>
      <c r="O162" s="97"/>
      <c r="P162" s="98"/>
      <c r="Q162" s="101"/>
      <c r="R162" s="78" t="str">
        <f t="shared" si="14"/>
        <v/>
      </c>
    </row>
    <row r="163" spans="2:18" x14ac:dyDescent="0.2">
      <c r="B163" s="2" t="str">
        <f t="shared" si="15"/>
        <v/>
      </c>
      <c r="C163" s="2" t="str">
        <f t="shared" si="16"/>
        <v/>
      </c>
      <c r="D163" s="2" t="str">
        <f t="shared" si="17"/>
        <v>Y</v>
      </c>
      <c r="E163" s="2">
        <f t="shared" si="18"/>
        <v>0</v>
      </c>
      <c r="F163" s="2" t="str">
        <f t="shared" si="19"/>
        <v/>
      </c>
      <c r="H163" s="121" t="s">
        <v>160</v>
      </c>
      <c r="I163" s="92"/>
      <c r="J163" s="93"/>
      <c r="K163" s="93"/>
      <c r="L163" s="94"/>
      <c r="M163" s="100"/>
      <c r="N163" s="96"/>
      <c r="O163" s="97"/>
      <c r="P163" s="98"/>
      <c r="Q163" s="101"/>
      <c r="R163" s="78" t="str">
        <f t="shared" si="14"/>
        <v/>
      </c>
    </row>
    <row r="164" spans="2:18" x14ac:dyDescent="0.2">
      <c r="B164" s="2" t="str">
        <f t="shared" si="15"/>
        <v/>
      </c>
      <c r="C164" s="2" t="str">
        <f t="shared" si="16"/>
        <v/>
      </c>
      <c r="D164" s="2" t="str">
        <f t="shared" si="17"/>
        <v>Y</v>
      </c>
      <c r="E164" s="2">
        <f t="shared" si="18"/>
        <v>0</v>
      </c>
      <c r="F164" s="2" t="str">
        <f t="shared" si="19"/>
        <v/>
      </c>
      <c r="H164" s="121" t="s">
        <v>161</v>
      </c>
      <c r="I164" s="92"/>
      <c r="J164" s="93"/>
      <c r="K164" s="93"/>
      <c r="L164" s="94"/>
      <c r="M164" s="100"/>
      <c r="N164" s="96"/>
      <c r="O164" s="97"/>
      <c r="P164" s="98"/>
      <c r="Q164" s="101"/>
      <c r="R164" s="78" t="str">
        <f t="shared" si="14"/>
        <v/>
      </c>
    </row>
    <row r="165" spans="2:18" x14ac:dyDescent="0.2">
      <c r="B165" s="2" t="str">
        <f t="shared" si="15"/>
        <v/>
      </c>
      <c r="C165" s="2" t="str">
        <f t="shared" si="16"/>
        <v/>
      </c>
      <c r="D165" s="2" t="str">
        <f t="shared" si="17"/>
        <v>Y</v>
      </c>
      <c r="E165" s="2">
        <f t="shared" si="18"/>
        <v>0</v>
      </c>
      <c r="F165" s="2" t="str">
        <f t="shared" si="19"/>
        <v/>
      </c>
      <c r="H165" s="121" t="s">
        <v>162</v>
      </c>
      <c r="I165" s="92"/>
      <c r="J165" s="93"/>
      <c r="K165" s="93"/>
      <c r="L165" s="94"/>
      <c r="M165" s="100"/>
      <c r="N165" s="96"/>
      <c r="O165" s="97"/>
      <c r="P165" s="98"/>
      <c r="Q165" s="101"/>
      <c r="R165" s="78" t="str">
        <f t="shared" si="14"/>
        <v/>
      </c>
    </row>
    <row r="166" spans="2:18" x14ac:dyDescent="0.2">
      <c r="B166" s="2" t="str">
        <f t="shared" si="15"/>
        <v/>
      </c>
      <c r="C166" s="2" t="str">
        <f t="shared" si="16"/>
        <v/>
      </c>
      <c r="D166" s="2" t="str">
        <f t="shared" si="17"/>
        <v>Y</v>
      </c>
      <c r="E166" s="2">
        <f t="shared" si="18"/>
        <v>0</v>
      </c>
      <c r="F166" s="2" t="str">
        <f t="shared" si="19"/>
        <v/>
      </c>
      <c r="H166" s="121" t="s">
        <v>163</v>
      </c>
      <c r="I166" s="92"/>
      <c r="J166" s="93"/>
      <c r="K166" s="93"/>
      <c r="L166" s="94"/>
      <c r="M166" s="100"/>
      <c r="N166" s="96"/>
      <c r="O166" s="97"/>
      <c r="P166" s="98"/>
      <c r="Q166" s="101"/>
      <c r="R166" s="78" t="str">
        <f t="shared" si="14"/>
        <v/>
      </c>
    </row>
    <row r="167" spans="2:18" x14ac:dyDescent="0.2">
      <c r="B167" s="2" t="str">
        <f t="shared" si="15"/>
        <v/>
      </c>
      <c r="C167" s="2" t="str">
        <f t="shared" si="16"/>
        <v/>
      </c>
      <c r="D167" s="2" t="str">
        <f t="shared" si="17"/>
        <v>Y</v>
      </c>
      <c r="E167" s="2">
        <f t="shared" si="18"/>
        <v>0</v>
      </c>
      <c r="F167" s="2" t="str">
        <f t="shared" si="19"/>
        <v/>
      </c>
      <c r="H167" s="121" t="s">
        <v>164</v>
      </c>
      <c r="I167" s="92"/>
      <c r="J167" s="93"/>
      <c r="K167" s="93"/>
      <c r="L167" s="94"/>
      <c r="M167" s="100"/>
      <c r="N167" s="96"/>
      <c r="O167" s="97"/>
      <c r="P167" s="98"/>
      <c r="Q167" s="101"/>
      <c r="R167" s="78" t="str">
        <f t="shared" si="14"/>
        <v/>
      </c>
    </row>
    <row r="168" spans="2:18" x14ac:dyDescent="0.2">
      <c r="B168" s="2" t="str">
        <f t="shared" si="15"/>
        <v/>
      </c>
      <c r="C168" s="2" t="str">
        <f t="shared" si="16"/>
        <v/>
      </c>
      <c r="D168" s="2" t="str">
        <f t="shared" si="17"/>
        <v>Y</v>
      </c>
      <c r="E168" s="2">
        <f t="shared" si="18"/>
        <v>0</v>
      </c>
      <c r="F168" s="2" t="str">
        <f t="shared" si="19"/>
        <v/>
      </c>
      <c r="H168" s="121" t="s">
        <v>165</v>
      </c>
      <c r="I168" s="92"/>
      <c r="J168" s="93"/>
      <c r="K168" s="93"/>
      <c r="L168" s="94"/>
      <c r="M168" s="100"/>
      <c r="N168" s="96"/>
      <c r="O168" s="97"/>
      <c r="P168" s="98"/>
      <c r="Q168" s="101"/>
      <c r="R168" s="78" t="str">
        <f t="shared" si="14"/>
        <v/>
      </c>
    </row>
    <row r="169" spans="2:18" x14ac:dyDescent="0.2">
      <c r="B169" s="2" t="str">
        <f t="shared" si="15"/>
        <v/>
      </c>
      <c r="C169" s="2" t="str">
        <f t="shared" si="16"/>
        <v/>
      </c>
      <c r="D169" s="2" t="str">
        <f t="shared" si="17"/>
        <v>Y</v>
      </c>
      <c r="E169" s="2">
        <f t="shared" si="18"/>
        <v>0</v>
      </c>
      <c r="F169" s="2" t="str">
        <f t="shared" si="19"/>
        <v/>
      </c>
      <c r="H169" s="121" t="s">
        <v>166</v>
      </c>
      <c r="I169" s="92"/>
      <c r="J169" s="93"/>
      <c r="K169" s="93"/>
      <c r="L169" s="94"/>
      <c r="M169" s="100"/>
      <c r="N169" s="96"/>
      <c r="O169" s="97"/>
      <c r="P169" s="98"/>
      <c r="Q169" s="101"/>
      <c r="R169" s="78" t="str">
        <f t="shared" si="14"/>
        <v/>
      </c>
    </row>
    <row r="170" spans="2:18" x14ac:dyDescent="0.2">
      <c r="B170" s="2" t="str">
        <f t="shared" si="15"/>
        <v/>
      </c>
      <c r="C170" s="2" t="str">
        <f t="shared" si="16"/>
        <v/>
      </c>
      <c r="D170" s="2" t="str">
        <f t="shared" si="17"/>
        <v>Y</v>
      </c>
      <c r="E170" s="2">
        <f t="shared" si="18"/>
        <v>0</v>
      </c>
      <c r="F170" s="2" t="str">
        <f t="shared" si="19"/>
        <v/>
      </c>
      <c r="H170" s="121" t="s">
        <v>167</v>
      </c>
      <c r="I170" s="92"/>
      <c r="J170" s="93"/>
      <c r="K170" s="93"/>
      <c r="L170" s="94"/>
      <c r="M170" s="100"/>
      <c r="N170" s="96"/>
      <c r="O170" s="97"/>
      <c r="P170" s="98"/>
      <c r="Q170" s="101"/>
      <c r="R170" s="78" t="str">
        <f t="shared" si="14"/>
        <v/>
      </c>
    </row>
    <row r="171" spans="2:18" x14ac:dyDescent="0.2">
      <c r="B171" s="2" t="str">
        <f t="shared" si="15"/>
        <v/>
      </c>
      <c r="C171" s="2" t="str">
        <f t="shared" si="16"/>
        <v/>
      </c>
      <c r="D171" s="2" t="str">
        <f t="shared" si="17"/>
        <v>Y</v>
      </c>
      <c r="E171" s="2">
        <f t="shared" si="18"/>
        <v>0</v>
      </c>
      <c r="F171" s="2" t="str">
        <f t="shared" si="19"/>
        <v/>
      </c>
      <c r="H171" s="121" t="s">
        <v>168</v>
      </c>
      <c r="I171" s="92"/>
      <c r="J171" s="93"/>
      <c r="K171" s="93"/>
      <c r="L171" s="94"/>
      <c r="M171" s="100"/>
      <c r="N171" s="96"/>
      <c r="O171" s="97"/>
      <c r="P171" s="98"/>
      <c r="Q171" s="101"/>
      <c r="R171" s="78" t="str">
        <f t="shared" si="14"/>
        <v/>
      </c>
    </row>
    <row r="172" spans="2:18" x14ac:dyDescent="0.2">
      <c r="B172" s="2" t="str">
        <f t="shared" si="15"/>
        <v/>
      </c>
      <c r="C172" s="2" t="str">
        <f t="shared" si="16"/>
        <v/>
      </c>
      <c r="D172" s="2" t="str">
        <f t="shared" si="17"/>
        <v>Y</v>
      </c>
      <c r="E172" s="2">
        <f t="shared" si="18"/>
        <v>0</v>
      </c>
      <c r="F172" s="2" t="str">
        <f t="shared" si="19"/>
        <v/>
      </c>
      <c r="H172" s="121" t="s">
        <v>169</v>
      </c>
      <c r="I172" s="92"/>
      <c r="J172" s="93"/>
      <c r="K172" s="93"/>
      <c r="L172" s="94"/>
      <c r="M172" s="100"/>
      <c r="N172" s="96"/>
      <c r="O172" s="97"/>
      <c r="P172" s="98"/>
      <c r="Q172" s="101"/>
      <c r="R172" s="78" t="str">
        <f t="shared" si="14"/>
        <v/>
      </c>
    </row>
    <row r="173" spans="2:18" x14ac:dyDescent="0.2">
      <c r="B173" s="2" t="str">
        <f t="shared" si="15"/>
        <v/>
      </c>
      <c r="C173" s="2" t="str">
        <f t="shared" si="16"/>
        <v/>
      </c>
      <c r="D173" s="2" t="str">
        <f t="shared" si="17"/>
        <v>Y</v>
      </c>
      <c r="E173" s="2">
        <f t="shared" si="18"/>
        <v>0</v>
      </c>
      <c r="F173" s="2" t="str">
        <f t="shared" si="19"/>
        <v/>
      </c>
      <c r="H173" s="121" t="s">
        <v>170</v>
      </c>
      <c r="I173" s="92"/>
      <c r="J173" s="93"/>
      <c r="K173" s="93"/>
      <c r="L173" s="94"/>
      <c r="M173" s="100"/>
      <c r="N173" s="96"/>
      <c r="O173" s="97"/>
      <c r="P173" s="98"/>
      <c r="Q173" s="101"/>
      <c r="R173" s="78" t="str">
        <f t="shared" si="14"/>
        <v/>
      </c>
    </row>
    <row r="174" spans="2:18" x14ac:dyDescent="0.2">
      <c r="B174" s="2" t="str">
        <f t="shared" si="15"/>
        <v/>
      </c>
      <c r="C174" s="2" t="str">
        <f t="shared" si="16"/>
        <v/>
      </c>
      <c r="D174" s="2" t="str">
        <f t="shared" si="17"/>
        <v>Y</v>
      </c>
      <c r="E174" s="2">
        <f t="shared" si="18"/>
        <v>0</v>
      </c>
      <c r="F174" s="2" t="str">
        <f t="shared" si="19"/>
        <v/>
      </c>
      <c r="H174" s="121" t="s">
        <v>171</v>
      </c>
      <c r="I174" s="92"/>
      <c r="J174" s="93"/>
      <c r="K174" s="93"/>
      <c r="L174" s="94"/>
      <c r="M174" s="100"/>
      <c r="N174" s="96"/>
      <c r="O174" s="97"/>
      <c r="P174" s="98"/>
      <c r="Q174" s="101"/>
      <c r="R174" s="78" t="str">
        <f t="shared" si="14"/>
        <v/>
      </c>
    </row>
    <row r="175" spans="2:18" x14ac:dyDescent="0.2">
      <c r="B175" s="2" t="str">
        <f t="shared" si="15"/>
        <v/>
      </c>
      <c r="C175" s="2" t="str">
        <f t="shared" si="16"/>
        <v/>
      </c>
      <c r="D175" s="2" t="str">
        <f t="shared" si="17"/>
        <v>Y</v>
      </c>
      <c r="E175" s="2">
        <f t="shared" si="18"/>
        <v>0</v>
      </c>
      <c r="F175" s="2" t="str">
        <f t="shared" si="19"/>
        <v/>
      </c>
      <c r="H175" s="121" t="s">
        <v>172</v>
      </c>
      <c r="I175" s="92"/>
      <c r="J175" s="93"/>
      <c r="K175" s="93"/>
      <c r="L175" s="94"/>
      <c r="M175" s="100"/>
      <c r="N175" s="96"/>
      <c r="O175" s="97"/>
      <c r="P175" s="98"/>
      <c r="Q175" s="101"/>
      <c r="R175" s="78" t="str">
        <f t="shared" si="14"/>
        <v/>
      </c>
    </row>
    <row r="176" spans="2:18" x14ac:dyDescent="0.2">
      <c r="B176" s="2" t="str">
        <f t="shared" si="15"/>
        <v/>
      </c>
      <c r="C176" s="2" t="str">
        <f t="shared" si="16"/>
        <v/>
      </c>
      <c r="D176" s="2" t="str">
        <f t="shared" si="17"/>
        <v>Y</v>
      </c>
      <c r="E176" s="2">
        <f t="shared" si="18"/>
        <v>0</v>
      </c>
      <c r="F176" s="2" t="str">
        <f t="shared" si="19"/>
        <v/>
      </c>
      <c r="H176" s="121" t="s">
        <v>173</v>
      </c>
      <c r="I176" s="92"/>
      <c r="J176" s="93"/>
      <c r="K176" s="93"/>
      <c r="L176" s="94"/>
      <c r="M176" s="100"/>
      <c r="N176" s="96"/>
      <c r="O176" s="97"/>
      <c r="P176" s="98"/>
      <c r="Q176" s="101"/>
      <c r="R176" s="78" t="str">
        <f t="shared" si="14"/>
        <v/>
      </c>
    </row>
    <row r="177" spans="2:18" x14ac:dyDescent="0.2">
      <c r="B177" s="2" t="str">
        <f t="shared" si="15"/>
        <v/>
      </c>
      <c r="C177" s="2" t="str">
        <f t="shared" si="16"/>
        <v/>
      </c>
      <c r="D177" s="2" t="str">
        <f t="shared" si="17"/>
        <v>Y</v>
      </c>
      <c r="E177" s="2">
        <f t="shared" si="18"/>
        <v>0</v>
      </c>
      <c r="F177" s="2" t="str">
        <f t="shared" si="19"/>
        <v/>
      </c>
      <c r="H177" s="121" t="s">
        <v>174</v>
      </c>
      <c r="I177" s="92"/>
      <c r="J177" s="93"/>
      <c r="K177" s="93"/>
      <c r="L177" s="94"/>
      <c r="M177" s="100"/>
      <c r="N177" s="96"/>
      <c r="O177" s="97"/>
      <c r="P177" s="98"/>
      <c r="Q177" s="101"/>
      <c r="R177" s="78" t="str">
        <f t="shared" si="14"/>
        <v/>
      </c>
    </row>
    <row r="178" spans="2:18" x14ac:dyDescent="0.2">
      <c r="B178" s="2" t="str">
        <f t="shared" si="15"/>
        <v/>
      </c>
      <c r="C178" s="2" t="str">
        <f t="shared" si="16"/>
        <v/>
      </c>
      <c r="D178" s="2" t="str">
        <f t="shared" si="17"/>
        <v>Y</v>
      </c>
      <c r="E178" s="2">
        <f t="shared" si="18"/>
        <v>0</v>
      </c>
      <c r="F178" s="2" t="str">
        <f t="shared" si="19"/>
        <v/>
      </c>
      <c r="H178" s="121" t="s">
        <v>175</v>
      </c>
      <c r="I178" s="92"/>
      <c r="J178" s="93"/>
      <c r="K178" s="93"/>
      <c r="L178" s="94"/>
      <c r="M178" s="100"/>
      <c r="N178" s="96"/>
      <c r="O178" s="97"/>
      <c r="P178" s="98"/>
      <c r="Q178" s="101"/>
      <c r="R178" s="78" t="str">
        <f t="shared" si="14"/>
        <v/>
      </c>
    </row>
    <row r="179" spans="2:18" x14ac:dyDescent="0.2">
      <c r="B179" s="2" t="str">
        <f t="shared" si="15"/>
        <v/>
      </c>
      <c r="C179" s="2" t="str">
        <f t="shared" si="16"/>
        <v/>
      </c>
      <c r="D179" s="2" t="str">
        <f t="shared" si="17"/>
        <v>Y</v>
      </c>
      <c r="E179" s="2">
        <f t="shared" si="18"/>
        <v>0</v>
      </c>
      <c r="F179" s="2" t="str">
        <f t="shared" si="19"/>
        <v/>
      </c>
      <c r="H179" s="121" t="s">
        <v>176</v>
      </c>
      <c r="I179" s="92"/>
      <c r="J179" s="93"/>
      <c r="K179" s="93"/>
      <c r="L179" s="94"/>
      <c r="M179" s="100"/>
      <c r="N179" s="96"/>
      <c r="O179" s="97"/>
      <c r="P179" s="98"/>
      <c r="Q179" s="101"/>
      <c r="R179" s="78" t="str">
        <f t="shared" si="14"/>
        <v/>
      </c>
    </row>
    <row r="180" spans="2:18" x14ac:dyDescent="0.2">
      <c r="B180" s="2" t="str">
        <f t="shared" si="15"/>
        <v/>
      </c>
      <c r="C180" s="2" t="str">
        <f t="shared" si="16"/>
        <v/>
      </c>
      <c r="D180" s="2" t="str">
        <f t="shared" si="17"/>
        <v>Y</v>
      </c>
      <c r="E180" s="2">
        <f t="shared" si="18"/>
        <v>0</v>
      </c>
      <c r="F180" s="2" t="str">
        <f t="shared" si="19"/>
        <v/>
      </c>
      <c r="H180" s="121" t="s">
        <v>177</v>
      </c>
      <c r="I180" s="92"/>
      <c r="J180" s="93"/>
      <c r="K180" s="93"/>
      <c r="L180" s="94"/>
      <c r="M180" s="100"/>
      <c r="N180" s="96"/>
      <c r="O180" s="97"/>
      <c r="P180" s="98"/>
      <c r="Q180" s="101"/>
      <c r="R180" s="78" t="str">
        <f t="shared" si="14"/>
        <v/>
      </c>
    </row>
    <row r="181" spans="2:18" x14ac:dyDescent="0.2">
      <c r="B181" s="2" t="str">
        <f t="shared" si="15"/>
        <v/>
      </c>
      <c r="C181" s="2" t="str">
        <f t="shared" si="16"/>
        <v/>
      </c>
      <c r="D181" s="2" t="str">
        <f t="shared" si="17"/>
        <v>Y</v>
      </c>
      <c r="E181" s="2">
        <f t="shared" si="18"/>
        <v>0</v>
      </c>
      <c r="F181" s="2" t="str">
        <f t="shared" si="19"/>
        <v/>
      </c>
      <c r="H181" s="121" t="s">
        <v>178</v>
      </c>
      <c r="I181" s="92"/>
      <c r="J181" s="93"/>
      <c r="K181" s="93"/>
      <c r="L181" s="94"/>
      <c r="M181" s="100"/>
      <c r="N181" s="96"/>
      <c r="O181" s="97"/>
      <c r="P181" s="98"/>
      <c r="Q181" s="101"/>
      <c r="R181" s="78" t="str">
        <f t="shared" si="14"/>
        <v/>
      </c>
    </row>
    <row r="182" spans="2:18" x14ac:dyDescent="0.2">
      <c r="B182" s="2" t="str">
        <f t="shared" si="15"/>
        <v/>
      </c>
      <c r="C182" s="2" t="str">
        <f t="shared" si="16"/>
        <v/>
      </c>
      <c r="D182" s="2" t="str">
        <f t="shared" si="17"/>
        <v>Y</v>
      </c>
      <c r="E182" s="2">
        <f t="shared" si="18"/>
        <v>0</v>
      </c>
      <c r="F182" s="2" t="str">
        <f t="shared" si="19"/>
        <v/>
      </c>
      <c r="H182" s="121" t="s">
        <v>179</v>
      </c>
      <c r="I182" s="92"/>
      <c r="J182" s="93"/>
      <c r="K182" s="93"/>
      <c r="L182" s="94"/>
      <c r="M182" s="100"/>
      <c r="N182" s="96"/>
      <c r="O182" s="97"/>
      <c r="P182" s="98"/>
      <c r="Q182" s="101"/>
      <c r="R182" s="78" t="str">
        <f t="shared" si="14"/>
        <v/>
      </c>
    </row>
    <row r="183" spans="2:18" x14ac:dyDescent="0.2">
      <c r="B183" s="2" t="str">
        <f t="shared" si="15"/>
        <v/>
      </c>
      <c r="C183" s="2" t="str">
        <f t="shared" si="16"/>
        <v/>
      </c>
      <c r="D183" s="2" t="str">
        <f t="shared" si="17"/>
        <v>Y</v>
      </c>
      <c r="E183" s="2">
        <f t="shared" si="18"/>
        <v>0</v>
      </c>
      <c r="F183" s="2" t="str">
        <f t="shared" si="19"/>
        <v/>
      </c>
      <c r="H183" s="121" t="s">
        <v>180</v>
      </c>
      <c r="I183" s="92"/>
      <c r="J183" s="93"/>
      <c r="K183" s="93"/>
      <c r="L183" s="94"/>
      <c r="M183" s="100"/>
      <c r="N183" s="96"/>
      <c r="O183" s="97"/>
      <c r="P183" s="98"/>
      <c r="Q183" s="101"/>
      <c r="R183" s="78" t="str">
        <f t="shared" si="14"/>
        <v/>
      </c>
    </row>
    <row r="184" spans="2:18" x14ac:dyDescent="0.2">
      <c r="B184" s="2" t="str">
        <f t="shared" si="15"/>
        <v/>
      </c>
      <c r="C184" s="2" t="str">
        <f t="shared" si="16"/>
        <v/>
      </c>
      <c r="D184" s="2" t="str">
        <f t="shared" si="17"/>
        <v>Y</v>
      </c>
      <c r="E184" s="2">
        <f t="shared" si="18"/>
        <v>0</v>
      </c>
      <c r="F184" s="2" t="str">
        <f t="shared" si="19"/>
        <v/>
      </c>
      <c r="H184" s="121" t="s">
        <v>181</v>
      </c>
      <c r="I184" s="92"/>
      <c r="J184" s="93"/>
      <c r="K184" s="93"/>
      <c r="L184" s="94"/>
      <c r="M184" s="100"/>
      <c r="N184" s="96"/>
      <c r="O184" s="97"/>
      <c r="P184" s="98"/>
      <c r="Q184" s="101"/>
      <c r="R184" s="78" t="str">
        <f t="shared" si="14"/>
        <v/>
      </c>
    </row>
    <row r="185" spans="2:18" x14ac:dyDescent="0.2">
      <c r="B185" s="2" t="str">
        <f t="shared" si="15"/>
        <v/>
      </c>
      <c r="C185" s="2" t="str">
        <f t="shared" si="16"/>
        <v/>
      </c>
      <c r="D185" s="2" t="str">
        <f t="shared" si="17"/>
        <v>Y</v>
      </c>
      <c r="E185" s="2">
        <f t="shared" si="18"/>
        <v>0</v>
      </c>
      <c r="F185" s="2" t="str">
        <f t="shared" si="19"/>
        <v/>
      </c>
      <c r="H185" s="121" t="s">
        <v>182</v>
      </c>
      <c r="I185" s="92"/>
      <c r="J185" s="93"/>
      <c r="K185" s="93"/>
      <c r="L185" s="94"/>
      <c r="M185" s="100"/>
      <c r="N185" s="96"/>
      <c r="O185" s="97"/>
      <c r="P185" s="98"/>
      <c r="Q185" s="101"/>
      <c r="R185" s="78" t="str">
        <f t="shared" si="14"/>
        <v/>
      </c>
    </row>
    <row r="186" spans="2:18" x14ac:dyDescent="0.2">
      <c r="B186" s="2" t="str">
        <f t="shared" si="15"/>
        <v/>
      </c>
      <c r="C186" s="2" t="str">
        <f t="shared" si="16"/>
        <v/>
      </c>
      <c r="D186" s="2" t="str">
        <f t="shared" si="17"/>
        <v>Y</v>
      </c>
      <c r="E186" s="2">
        <f t="shared" si="18"/>
        <v>0</v>
      </c>
      <c r="F186" s="2" t="str">
        <f t="shared" si="19"/>
        <v/>
      </c>
      <c r="H186" s="121" t="s">
        <v>183</v>
      </c>
      <c r="I186" s="92"/>
      <c r="J186" s="93"/>
      <c r="K186" s="93"/>
      <c r="L186" s="94"/>
      <c r="M186" s="100"/>
      <c r="N186" s="96"/>
      <c r="O186" s="97"/>
      <c r="P186" s="98"/>
      <c r="Q186" s="101"/>
      <c r="R186" s="78" t="str">
        <f t="shared" si="14"/>
        <v/>
      </c>
    </row>
    <row r="187" spans="2:18" x14ac:dyDescent="0.2">
      <c r="B187" s="2" t="str">
        <f t="shared" si="15"/>
        <v/>
      </c>
      <c r="C187" s="2" t="str">
        <f t="shared" si="16"/>
        <v/>
      </c>
      <c r="D187" s="2" t="str">
        <f t="shared" si="17"/>
        <v>Y</v>
      </c>
      <c r="E187" s="2">
        <f t="shared" si="18"/>
        <v>0</v>
      </c>
      <c r="F187" s="2" t="str">
        <f t="shared" si="19"/>
        <v/>
      </c>
      <c r="H187" s="121" t="s">
        <v>184</v>
      </c>
      <c r="I187" s="92"/>
      <c r="J187" s="93"/>
      <c r="K187" s="93"/>
      <c r="L187" s="94"/>
      <c r="M187" s="100"/>
      <c r="N187" s="96"/>
      <c r="O187" s="97"/>
      <c r="P187" s="98"/>
      <c r="Q187" s="101"/>
      <c r="R187" s="78" t="str">
        <f t="shared" si="14"/>
        <v/>
      </c>
    </row>
    <row r="188" spans="2:18" x14ac:dyDescent="0.2">
      <c r="B188" s="2" t="str">
        <f t="shared" si="15"/>
        <v/>
      </c>
      <c r="C188" s="2" t="str">
        <f t="shared" si="16"/>
        <v/>
      </c>
      <c r="D188" s="2" t="str">
        <f t="shared" si="17"/>
        <v>Y</v>
      </c>
      <c r="E188" s="2">
        <f t="shared" si="18"/>
        <v>0</v>
      </c>
      <c r="F188" s="2" t="str">
        <f t="shared" si="19"/>
        <v/>
      </c>
      <c r="H188" s="121" t="s">
        <v>185</v>
      </c>
      <c r="I188" s="92"/>
      <c r="J188" s="93"/>
      <c r="K188" s="93"/>
      <c r="L188" s="94"/>
      <c r="M188" s="100"/>
      <c r="N188" s="96"/>
      <c r="O188" s="97"/>
      <c r="P188" s="98"/>
      <c r="Q188" s="101"/>
      <c r="R188" s="78" t="str">
        <f t="shared" si="14"/>
        <v/>
      </c>
    </row>
    <row r="189" spans="2:18" x14ac:dyDescent="0.2">
      <c r="B189" s="2" t="str">
        <f t="shared" si="15"/>
        <v/>
      </c>
      <c r="C189" s="2" t="str">
        <f t="shared" si="16"/>
        <v/>
      </c>
      <c r="D189" s="2" t="str">
        <f t="shared" si="17"/>
        <v>Y</v>
      </c>
      <c r="E189" s="2">
        <f t="shared" si="18"/>
        <v>0</v>
      </c>
      <c r="F189" s="2" t="str">
        <f t="shared" si="19"/>
        <v/>
      </c>
      <c r="H189" s="121" t="s">
        <v>186</v>
      </c>
      <c r="I189" s="92"/>
      <c r="J189" s="93"/>
      <c r="K189" s="93"/>
      <c r="L189" s="94"/>
      <c r="M189" s="100"/>
      <c r="N189" s="96"/>
      <c r="O189" s="97"/>
      <c r="P189" s="98"/>
      <c r="Q189" s="101"/>
      <c r="R189" s="78" t="str">
        <f t="shared" si="14"/>
        <v/>
      </c>
    </row>
    <row r="190" spans="2:18" x14ac:dyDescent="0.2">
      <c r="B190" s="2" t="str">
        <f t="shared" si="15"/>
        <v/>
      </c>
      <c r="C190" s="2" t="str">
        <f t="shared" si="16"/>
        <v/>
      </c>
      <c r="D190" s="2" t="str">
        <f t="shared" si="17"/>
        <v>Y</v>
      </c>
      <c r="E190" s="2">
        <f t="shared" si="18"/>
        <v>0</v>
      </c>
      <c r="F190" s="2" t="str">
        <f t="shared" si="19"/>
        <v/>
      </c>
      <c r="H190" s="121" t="s">
        <v>187</v>
      </c>
      <c r="I190" s="92"/>
      <c r="J190" s="93"/>
      <c r="K190" s="93"/>
      <c r="L190" s="94"/>
      <c r="M190" s="100"/>
      <c r="N190" s="96"/>
      <c r="O190" s="97"/>
      <c r="P190" s="98"/>
      <c r="Q190" s="101"/>
      <c r="R190" s="78" t="str">
        <f t="shared" si="14"/>
        <v/>
      </c>
    </row>
    <row r="191" spans="2:18" x14ac:dyDescent="0.2">
      <c r="B191" s="2" t="str">
        <f t="shared" si="15"/>
        <v/>
      </c>
      <c r="C191" s="2" t="str">
        <f t="shared" si="16"/>
        <v/>
      </c>
      <c r="D191" s="2" t="str">
        <f t="shared" si="17"/>
        <v>Y</v>
      </c>
      <c r="E191" s="2">
        <f t="shared" si="18"/>
        <v>0</v>
      </c>
      <c r="F191" s="2" t="str">
        <f t="shared" si="19"/>
        <v/>
      </c>
      <c r="H191" s="121" t="s">
        <v>188</v>
      </c>
      <c r="I191" s="92"/>
      <c r="J191" s="93"/>
      <c r="K191" s="93"/>
      <c r="L191" s="94"/>
      <c r="M191" s="100"/>
      <c r="N191" s="96"/>
      <c r="O191" s="97"/>
      <c r="P191" s="98"/>
      <c r="Q191" s="101"/>
      <c r="R191" s="78" t="str">
        <f t="shared" si="14"/>
        <v/>
      </c>
    </row>
    <row r="192" spans="2:18" x14ac:dyDescent="0.2">
      <c r="B192" s="2" t="str">
        <f t="shared" si="15"/>
        <v/>
      </c>
      <c r="C192" s="2" t="str">
        <f t="shared" si="16"/>
        <v/>
      </c>
      <c r="D192" s="2" t="str">
        <f t="shared" si="17"/>
        <v>Y</v>
      </c>
      <c r="E192" s="2">
        <f t="shared" si="18"/>
        <v>0</v>
      </c>
      <c r="F192" s="2" t="str">
        <f t="shared" si="19"/>
        <v/>
      </c>
      <c r="H192" s="121" t="s">
        <v>189</v>
      </c>
      <c r="I192" s="92"/>
      <c r="J192" s="93"/>
      <c r="K192" s="93"/>
      <c r="L192" s="94"/>
      <c r="M192" s="100"/>
      <c r="N192" s="96"/>
      <c r="O192" s="97"/>
      <c r="P192" s="98"/>
      <c r="Q192" s="101"/>
      <c r="R192" s="78" t="str">
        <f t="shared" si="14"/>
        <v/>
      </c>
    </row>
    <row r="193" spans="2:18" x14ac:dyDescent="0.2">
      <c r="B193" s="2" t="str">
        <f t="shared" si="15"/>
        <v/>
      </c>
      <c r="C193" s="2" t="str">
        <f t="shared" si="16"/>
        <v/>
      </c>
      <c r="D193" s="2" t="str">
        <f t="shared" si="17"/>
        <v>Y</v>
      </c>
      <c r="E193" s="2">
        <f t="shared" si="18"/>
        <v>0</v>
      </c>
      <c r="F193" s="2" t="str">
        <f t="shared" si="19"/>
        <v/>
      </c>
      <c r="H193" s="121" t="s">
        <v>190</v>
      </c>
      <c r="I193" s="92"/>
      <c r="J193" s="93"/>
      <c r="K193" s="93"/>
      <c r="L193" s="94"/>
      <c r="M193" s="100"/>
      <c r="N193" s="96"/>
      <c r="O193" s="97"/>
      <c r="P193" s="98"/>
      <c r="Q193" s="101"/>
      <c r="R193" s="78" t="str">
        <f t="shared" si="14"/>
        <v/>
      </c>
    </row>
    <row r="194" spans="2:18" x14ac:dyDescent="0.2">
      <c r="B194" s="2" t="str">
        <f t="shared" si="15"/>
        <v/>
      </c>
      <c r="C194" s="2" t="str">
        <f t="shared" si="16"/>
        <v/>
      </c>
      <c r="D194" s="2" t="str">
        <f t="shared" si="17"/>
        <v>Y</v>
      </c>
      <c r="E194" s="2">
        <f t="shared" si="18"/>
        <v>0</v>
      </c>
      <c r="F194" s="2" t="str">
        <f t="shared" si="19"/>
        <v/>
      </c>
      <c r="H194" s="121" t="s">
        <v>191</v>
      </c>
      <c r="I194" s="92"/>
      <c r="J194" s="93"/>
      <c r="K194" s="93"/>
      <c r="L194" s="94"/>
      <c r="M194" s="100"/>
      <c r="N194" s="96"/>
      <c r="O194" s="97"/>
      <c r="P194" s="98"/>
      <c r="Q194" s="101"/>
      <c r="R194" s="78" t="str">
        <f t="shared" si="14"/>
        <v/>
      </c>
    </row>
    <row r="195" spans="2:18" x14ac:dyDescent="0.2">
      <c r="B195" s="2" t="str">
        <f t="shared" si="15"/>
        <v/>
      </c>
      <c r="C195" s="2" t="str">
        <f t="shared" si="16"/>
        <v/>
      </c>
      <c r="D195" s="2" t="str">
        <f t="shared" si="17"/>
        <v>Y</v>
      </c>
      <c r="E195" s="2">
        <f t="shared" si="18"/>
        <v>0</v>
      </c>
      <c r="F195" s="2" t="str">
        <f t="shared" si="19"/>
        <v/>
      </c>
      <c r="H195" s="121" t="s">
        <v>192</v>
      </c>
      <c r="I195" s="92"/>
      <c r="J195" s="93"/>
      <c r="K195" s="93"/>
      <c r="L195" s="94"/>
      <c r="M195" s="100"/>
      <c r="N195" s="96"/>
      <c r="O195" s="97"/>
      <c r="P195" s="98"/>
      <c r="Q195" s="101"/>
      <c r="R195" s="78" t="str">
        <f t="shared" si="14"/>
        <v/>
      </c>
    </row>
    <row r="196" spans="2:18" x14ac:dyDescent="0.2">
      <c r="B196" s="2" t="str">
        <f t="shared" si="15"/>
        <v/>
      </c>
      <c r="C196" s="2" t="str">
        <f t="shared" si="16"/>
        <v/>
      </c>
      <c r="D196" s="2" t="str">
        <f t="shared" si="17"/>
        <v>Y</v>
      </c>
      <c r="E196" s="2">
        <f t="shared" si="18"/>
        <v>0</v>
      </c>
      <c r="F196" s="2" t="str">
        <f t="shared" si="19"/>
        <v/>
      </c>
      <c r="H196" s="121" t="s">
        <v>193</v>
      </c>
      <c r="I196" s="92"/>
      <c r="J196" s="93"/>
      <c r="K196" s="93"/>
      <c r="L196" s="94"/>
      <c r="M196" s="100"/>
      <c r="N196" s="96"/>
      <c r="O196" s="97"/>
      <c r="P196" s="98"/>
      <c r="Q196" s="101"/>
      <c r="R196" s="78" t="str">
        <f t="shared" si="14"/>
        <v/>
      </c>
    </row>
    <row r="197" spans="2:18" x14ac:dyDescent="0.2">
      <c r="B197" s="2" t="str">
        <f t="shared" si="15"/>
        <v/>
      </c>
      <c r="C197" s="2" t="str">
        <f t="shared" si="16"/>
        <v/>
      </c>
      <c r="D197" s="2" t="str">
        <f t="shared" si="17"/>
        <v>Y</v>
      </c>
      <c r="E197" s="2">
        <f t="shared" si="18"/>
        <v>0</v>
      </c>
      <c r="F197" s="2" t="str">
        <f t="shared" si="19"/>
        <v/>
      </c>
      <c r="H197" s="121" t="s">
        <v>194</v>
      </c>
      <c r="I197" s="92"/>
      <c r="J197" s="93"/>
      <c r="K197" s="93"/>
      <c r="L197" s="94"/>
      <c r="M197" s="100"/>
      <c r="N197" s="96"/>
      <c r="O197" s="97"/>
      <c r="P197" s="98"/>
      <c r="Q197" s="101"/>
      <c r="R197" s="78" t="str">
        <f t="shared" si="14"/>
        <v/>
      </c>
    </row>
    <row r="198" spans="2:18" x14ac:dyDescent="0.2">
      <c r="B198" s="2" t="str">
        <f t="shared" si="15"/>
        <v/>
      </c>
      <c r="C198" s="2" t="str">
        <f t="shared" si="16"/>
        <v/>
      </c>
      <c r="D198" s="2" t="str">
        <f t="shared" si="17"/>
        <v>Y</v>
      </c>
      <c r="E198" s="2">
        <f t="shared" si="18"/>
        <v>0</v>
      </c>
      <c r="F198" s="2" t="str">
        <f t="shared" si="19"/>
        <v/>
      </c>
      <c r="H198" s="121" t="s">
        <v>195</v>
      </c>
      <c r="I198" s="92"/>
      <c r="J198" s="93"/>
      <c r="K198" s="93"/>
      <c r="L198" s="94"/>
      <c r="M198" s="100"/>
      <c r="N198" s="96"/>
      <c r="O198" s="97"/>
      <c r="P198" s="98"/>
      <c r="Q198" s="101"/>
      <c r="R198" s="78" t="str">
        <f t="shared" si="14"/>
        <v/>
      </c>
    </row>
    <row r="199" spans="2:18" x14ac:dyDescent="0.2">
      <c r="B199" s="2" t="str">
        <f t="shared" si="15"/>
        <v/>
      </c>
      <c r="C199" s="2" t="str">
        <f t="shared" si="16"/>
        <v/>
      </c>
      <c r="D199" s="2" t="str">
        <f t="shared" si="17"/>
        <v>Y</v>
      </c>
      <c r="E199" s="2">
        <f t="shared" si="18"/>
        <v>0</v>
      </c>
      <c r="F199" s="2" t="str">
        <f t="shared" si="19"/>
        <v/>
      </c>
      <c r="H199" s="121" t="s">
        <v>196</v>
      </c>
      <c r="I199" s="92"/>
      <c r="J199" s="93"/>
      <c r="K199" s="93"/>
      <c r="L199" s="94"/>
      <c r="M199" s="100"/>
      <c r="N199" s="96"/>
      <c r="O199" s="97"/>
      <c r="P199" s="98"/>
      <c r="Q199" s="101"/>
      <c r="R199" s="78" t="str">
        <f t="shared" si="14"/>
        <v/>
      </c>
    </row>
    <row r="200" spans="2:18" x14ac:dyDescent="0.2">
      <c r="B200" s="2" t="str">
        <f t="shared" si="15"/>
        <v/>
      </c>
      <c r="C200" s="2" t="str">
        <f t="shared" si="16"/>
        <v/>
      </c>
      <c r="D200" s="2" t="str">
        <f t="shared" si="17"/>
        <v>Y</v>
      </c>
      <c r="E200" s="2">
        <f t="shared" si="18"/>
        <v>0</v>
      </c>
      <c r="F200" s="2" t="str">
        <f t="shared" si="19"/>
        <v/>
      </c>
      <c r="H200" s="121" t="s">
        <v>197</v>
      </c>
      <c r="I200" s="92"/>
      <c r="J200" s="93"/>
      <c r="K200" s="93"/>
      <c r="L200" s="94"/>
      <c r="M200" s="100"/>
      <c r="N200" s="96"/>
      <c r="O200" s="97"/>
      <c r="P200" s="98"/>
      <c r="Q200" s="101"/>
      <c r="R200" s="78" t="str">
        <f t="shared" si="14"/>
        <v/>
      </c>
    </row>
    <row r="201" spans="2:18" x14ac:dyDescent="0.2">
      <c r="B201" s="2" t="str">
        <f t="shared" si="15"/>
        <v/>
      </c>
      <c r="C201" s="2" t="str">
        <f t="shared" si="16"/>
        <v/>
      </c>
      <c r="D201" s="2" t="str">
        <f t="shared" si="17"/>
        <v>Y</v>
      </c>
      <c r="E201" s="2">
        <f t="shared" si="18"/>
        <v>0</v>
      </c>
      <c r="F201" s="2" t="str">
        <f t="shared" si="19"/>
        <v/>
      </c>
      <c r="H201" s="121" t="s">
        <v>198</v>
      </c>
      <c r="I201" s="92"/>
      <c r="J201" s="93"/>
      <c r="K201" s="93"/>
      <c r="L201" s="94"/>
      <c r="M201" s="100"/>
      <c r="N201" s="96"/>
      <c r="O201" s="97"/>
      <c r="P201" s="98"/>
      <c r="Q201" s="101"/>
      <c r="R201" s="78" t="str">
        <f t="shared" si="14"/>
        <v/>
      </c>
    </row>
    <row r="202" spans="2:18" x14ac:dyDescent="0.2">
      <c r="B202" s="2" t="str">
        <f t="shared" si="15"/>
        <v/>
      </c>
      <c r="C202" s="2" t="str">
        <f t="shared" si="16"/>
        <v/>
      </c>
      <c r="D202" s="2" t="str">
        <f t="shared" si="17"/>
        <v>Y</v>
      </c>
      <c r="E202" s="2">
        <f t="shared" si="18"/>
        <v>0</v>
      </c>
      <c r="F202" s="2" t="str">
        <f t="shared" si="19"/>
        <v/>
      </c>
      <c r="H202" s="121" t="s">
        <v>199</v>
      </c>
      <c r="I202" s="92"/>
      <c r="J202" s="93"/>
      <c r="K202" s="93"/>
      <c r="L202" s="94"/>
      <c r="M202" s="100"/>
      <c r="N202" s="96"/>
      <c r="O202" s="97"/>
      <c r="P202" s="98"/>
      <c r="Q202" s="101"/>
      <c r="R202" s="78" t="str">
        <f t="shared" si="14"/>
        <v/>
      </c>
    </row>
    <row r="203" spans="2:18" x14ac:dyDescent="0.2">
      <c r="B203" s="2" t="str">
        <f t="shared" si="15"/>
        <v/>
      </c>
      <c r="C203" s="2" t="str">
        <f t="shared" si="16"/>
        <v/>
      </c>
      <c r="D203" s="2" t="str">
        <f t="shared" si="17"/>
        <v>Y</v>
      </c>
      <c r="E203" s="2">
        <f t="shared" si="18"/>
        <v>0</v>
      </c>
      <c r="F203" s="2" t="str">
        <f t="shared" si="19"/>
        <v/>
      </c>
      <c r="H203" s="121" t="s">
        <v>200</v>
      </c>
      <c r="I203" s="92"/>
      <c r="J203" s="93"/>
      <c r="K203" s="93"/>
      <c r="L203" s="94"/>
      <c r="M203" s="100"/>
      <c r="N203" s="96"/>
      <c r="O203" s="97"/>
      <c r="P203" s="98"/>
      <c r="Q203" s="101"/>
      <c r="R203" s="78" t="str">
        <f t="shared" ref="R203:R266" si="20">IF(ISERROR(VLOOKUP(K203,LB_PROJECTS,2,FALSE)),"",VLOOKUP(K203,LB_PROJECTS,2,FALSE))</f>
        <v/>
      </c>
    </row>
    <row r="204" spans="2:18" x14ac:dyDescent="0.2">
      <c r="B204" s="2" t="str">
        <f t="shared" ref="B204:B267" si="21">IF(M204="","",IF(WEEKNUM(M204)&lt;10,VALUE(CONCATENATE(YEAR(M204),"0",WEEKNUM(M204))),VALUE(CONCATENATE(YEAR(M204),WEEKNUM(M204)))))</f>
        <v/>
      </c>
      <c r="C204" s="2" t="str">
        <f t="shared" ref="C204:C267" si="22">IF(P204="","",IF(WEEKNUM(P204)&lt;10,VALUE(CONCATENATE(YEAR(P204),"0",WEEKNUM(P204))),VALUE(CONCATENATE(YEAR(P204),WEEKNUM(P204)))))</f>
        <v/>
      </c>
      <c r="D204" s="2" t="str">
        <f t="shared" ref="D204:D267" si="23">IF(OR(O204="Not started",O204="In progress"),"N",IF(OR(O204="N/A",O204="Suspended",O204="Canceled"),"","Y"))</f>
        <v>Y</v>
      </c>
      <c r="E204" s="2">
        <f t="shared" ref="E204:E267" si="24">IF(OR(O204="Not started",O204="In progress",O204="Applied",O204="Closed"),1,0)</f>
        <v>0</v>
      </c>
      <c r="F204" s="2" t="str">
        <f t="shared" si="19"/>
        <v/>
      </c>
      <c r="H204" s="121" t="s">
        <v>201</v>
      </c>
      <c r="I204" s="92"/>
      <c r="J204" s="93"/>
      <c r="K204" s="93"/>
      <c r="L204" s="94"/>
      <c r="M204" s="100"/>
      <c r="N204" s="96"/>
      <c r="O204" s="97"/>
      <c r="P204" s="98"/>
      <c r="Q204" s="101"/>
      <c r="R204" s="78" t="str">
        <f t="shared" si="20"/>
        <v/>
      </c>
    </row>
    <row r="205" spans="2:18" x14ac:dyDescent="0.2">
      <c r="B205" s="2" t="str">
        <f t="shared" si="21"/>
        <v/>
      </c>
      <c r="C205" s="2" t="str">
        <f t="shared" si="22"/>
        <v/>
      </c>
      <c r="D205" s="2" t="str">
        <f t="shared" si="23"/>
        <v>Y</v>
      </c>
      <c r="E205" s="2">
        <f t="shared" si="24"/>
        <v>0</v>
      </c>
      <c r="F205" s="2" t="str">
        <f t="shared" si="19"/>
        <v/>
      </c>
      <c r="H205" s="121" t="s">
        <v>202</v>
      </c>
      <c r="I205" s="92"/>
      <c r="J205" s="93"/>
      <c r="K205" s="93"/>
      <c r="L205" s="94"/>
      <c r="M205" s="100"/>
      <c r="N205" s="96"/>
      <c r="O205" s="97"/>
      <c r="P205" s="98"/>
      <c r="Q205" s="101"/>
      <c r="R205" s="78" t="str">
        <f t="shared" si="20"/>
        <v/>
      </c>
    </row>
    <row r="206" spans="2:18" x14ac:dyDescent="0.2">
      <c r="B206" s="2" t="str">
        <f t="shared" si="21"/>
        <v/>
      </c>
      <c r="C206" s="2" t="str">
        <f t="shared" si="22"/>
        <v/>
      </c>
      <c r="D206" s="2" t="str">
        <f t="shared" si="23"/>
        <v>Y</v>
      </c>
      <c r="E206" s="2">
        <f t="shared" si="24"/>
        <v>0</v>
      </c>
      <c r="F206" s="2" t="str">
        <f t="shared" ref="F206:F269" si="25">IF(N206="",B206,IF(WEEKNUM(N206)&lt;10,VALUE(CONCATENATE(YEAR(N206),"0",WEEKNUM(N206))),VALUE(CONCATENATE(YEAR(N206),WEEKNUM(N206)))))</f>
        <v/>
      </c>
      <c r="H206" s="121" t="s">
        <v>203</v>
      </c>
      <c r="I206" s="92"/>
      <c r="J206" s="93"/>
      <c r="K206" s="93"/>
      <c r="L206" s="94"/>
      <c r="M206" s="100"/>
      <c r="N206" s="96"/>
      <c r="O206" s="97"/>
      <c r="P206" s="98"/>
      <c r="Q206" s="101"/>
      <c r="R206" s="78" t="str">
        <f t="shared" si="20"/>
        <v/>
      </c>
    </row>
    <row r="207" spans="2:18" x14ac:dyDescent="0.2">
      <c r="B207" s="2" t="str">
        <f t="shared" si="21"/>
        <v/>
      </c>
      <c r="C207" s="2" t="str">
        <f t="shared" si="22"/>
        <v/>
      </c>
      <c r="D207" s="2" t="str">
        <f t="shared" si="23"/>
        <v>Y</v>
      </c>
      <c r="E207" s="2">
        <f t="shared" si="24"/>
        <v>0</v>
      </c>
      <c r="F207" s="2" t="str">
        <f t="shared" si="25"/>
        <v/>
      </c>
      <c r="H207" s="121" t="s">
        <v>204</v>
      </c>
      <c r="I207" s="92"/>
      <c r="J207" s="93"/>
      <c r="K207" s="93"/>
      <c r="L207" s="94"/>
      <c r="M207" s="100"/>
      <c r="N207" s="96"/>
      <c r="O207" s="97"/>
      <c r="P207" s="98"/>
      <c r="Q207" s="101"/>
      <c r="R207" s="78" t="str">
        <f t="shared" si="20"/>
        <v/>
      </c>
    </row>
    <row r="208" spans="2:18" x14ac:dyDescent="0.2">
      <c r="B208" s="2" t="str">
        <f t="shared" si="21"/>
        <v/>
      </c>
      <c r="C208" s="2" t="str">
        <f t="shared" si="22"/>
        <v/>
      </c>
      <c r="D208" s="2" t="str">
        <f t="shared" si="23"/>
        <v>Y</v>
      </c>
      <c r="E208" s="2">
        <f t="shared" si="24"/>
        <v>0</v>
      </c>
      <c r="F208" s="2" t="str">
        <f t="shared" si="25"/>
        <v/>
      </c>
      <c r="H208" s="121" t="s">
        <v>205</v>
      </c>
      <c r="I208" s="92"/>
      <c r="J208" s="93"/>
      <c r="K208" s="93"/>
      <c r="L208" s="94"/>
      <c r="M208" s="100"/>
      <c r="N208" s="96"/>
      <c r="O208" s="97"/>
      <c r="P208" s="98"/>
      <c r="Q208" s="101"/>
      <c r="R208" s="78" t="str">
        <f t="shared" si="20"/>
        <v/>
      </c>
    </row>
    <row r="209" spans="2:18" x14ac:dyDescent="0.2">
      <c r="B209" s="2" t="str">
        <f t="shared" si="21"/>
        <v/>
      </c>
      <c r="C209" s="2" t="str">
        <f t="shared" si="22"/>
        <v/>
      </c>
      <c r="D209" s="2" t="str">
        <f t="shared" si="23"/>
        <v>Y</v>
      </c>
      <c r="E209" s="2">
        <f t="shared" si="24"/>
        <v>0</v>
      </c>
      <c r="F209" s="2" t="str">
        <f t="shared" si="25"/>
        <v/>
      </c>
      <c r="H209" s="121" t="s">
        <v>206</v>
      </c>
      <c r="I209" s="92"/>
      <c r="J209" s="93"/>
      <c r="K209" s="93"/>
      <c r="L209" s="94"/>
      <c r="M209" s="100"/>
      <c r="N209" s="96"/>
      <c r="O209" s="97"/>
      <c r="P209" s="98"/>
      <c r="Q209" s="101"/>
      <c r="R209" s="78" t="str">
        <f t="shared" si="20"/>
        <v/>
      </c>
    </row>
    <row r="210" spans="2:18" x14ac:dyDescent="0.2">
      <c r="B210" s="2" t="str">
        <f t="shared" si="21"/>
        <v/>
      </c>
      <c r="C210" s="2" t="str">
        <f t="shared" si="22"/>
        <v/>
      </c>
      <c r="D210" s="2" t="str">
        <f t="shared" si="23"/>
        <v>Y</v>
      </c>
      <c r="E210" s="2">
        <f t="shared" si="24"/>
        <v>0</v>
      </c>
      <c r="F210" s="2" t="str">
        <f t="shared" si="25"/>
        <v/>
      </c>
      <c r="H210" s="121" t="s">
        <v>207</v>
      </c>
      <c r="I210" s="92"/>
      <c r="J210" s="93"/>
      <c r="K210" s="93"/>
      <c r="L210" s="94"/>
      <c r="M210" s="100"/>
      <c r="N210" s="96"/>
      <c r="O210" s="97"/>
      <c r="P210" s="98"/>
      <c r="Q210" s="101"/>
      <c r="R210" s="78" t="str">
        <f t="shared" si="20"/>
        <v/>
      </c>
    </row>
    <row r="211" spans="2:18" x14ac:dyDescent="0.2">
      <c r="B211" s="2" t="str">
        <f t="shared" si="21"/>
        <v/>
      </c>
      <c r="C211" s="2" t="str">
        <f t="shared" si="22"/>
        <v/>
      </c>
      <c r="D211" s="2" t="str">
        <f t="shared" si="23"/>
        <v>Y</v>
      </c>
      <c r="E211" s="2">
        <f t="shared" si="24"/>
        <v>0</v>
      </c>
      <c r="F211" s="2" t="str">
        <f t="shared" si="25"/>
        <v/>
      </c>
      <c r="H211" s="121" t="s">
        <v>208</v>
      </c>
      <c r="I211" s="92"/>
      <c r="J211" s="93"/>
      <c r="K211" s="93"/>
      <c r="L211" s="94"/>
      <c r="M211" s="100"/>
      <c r="N211" s="96"/>
      <c r="O211" s="97"/>
      <c r="P211" s="98"/>
      <c r="Q211" s="101"/>
      <c r="R211" s="78" t="str">
        <f t="shared" si="20"/>
        <v/>
      </c>
    </row>
    <row r="212" spans="2:18" x14ac:dyDescent="0.2">
      <c r="B212" s="2" t="str">
        <f t="shared" si="21"/>
        <v/>
      </c>
      <c r="C212" s="2" t="str">
        <f t="shared" si="22"/>
        <v/>
      </c>
      <c r="D212" s="2" t="str">
        <f t="shared" si="23"/>
        <v>Y</v>
      </c>
      <c r="E212" s="2">
        <f t="shared" si="24"/>
        <v>0</v>
      </c>
      <c r="F212" s="2" t="str">
        <f t="shared" si="25"/>
        <v/>
      </c>
      <c r="H212" s="121" t="s">
        <v>209</v>
      </c>
      <c r="I212" s="92"/>
      <c r="J212" s="93"/>
      <c r="K212" s="93"/>
      <c r="L212" s="94"/>
      <c r="M212" s="100"/>
      <c r="N212" s="96"/>
      <c r="O212" s="97"/>
      <c r="P212" s="98"/>
      <c r="Q212" s="101"/>
      <c r="R212" s="78" t="str">
        <f t="shared" si="20"/>
        <v/>
      </c>
    </row>
    <row r="213" spans="2:18" x14ac:dyDescent="0.2">
      <c r="B213" s="2" t="str">
        <f t="shared" si="21"/>
        <v/>
      </c>
      <c r="C213" s="2" t="str">
        <f t="shared" si="22"/>
        <v/>
      </c>
      <c r="D213" s="2" t="str">
        <f t="shared" si="23"/>
        <v>Y</v>
      </c>
      <c r="E213" s="2">
        <f t="shared" si="24"/>
        <v>0</v>
      </c>
      <c r="F213" s="2" t="str">
        <f t="shared" si="25"/>
        <v/>
      </c>
      <c r="H213" s="121" t="s">
        <v>210</v>
      </c>
      <c r="I213" s="92"/>
      <c r="J213" s="93"/>
      <c r="K213" s="93"/>
      <c r="L213" s="94"/>
      <c r="M213" s="100"/>
      <c r="N213" s="96"/>
      <c r="O213" s="97"/>
      <c r="P213" s="98"/>
      <c r="Q213" s="101"/>
      <c r="R213" s="78" t="str">
        <f t="shared" si="20"/>
        <v/>
      </c>
    </row>
    <row r="214" spans="2:18" x14ac:dyDescent="0.2">
      <c r="B214" s="2" t="str">
        <f t="shared" si="21"/>
        <v/>
      </c>
      <c r="C214" s="2" t="str">
        <f t="shared" si="22"/>
        <v/>
      </c>
      <c r="D214" s="2" t="str">
        <f t="shared" si="23"/>
        <v>Y</v>
      </c>
      <c r="E214" s="2">
        <f t="shared" si="24"/>
        <v>0</v>
      </c>
      <c r="F214" s="2" t="str">
        <f t="shared" si="25"/>
        <v/>
      </c>
      <c r="H214" s="121" t="s">
        <v>211</v>
      </c>
      <c r="I214" s="92"/>
      <c r="J214" s="93"/>
      <c r="K214" s="93"/>
      <c r="L214" s="94"/>
      <c r="M214" s="100"/>
      <c r="N214" s="96"/>
      <c r="O214" s="97"/>
      <c r="P214" s="98"/>
      <c r="Q214" s="101"/>
      <c r="R214" s="78" t="str">
        <f t="shared" si="20"/>
        <v/>
      </c>
    </row>
    <row r="215" spans="2:18" x14ac:dyDescent="0.2">
      <c r="B215" s="2" t="str">
        <f t="shared" si="21"/>
        <v/>
      </c>
      <c r="C215" s="2" t="str">
        <f t="shared" si="22"/>
        <v/>
      </c>
      <c r="D215" s="2" t="str">
        <f t="shared" si="23"/>
        <v>Y</v>
      </c>
      <c r="E215" s="2">
        <f t="shared" si="24"/>
        <v>0</v>
      </c>
      <c r="F215" s="2" t="str">
        <f t="shared" si="25"/>
        <v/>
      </c>
      <c r="H215" s="121" t="s">
        <v>212</v>
      </c>
      <c r="I215" s="92"/>
      <c r="J215" s="93"/>
      <c r="K215" s="93"/>
      <c r="L215" s="94"/>
      <c r="M215" s="100"/>
      <c r="N215" s="96"/>
      <c r="O215" s="97"/>
      <c r="P215" s="98"/>
      <c r="Q215" s="101"/>
      <c r="R215" s="78" t="str">
        <f t="shared" si="20"/>
        <v/>
      </c>
    </row>
    <row r="216" spans="2:18" x14ac:dyDescent="0.2">
      <c r="B216" s="2" t="str">
        <f t="shared" si="21"/>
        <v/>
      </c>
      <c r="C216" s="2" t="str">
        <f t="shared" si="22"/>
        <v/>
      </c>
      <c r="D216" s="2" t="str">
        <f t="shared" si="23"/>
        <v>Y</v>
      </c>
      <c r="E216" s="2">
        <f t="shared" si="24"/>
        <v>0</v>
      </c>
      <c r="F216" s="2" t="str">
        <f t="shared" si="25"/>
        <v/>
      </c>
      <c r="H216" s="121" t="s">
        <v>213</v>
      </c>
      <c r="I216" s="92"/>
      <c r="J216" s="93"/>
      <c r="K216" s="93"/>
      <c r="L216" s="94"/>
      <c r="M216" s="100"/>
      <c r="N216" s="96"/>
      <c r="O216" s="97"/>
      <c r="P216" s="98"/>
      <c r="Q216" s="101"/>
      <c r="R216" s="78" t="str">
        <f t="shared" si="20"/>
        <v/>
      </c>
    </row>
    <row r="217" spans="2:18" x14ac:dyDescent="0.2">
      <c r="B217" s="2" t="str">
        <f t="shared" si="21"/>
        <v/>
      </c>
      <c r="C217" s="2" t="str">
        <f t="shared" si="22"/>
        <v/>
      </c>
      <c r="D217" s="2" t="str">
        <f t="shared" si="23"/>
        <v>Y</v>
      </c>
      <c r="E217" s="2">
        <f t="shared" si="24"/>
        <v>0</v>
      </c>
      <c r="F217" s="2" t="str">
        <f t="shared" si="25"/>
        <v/>
      </c>
      <c r="H217" s="121" t="s">
        <v>214</v>
      </c>
      <c r="I217" s="92"/>
      <c r="J217" s="93"/>
      <c r="K217" s="93"/>
      <c r="L217" s="94"/>
      <c r="M217" s="100"/>
      <c r="N217" s="96"/>
      <c r="O217" s="97"/>
      <c r="P217" s="98"/>
      <c r="Q217" s="101"/>
      <c r="R217" s="78" t="str">
        <f t="shared" si="20"/>
        <v/>
      </c>
    </row>
    <row r="218" spans="2:18" x14ac:dyDescent="0.2">
      <c r="B218" s="2" t="str">
        <f t="shared" si="21"/>
        <v/>
      </c>
      <c r="C218" s="2" t="str">
        <f t="shared" si="22"/>
        <v/>
      </c>
      <c r="D218" s="2" t="str">
        <f t="shared" si="23"/>
        <v>Y</v>
      </c>
      <c r="E218" s="2">
        <f t="shared" si="24"/>
        <v>0</v>
      </c>
      <c r="F218" s="2" t="str">
        <f t="shared" si="25"/>
        <v/>
      </c>
      <c r="H218" s="121" t="s">
        <v>215</v>
      </c>
      <c r="I218" s="92"/>
      <c r="J218" s="93"/>
      <c r="K218" s="93"/>
      <c r="L218" s="94"/>
      <c r="M218" s="100"/>
      <c r="N218" s="96"/>
      <c r="O218" s="97"/>
      <c r="P218" s="98"/>
      <c r="Q218" s="101"/>
      <c r="R218" s="78" t="str">
        <f t="shared" si="20"/>
        <v/>
      </c>
    </row>
    <row r="219" spans="2:18" x14ac:dyDescent="0.2">
      <c r="B219" s="2" t="str">
        <f t="shared" si="21"/>
        <v/>
      </c>
      <c r="C219" s="2" t="str">
        <f t="shared" si="22"/>
        <v/>
      </c>
      <c r="D219" s="2" t="str">
        <f t="shared" si="23"/>
        <v>Y</v>
      </c>
      <c r="E219" s="2">
        <f t="shared" si="24"/>
        <v>0</v>
      </c>
      <c r="F219" s="2" t="str">
        <f t="shared" si="25"/>
        <v/>
      </c>
      <c r="H219" s="121" t="s">
        <v>216</v>
      </c>
      <c r="I219" s="92"/>
      <c r="J219" s="93"/>
      <c r="K219" s="93"/>
      <c r="L219" s="94"/>
      <c r="M219" s="100"/>
      <c r="N219" s="96"/>
      <c r="O219" s="97"/>
      <c r="P219" s="98"/>
      <c r="Q219" s="101"/>
      <c r="R219" s="78" t="str">
        <f t="shared" si="20"/>
        <v/>
      </c>
    </row>
    <row r="220" spans="2:18" x14ac:dyDescent="0.2">
      <c r="B220" s="2" t="str">
        <f t="shared" si="21"/>
        <v/>
      </c>
      <c r="C220" s="2" t="str">
        <f t="shared" si="22"/>
        <v/>
      </c>
      <c r="D220" s="2" t="str">
        <f t="shared" si="23"/>
        <v>Y</v>
      </c>
      <c r="E220" s="2">
        <f t="shared" si="24"/>
        <v>0</v>
      </c>
      <c r="F220" s="2" t="str">
        <f t="shared" si="25"/>
        <v/>
      </c>
      <c r="H220" s="121" t="s">
        <v>217</v>
      </c>
      <c r="I220" s="92"/>
      <c r="J220" s="93"/>
      <c r="K220" s="93"/>
      <c r="L220" s="94"/>
      <c r="M220" s="100"/>
      <c r="N220" s="96"/>
      <c r="O220" s="97"/>
      <c r="P220" s="98"/>
      <c r="Q220" s="101"/>
      <c r="R220" s="78" t="str">
        <f t="shared" si="20"/>
        <v/>
      </c>
    </row>
    <row r="221" spans="2:18" x14ac:dyDescent="0.2">
      <c r="B221" s="2" t="str">
        <f t="shared" si="21"/>
        <v/>
      </c>
      <c r="C221" s="2" t="str">
        <f t="shared" si="22"/>
        <v/>
      </c>
      <c r="D221" s="2" t="str">
        <f t="shared" si="23"/>
        <v>Y</v>
      </c>
      <c r="E221" s="2">
        <f t="shared" si="24"/>
        <v>0</v>
      </c>
      <c r="F221" s="2" t="str">
        <f t="shared" si="25"/>
        <v/>
      </c>
      <c r="H221" s="121" t="s">
        <v>218</v>
      </c>
      <c r="I221" s="92"/>
      <c r="J221" s="93"/>
      <c r="K221" s="93"/>
      <c r="L221" s="94"/>
      <c r="M221" s="100"/>
      <c r="N221" s="96"/>
      <c r="O221" s="97"/>
      <c r="P221" s="98"/>
      <c r="Q221" s="101"/>
      <c r="R221" s="78" t="str">
        <f t="shared" si="20"/>
        <v/>
      </c>
    </row>
    <row r="222" spans="2:18" x14ac:dyDescent="0.2">
      <c r="B222" s="2" t="str">
        <f t="shared" si="21"/>
        <v/>
      </c>
      <c r="C222" s="2" t="str">
        <f t="shared" si="22"/>
        <v/>
      </c>
      <c r="D222" s="2" t="str">
        <f t="shared" si="23"/>
        <v>Y</v>
      </c>
      <c r="E222" s="2">
        <f t="shared" si="24"/>
        <v>0</v>
      </c>
      <c r="F222" s="2" t="str">
        <f t="shared" si="25"/>
        <v/>
      </c>
      <c r="H222" s="121" t="s">
        <v>219</v>
      </c>
      <c r="I222" s="92"/>
      <c r="J222" s="93"/>
      <c r="K222" s="93"/>
      <c r="L222" s="94"/>
      <c r="M222" s="100"/>
      <c r="N222" s="96"/>
      <c r="O222" s="97"/>
      <c r="P222" s="98"/>
      <c r="Q222" s="101"/>
      <c r="R222" s="78" t="str">
        <f t="shared" si="20"/>
        <v/>
      </c>
    </row>
    <row r="223" spans="2:18" x14ac:dyDescent="0.2">
      <c r="B223" s="2" t="str">
        <f t="shared" si="21"/>
        <v/>
      </c>
      <c r="C223" s="2" t="str">
        <f t="shared" si="22"/>
        <v/>
      </c>
      <c r="D223" s="2" t="str">
        <f t="shared" si="23"/>
        <v>Y</v>
      </c>
      <c r="E223" s="2">
        <f t="shared" si="24"/>
        <v>0</v>
      </c>
      <c r="F223" s="2" t="str">
        <f t="shared" si="25"/>
        <v/>
      </c>
      <c r="H223" s="121" t="s">
        <v>220</v>
      </c>
      <c r="I223" s="92"/>
      <c r="J223" s="93"/>
      <c r="K223" s="93"/>
      <c r="L223" s="94"/>
      <c r="M223" s="100"/>
      <c r="N223" s="96"/>
      <c r="O223" s="97"/>
      <c r="P223" s="98"/>
      <c r="Q223" s="101"/>
      <c r="R223" s="78" t="str">
        <f t="shared" si="20"/>
        <v/>
      </c>
    </row>
    <row r="224" spans="2:18" x14ac:dyDescent="0.2">
      <c r="B224" s="2" t="str">
        <f t="shared" si="21"/>
        <v/>
      </c>
      <c r="C224" s="2" t="str">
        <f t="shared" si="22"/>
        <v/>
      </c>
      <c r="D224" s="2" t="str">
        <f t="shared" si="23"/>
        <v>Y</v>
      </c>
      <c r="E224" s="2">
        <f t="shared" si="24"/>
        <v>0</v>
      </c>
      <c r="F224" s="2" t="str">
        <f t="shared" si="25"/>
        <v/>
      </c>
      <c r="H224" s="121" t="s">
        <v>221</v>
      </c>
      <c r="I224" s="92"/>
      <c r="J224" s="93"/>
      <c r="K224" s="93"/>
      <c r="L224" s="94"/>
      <c r="M224" s="100"/>
      <c r="N224" s="96"/>
      <c r="O224" s="97"/>
      <c r="P224" s="98"/>
      <c r="Q224" s="101"/>
      <c r="R224" s="78" t="str">
        <f t="shared" si="20"/>
        <v/>
      </c>
    </row>
    <row r="225" spans="2:18" x14ac:dyDescent="0.2">
      <c r="B225" s="2" t="str">
        <f t="shared" si="21"/>
        <v/>
      </c>
      <c r="C225" s="2" t="str">
        <f t="shared" si="22"/>
        <v/>
      </c>
      <c r="D225" s="2" t="str">
        <f t="shared" si="23"/>
        <v>Y</v>
      </c>
      <c r="E225" s="2">
        <f t="shared" si="24"/>
        <v>0</v>
      </c>
      <c r="F225" s="2" t="str">
        <f t="shared" si="25"/>
        <v/>
      </c>
      <c r="H225" s="121" t="s">
        <v>222</v>
      </c>
      <c r="I225" s="92"/>
      <c r="J225" s="93"/>
      <c r="K225" s="93"/>
      <c r="L225" s="94"/>
      <c r="M225" s="100"/>
      <c r="N225" s="96"/>
      <c r="O225" s="97"/>
      <c r="P225" s="98"/>
      <c r="Q225" s="101"/>
      <c r="R225" s="78" t="str">
        <f t="shared" si="20"/>
        <v/>
      </c>
    </row>
    <row r="226" spans="2:18" x14ac:dyDescent="0.2">
      <c r="B226" s="2" t="str">
        <f t="shared" si="21"/>
        <v/>
      </c>
      <c r="C226" s="2" t="str">
        <f t="shared" si="22"/>
        <v/>
      </c>
      <c r="D226" s="2" t="str">
        <f t="shared" si="23"/>
        <v>Y</v>
      </c>
      <c r="E226" s="2">
        <f t="shared" si="24"/>
        <v>0</v>
      </c>
      <c r="F226" s="2" t="str">
        <f t="shared" si="25"/>
        <v/>
      </c>
      <c r="H226" s="121" t="s">
        <v>223</v>
      </c>
      <c r="I226" s="92"/>
      <c r="J226" s="93"/>
      <c r="K226" s="93"/>
      <c r="L226" s="94"/>
      <c r="M226" s="100"/>
      <c r="N226" s="96"/>
      <c r="O226" s="97"/>
      <c r="P226" s="98"/>
      <c r="Q226" s="101"/>
      <c r="R226" s="78" t="str">
        <f t="shared" si="20"/>
        <v/>
      </c>
    </row>
    <row r="227" spans="2:18" x14ac:dyDescent="0.2">
      <c r="B227" s="2" t="str">
        <f t="shared" si="21"/>
        <v/>
      </c>
      <c r="C227" s="2" t="str">
        <f t="shared" si="22"/>
        <v/>
      </c>
      <c r="D227" s="2" t="str">
        <f t="shared" si="23"/>
        <v>Y</v>
      </c>
      <c r="E227" s="2">
        <f t="shared" si="24"/>
        <v>0</v>
      </c>
      <c r="F227" s="2" t="str">
        <f t="shared" si="25"/>
        <v/>
      </c>
      <c r="H227" s="121" t="s">
        <v>224</v>
      </c>
      <c r="I227" s="92"/>
      <c r="J227" s="93"/>
      <c r="K227" s="93"/>
      <c r="L227" s="94"/>
      <c r="M227" s="100"/>
      <c r="N227" s="96"/>
      <c r="O227" s="97"/>
      <c r="P227" s="98"/>
      <c r="Q227" s="101"/>
      <c r="R227" s="78" t="str">
        <f t="shared" si="20"/>
        <v/>
      </c>
    </row>
    <row r="228" spans="2:18" x14ac:dyDescent="0.2">
      <c r="B228" s="2" t="str">
        <f t="shared" si="21"/>
        <v/>
      </c>
      <c r="C228" s="2" t="str">
        <f t="shared" si="22"/>
        <v/>
      </c>
      <c r="D228" s="2" t="str">
        <f t="shared" si="23"/>
        <v>Y</v>
      </c>
      <c r="E228" s="2">
        <f t="shared" si="24"/>
        <v>0</v>
      </c>
      <c r="F228" s="2" t="str">
        <f t="shared" si="25"/>
        <v/>
      </c>
      <c r="H228" s="121" t="s">
        <v>225</v>
      </c>
      <c r="I228" s="92"/>
      <c r="J228" s="93"/>
      <c r="K228" s="93"/>
      <c r="L228" s="94"/>
      <c r="M228" s="100"/>
      <c r="N228" s="96"/>
      <c r="O228" s="97"/>
      <c r="P228" s="98"/>
      <c r="Q228" s="101"/>
      <c r="R228" s="78" t="str">
        <f t="shared" si="20"/>
        <v/>
      </c>
    </row>
    <row r="229" spans="2:18" x14ac:dyDescent="0.2">
      <c r="B229" s="2" t="str">
        <f t="shared" si="21"/>
        <v/>
      </c>
      <c r="C229" s="2" t="str">
        <f t="shared" si="22"/>
        <v/>
      </c>
      <c r="D229" s="2" t="str">
        <f t="shared" si="23"/>
        <v>Y</v>
      </c>
      <c r="E229" s="2">
        <f t="shared" si="24"/>
        <v>0</v>
      </c>
      <c r="F229" s="2" t="str">
        <f t="shared" si="25"/>
        <v/>
      </c>
      <c r="H229" s="121" t="s">
        <v>226</v>
      </c>
      <c r="I229" s="92"/>
      <c r="J229" s="93"/>
      <c r="K229" s="93"/>
      <c r="L229" s="94"/>
      <c r="M229" s="100"/>
      <c r="N229" s="96"/>
      <c r="O229" s="97"/>
      <c r="P229" s="98"/>
      <c r="Q229" s="101"/>
      <c r="R229" s="78" t="str">
        <f t="shared" si="20"/>
        <v/>
      </c>
    </row>
    <row r="230" spans="2:18" x14ac:dyDescent="0.2">
      <c r="B230" s="2" t="str">
        <f t="shared" si="21"/>
        <v/>
      </c>
      <c r="C230" s="2" t="str">
        <f t="shared" si="22"/>
        <v/>
      </c>
      <c r="D230" s="2" t="str">
        <f t="shared" si="23"/>
        <v>Y</v>
      </c>
      <c r="E230" s="2">
        <f t="shared" si="24"/>
        <v>0</v>
      </c>
      <c r="F230" s="2" t="str">
        <f t="shared" si="25"/>
        <v/>
      </c>
      <c r="H230" s="121" t="s">
        <v>227</v>
      </c>
      <c r="I230" s="92"/>
      <c r="J230" s="93"/>
      <c r="K230" s="93"/>
      <c r="L230" s="94"/>
      <c r="M230" s="100"/>
      <c r="N230" s="96"/>
      <c r="O230" s="97"/>
      <c r="P230" s="98"/>
      <c r="Q230" s="101"/>
      <c r="R230" s="78" t="str">
        <f t="shared" si="20"/>
        <v/>
      </c>
    </row>
    <row r="231" spans="2:18" x14ac:dyDescent="0.2">
      <c r="B231" s="2" t="str">
        <f t="shared" si="21"/>
        <v/>
      </c>
      <c r="C231" s="2" t="str">
        <f t="shared" si="22"/>
        <v/>
      </c>
      <c r="D231" s="2" t="str">
        <f t="shared" si="23"/>
        <v>Y</v>
      </c>
      <c r="E231" s="2">
        <f t="shared" si="24"/>
        <v>0</v>
      </c>
      <c r="F231" s="2" t="str">
        <f t="shared" si="25"/>
        <v/>
      </c>
      <c r="H231" s="121" t="s">
        <v>228</v>
      </c>
      <c r="I231" s="92"/>
      <c r="J231" s="93"/>
      <c r="K231" s="93"/>
      <c r="L231" s="94"/>
      <c r="M231" s="100"/>
      <c r="N231" s="96"/>
      <c r="O231" s="97"/>
      <c r="P231" s="98"/>
      <c r="Q231" s="101"/>
      <c r="R231" s="78" t="str">
        <f t="shared" si="20"/>
        <v/>
      </c>
    </row>
    <row r="232" spans="2:18" x14ac:dyDescent="0.2">
      <c r="B232" s="2" t="str">
        <f t="shared" si="21"/>
        <v/>
      </c>
      <c r="C232" s="2" t="str">
        <f t="shared" si="22"/>
        <v/>
      </c>
      <c r="D232" s="2" t="str">
        <f t="shared" si="23"/>
        <v>Y</v>
      </c>
      <c r="E232" s="2">
        <f t="shared" si="24"/>
        <v>0</v>
      </c>
      <c r="F232" s="2" t="str">
        <f t="shared" si="25"/>
        <v/>
      </c>
      <c r="H232" s="121" t="s">
        <v>229</v>
      </c>
      <c r="I232" s="92"/>
      <c r="J232" s="93"/>
      <c r="K232" s="93"/>
      <c r="L232" s="94"/>
      <c r="M232" s="100"/>
      <c r="N232" s="96"/>
      <c r="O232" s="97"/>
      <c r="P232" s="98"/>
      <c r="Q232" s="101"/>
      <c r="R232" s="78" t="str">
        <f t="shared" si="20"/>
        <v/>
      </c>
    </row>
    <row r="233" spans="2:18" x14ac:dyDescent="0.2">
      <c r="B233" s="2" t="str">
        <f t="shared" si="21"/>
        <v/>
      </c>
      <c r="C233" s="2" t="str">
        <f t="shared" si="22"/>
        <v/>
      </c>
      <c r="D233" s="2" t="str">
        <f t="shared" si="23"/>
        <v>Y</v>
      </c>
      <c r="E233" s="2">
        <f t="shared" si="24"/>
        <v>0</v>
      </c>
      <c r="F233" s="2" t="str">
        <f t="shared" si="25"/>
        <v/>
      </c>
      <c r="H233" s="121" t="s">
        <v>230</v>
      </c>
      <c r="I233" s="92"/>
      <c r="J233" s="93"/>
      <c r="K233" s="93"/>
      <c r="L233" s="94"/>
      <c r="M233" s="100"/>
      <c r="N233" s="96"/>
      <c r="O233" s="97"/>
      <c r="P233" s="98"/>
      <c r="Q233" s="101"/>
      <c r="R233" s="78" t="str">
        <f t="shared" si="20"/>
        <v/>
      </c>
    </row>
    <row r="234" spans="2:18" x14ac:dyDescent="0.2">
      <c r="B234" s="2" t="str">
        <f t="shared" si="21"/>
        <v/>
      </c>
      <c r="C234" s="2" t="str">
        <f t="shared" si="22"/>
        <v/>
      </c>
      <c r="D234" s="2" t="str">
        <f t="shared" si="23"/>
        <v>Y</v>
      </c>
      <c r="E234" s="2">
        <f t="shared" si="24"/>
        <v>0</v>
      </c>
      <c r="F234" s="2" t="str">
        <f t="shared" si="25"/>
        <v/>
      </c>
      <c r="H234" s="121" t="s">
        <v>231</v>
      </c>
      <c r="I234" s="92"/>
      <c r="J234" s="93"/>
      <c r="K234" s="93"/>
      <c r="L234" s="94"/>
      <c r="M234" s="100"/>
      <c r="N234" s="96"/>
      <c r="O234" s="97"/>
      <c r="P234" s="98"/>
      <c r="Q234" s="101"/>
      <c r="R234" s="78" t="str">
        <f t="shared" si="20"/>
        <v/>
      </c>
    </row>
    <row r="235" spans="2:18" x14ac:dyDescent="0.2">
      <c r="B235" s="2" t="str">
        <f t="shared" si="21"/>
        <v/>
      </c>
      <c r="C235" s="2" t="str">
        <f t="shared" si="22"/>
        <v/>
      </c>
      <c r="D235" s="2" t="str">
        <f t="shared" si="23"/>
        <v>Y</v>
      </c>
      <c r="E235" s="2">
        <f t="shared" si="24"/>
        <v>0</v>
      </c>
      <c r="F235" s="2" t="str">
        <f t="shared" si="25"/>
        <v/>
      </c>
      <c r="H235" s="121" t="s">
        <v>232</v>
      </c>
      <c r="I235" s="92"/>
      <c r="J235" s="93"/>
      <c r="K235" s="93"/>
      <c r="L235" s="94"/>
      <c r="M235" s="100"/>
      <c r="N235" s="96"/>
      <c r="O235" s="97"/>
      <c r="P235" s="98"/>
      <c r="Q235" s="101"/>
      <c r="R235" s="78" t="str">
        <f t="shared" si="20"/>
        <v/>
      </c>
    </row>
    <row r="236" spans="2:18" x14ac:dyDescent="0.2">
      <c r="B236" s="2" t="str">
        <f t="shared" si="21"/>
        <v/>
      </c>
      <c r="C236" s="2" t="str">
        <f t="shared" si="22"/>
        <v/>
      </c>
      <c r="D236" s="2" t="str">
        <f t="shared" si="23"/>
        <v>Y</v>
      </c>
      <c r="E236" s="2">
        <f t="shared" si="24"/>
        <v>0</v>
      </c>
      <c r="F236" s="2" t="str">
        <f t="shared" si="25"/>
        <v/>
      </c>
      <c r="H236" s="121" t="s">
        <v>233</v>
      </c>
      <c r="I236" s="92"/>
      <c r="J236" s="93"/>
      <c r="K236" s="93"/>
      <c r="L236" s="94"/>
      <c r="M236" s="100"/>
      <c r="N236" s="96"/>
      <c r="O236" s="97"/>
      <c r="P236" s="98"/>
      <c r="Q236" s="101"/>
      <c r="R236" s="78" t="str">
        <f t="shared" si="20"/>
        <v/>
      </c>
    </row>
    <row r="237" spans="2:18" x14ac:dyDescent="0.2">
      <c r="B237" s="2" t="str">
        <f t="shared" si="21"/>
        <v/>
      </c>
      <c r="C237" s="2" t="str">
        <f t="shared" si="22"/>
        <v/>
      </c>
      <c r="D237" s="2" t="str">
        <f t="shared" si="23"/>
        <v>Y</v>
      </c>
      <c r="E237" s="2">
        <f t="shared" si="24"/>
        <v>0</v>
      </c>
      <c r="F237" s="2" t="str">
        <f t="shared" si="25"/>
        <v/>
      </c>
      <c r="H237" s="121" t="s">
        <v>234</v>
      </c>
      <c r="I237" s="92"/>
      <c r="J237" s="93"/>
      <c r="K237" s="93"/>
      <c r="L237" s="94"/>
      <c r="M237" s="100"/>
      <c r="N237" s="96"/>
      <c r="O237" s="97"/>
      <c r="P237" s="98"/>
      <c r="Q237" s="101"/>
      <c r="R237" s="78" t="str">
        <f t="shared" si="20"/>
        <v/>
      </c>
    </row>
    <row r="238" spans="2:18" x14ac:dyDescent="0.2">
      <c r="B238" s="2" t="str">
        <f t="shared" si="21"/>
        <v/>
      </c>
      <c r="C238" s="2" t="str">
        <f t="shared" si="22"/>
        <v/>
      </c>
      <c r="D238" s="2" t="str">
        <f t="shared" si="23"/>
        <v>Y</v>
      </c>
      <c r="E238" s="2">
        <f t="shared" si="24"/>
        <v>0</v>
      </c>
      <c r="F238" s="2" t="str">
        <f t="shared" si="25"/>
        <v/>
      </c>
      <c r="H238" s="121" t="s">
        <v>235</v>
      </c>
      <c r="I238" s="92"/>
      <c r="J238" s="93"/>
      <c r="K238" s="93"/>
      <c r="L238" s="94"/>
      <c r="M238" s="100"/>
      <c r="N238" s="96"/>
      <c r="O238" s="97"/>
      <c r="P238" s="98"/>
      <c r="Q238" s="101"/>
      <c r="R238" s="78" t="str">
        <f t="shared" si="20"/>
        <v/>
      </c>
    </row>
    <row r="239" spans="2:18" x14ac:dyDescent="0.2">
      <c r="B239" s="2" t="str">
        <f t="shared" si="21"/>
        <v/>
      </c>
      <c r="C239" s="2" t="str">
        <f t="shared" si="22"/>
        <v/>
      </c>
      <c r="D239" s="2" t="str">
        <f t="shared" si="23"/>
        <v>Y</v>
      </c>
      <c r="E239" s="2">
        <f t="shared" si="24"/>
        <v>0</v>
      </c>
      <c r="F239" s="2" t="str">
        <f t="shared" si="25"/>
        <v/>
      </c>
      <c r="H239" s="121" t="s">
        <v>236</v>
      </c>
      <c r="I239" s="92"/>
      <c r="J239" s="93"/>
      <c r="K239" s="93"/>
      <c r="L239" s="94"/>
      <c r="M239" s="100"/>
      <c r="N239" s="96"/>
      <c r="O239" s="97"/>
      <c r="P239" s="98"/>
      <c r="Q239" s="101"/>
      <c r="R239" s="78" t="str">
        <f t="shared" si="20"/>
        <v/>
      </c>
    </row>
    <row r="240" spans="2:18" x14ac:dyDescent="0.2">
      <c r="B240" s="2" t="str">
        <f t="shared" si="21"/>
        <v/>
      </c>
      <c r="C240" s="2" t="str">
        <f t="shared" si="22"/>
        <v/>
      </c>
      <c r="D240" s="2" t="str">
        <f t="shared" si="23"/>
        <v>Y</v>
      </c>
      <c r="E240" s="2">
        <f t="shared" si="24"/>
        <v>0</v>
      </c>
      <c r="F240" s="2" t="str">
        <f t="shared" si="25"/>
        <v/>
      </c>
      <c r="H240" s="121" t="s">
        <v>237</v>
      </c>
      <c r="I240" s="92"/>
      <c r="J240" s="93"/>
      <c r="K240" s="93"/>
      <c r="L240" s="94"/>
      <c r="M240" s="100"/>
      <c r="N240" s="96"/>
      <c r="O240" s="97"/>
      <c r="P240" s="98"/>
      <c r="Q240" s="101"/>
      <c r="R240" s="78" t="str">
        <f t="shared" si="20"/>
        <v/>
      </c>
    </row>
    <row r="241" spans="2:18" x14ac:dyDescent="0.2">
      <c r="B241" s="2" t="str">
        <f t="shared" si="21"/>
        <v/>
      </c>
      <c r="C241" s="2" t="str">
        <f t="shared" si="22"/>
        <v/>
      </c>
      <c r="D241" s="2" t="str">
        <f t="shared" si="23"/>
        <v>Y</v>
      </c>
      <c r="E241" s="2">
        <f t="shared" si="24"/>
        <v>0</v>
      </c>
      <c r="F241" s="2" t="str">
        <f t="shared" si="25"/>
        <v/>
      </c>
      <c r="H241" s="121" t="s">
        <v>238</v>
      </c>
      <c r="I241" s="92"/>
      <c r="J241" s="93"/>
      <c r="K241" s="93"/>
      <c r="L241" s="94"/>
      <c r="M241" s="100"/>
      <c r="N241" s="96"/>
      <c r="O241" s="97"/>
      <c r="P241" s="98"/>
      <c r="Q241" s="101"/>
      <c r="R241" s="78" t="str">
        <f t="shared" si="20"/>
        <v/>
      </c>
    </row>
    <row r="242" spans="2:18" x14ac:dyDescent="0.2">
      <c r="B242" s="2" t="str">
        <f t="shared" si="21"/>
        <v/>
      </c>
      <c r="C242" s="2" t="str">
        <f t="shared" si="22"/>
        <v/>
      </c>
      <c r="D242" s="2" t="str">
        <f t="shared" si="23"/>
        <v>Y</v>
      </c>
      <c r="E242" s="2">
        <f t="shared" si="24"/>
        <v>0</v>
      </c>
      <c r="F242" s="2" t="str">
        <f t="shared" si="25"/>
        <v/>
      </c>
      <c r="H242" s="121" t="s">
        <v>239</v>
      </c>
      <c r="I242" s="92"/>
      <c r="J242" s="93"/>
      <c r="K242" s="93"/>
      <c r="L242" s="94"/>
      <c r="M242" s="100"/>
      <c r="N242" s="96"/>
      <c r="O242" s="97"/>
      <c r="P242" s="98"/>
      <c r="Q242" s="101"/>
      <c r="R242" s="78" t="str">
        <f t="shared" si="20"/>
        <v/>
      </c>
    </row>
    <row r="243" spans="2:18" x14ac:dyDescent="0.2">
      <c r="B243" s="2" t="str">
        <f t="shared" si="21"/>
        <v/>
      </c>
      <c r="C243" s="2" t="str">
        <f t="shared" si="22"/>
        <v/>
      </c>
      <c r="D243" s="2" t="str">
        <f t="shared" si="23"/>
        <v>Y</v>
      </c>
      <c r="E243" s="2">
        <f t="shared" si="24"/>
        <v>0</v>
      </c>
      <c r="F243" s="2" t="str">
        <f t="shared" si="25"/>
        <v/>
      </c>
      <c r="H243" s="121" t="s">
        <v>240</v>
      </c>
      <c r="I243" s="92"/>
      <c r="J243" s="93"/>
      <c r="K243" s="93"/>
      <c r="L243" s="94"/>
      <c r="M243" s="100"/>
      <c r="N243" s="96"/>
      <c r="O243" s="97"/>
      <c r="P243" s="98"/>
      <c r="Q243" s="101"/>
      <c r="R243" s="78" t="str">
        <f t="shared" si="20"/>
        <v/>
      </c>
    </row>
    <row r="244" spans="2:18" x14ac:dyDescent="0.2">
      <c r="B244" s="2" t="str">
        <f t="shared" si="21"/>
        <v/>
      </c>
      <c r="C244" s="2" t="str">
        <f t="shared" si="22"/>
        <v/>
      </c>
      <c r="D244" s="2" t="str">
        <f t="shared" si="23"/>
        <v>Y</v>
      </c>
      <c r="E244" s="2">
        <f t="shared" si="24"/>
        <v>0</v>
      </c>
      <c r="F244" s="2" t="str">
        <f t="shared" si="25"/>
        <v/>
      </c>
      <c r="H244" s="121" t="s">
        <v>241</v>
      </c>
      <c r="I244" s="92"/>
      <c r="J244" s="93"/>
      <c r="K244" s="93"/>
      <c r="L244" s="94"/>
      <c r="M244" s="100"/>
      <c r="N244" s="96"/>
      <c r="O244" s="97"/>
      <c r="P244" s="98"/>
      <c r="Q244" s="101"/>
      <c r="R244" s="78" t="str">
        <f t="shared" si="20"/>
        <v/>
      </c>
    </row>
    <row r="245" spans="2:18" x14ac:dyDescent="0.2">
      <c r="B245" s="2" t="str">
        <f t="shared" si="21"/>
        <v/>
      </c>
      <c r="C245" s="2" t="str">
        <f t="shared" si="22"/>
        <v/>
      </c>
      <c r="D245" s="2" t="str">
        <f t="shared" si="23"/>
        <v>Y</v>
      </c>
      <c r="E245" s="2">
        <f t="shared" si="24"/>
        <v>0</v>
      </c>
      <c r="F245" s="2" t="str">
        <f t="shared" si="25"/>
        <v/>
      </c>
      <c r="H245" s="121" t="s">
        <v>242</v>
      </c>
      <c r="I245" s="92"/>
      <c r="J245" s="93"/>
      <c r="K245" s="93"/>
      <c r="L245" s="94"/>
      <c r="M245" s="100"/>
      <c r="N245" s="96"/>
      <c r="O245" s="97"/>
      <c r="P245" s="98"/>
      <c r="Q245" s="101"/>
      <c r="R245" s="78" t="str">
        <f t="shared" si="20"/>
        <v/>
      </c>
    </row>
    <row r="246" spans="2:18" x14ac:dyDescent="0.2">
      <c r="B246" s="2" t="str">
        <f t="shared" si="21"/>
        <v/>
      </c>
      <c r="C246" s="2" t="str">
        <f t="shared" si="22"/>
        <v/>
      </c>
      <c r="D246" s="2" t="str">
        <f t="shared" si="23"/>
        <v>Y</v>
      </c>
      <c r="E246" s="2">
        <f t="shared" si="24"/>
        <v>0</v>
      </c>
      <c r="F246" s="2" t="str">
        <f t="shared" si="25"/>
        <v/>
      </c>
      <c r="H246" s="121" t="s">
        <v>243</v>
      </c>
      <c r="I246" s="92"/>
      <c r="J246" s="93"/>
      <c r="K246" s="93"/>
      <c r="L246" s="94"/>
      <c r="M246" s="100"/>
      <c r="N246" s="96"/>
      <c r="O246" s="97"/>
      <c r="P246" s="98"/>
      <c r="Q246" s="101"/>
      <c r="R246" s="78" t="str">
        <f t="shared" si="20"/>
        <v/>
      </c>
    </row>
    <row r="247" spans="2:18" x14ac:dyDescent="0.2">
      <c r="B247" s="2" t="str">
        <f t="shared" si="21"/>
        <v/>
      </c>
      <c r="C247" s="2" t="str">
        <f t="shared" si="22"/>
        <v/>
      </c>
      <c r="D247" s="2" t="str">
        <f t="shared" si="23"/>
        <v>Y</v>
      </c>
      <c r="E247" s="2">
        <f t="shared" si="24"/>
        <v>0</v>
      </c>
      <c r="F247" s="2" t="str">
        <f t="shared" si="25"/>
        <v/>
      </c>
      <c r="H247" s="121" t="s">
        <v>244</v>
      </c>
      <c r="I247" s="92"/>
      <c r="J247" s="93"/>
      <c r="K247" s="93"/>
      <c r="L247" s="94"/>
      <c r="M247" s="100"/>
      <c r="N247" s="96"/>
      <c r="O247" s="97"/>
      <c r="P247" s="98"/>
      <c r="Q247" s="101"/>
      <c r="R247" s="78" t="str">
        <f t="shared" si="20"/>
        <v/>
      </c>
    </row>
    <row r="248" spans="2:18" x14ac:dyDescent="0.2">
      <c r="B248" s="2" t="str">
        <f t="shared" si="21"/>
        <v/>
      </c>
      <c r="C248" s="2" t="str">
        <f t="shared" si="22"/>
        <v/>
      </c>
      <c r="D248" s="2" t="str">
        <f t="shared" si="23"/>
        <v>Y</v>
      </c>
      <c r="E248" s="2">
        <f t="shared" si="24"/>
        <v>0</v>
      </c>
      <c r="F248" s="2" t="str">
        <f t="shared" si="25"/>
        <v/>
      </c>
      <c r="H248" s="121" t="s">
        <v>245</v>
      </c>
      <c r="I248" s="92"/>
      <c r="J248" s="93"/>
      <c r="K248" s="93"/>
      <c r="L248" s="94"/>
      <c r="M248" s="100"/>
      <c r="N248" s="96"/>
      <c r="O248" s="97"/>
      <c r="P248" s="98"/>
      <c r="Q248" s="101"/>
      <c r="R248" s="78" t="str">
        <f t="shared" si="20"/>
        <v/>
      </c>
    </row>
    <row r="249" spans="2:18" x14ac:dyDescent="0.2">
      <c r="B249" s="2" t="str">
        <f t="shared" si="21"/>
        <v/>
      </c>
      <c r="C249" s="2" t="str">
        <f t="shared" si="22"/>
        <v/>
      </c>
      <c r="D249" s="2" t="str">
        <f t="shared" si="23"/>
        <v>Y</v>
      </c>
      <c r="E249" s="2">
        <f t="shared" si="24"/>
        <v>0</v>
      </c>
      <c r="F249" s="2" t="str">
        <f t="shared" si="25"/>
        <v/>
      </c>
      <c r="H249" s="121" t="s">
        <v>246</v>
      </c>
      <c r="I249" s="92"/>
      <c r="J249" s="93"/>
      <c r="K249" s="93"/>
      <c r="L249" s="94"/>
      <c r="M249" s="100"/>
      <c r="N249" s="96"/>
      <c r="O249" s="97"/>
      <c r="P249" s="98"/>
      <c r="Q249" s="101"/>
      <c r="R249" s="78" t="str">
        <f t="shared" si="20"/>
        <v/>
      </c>
    </row>
    <row r="250" spans="2:18" x14ac:dyDescent="0.2">
      <c r="B250" s="2" t="str">
        <f t="shared" si="21"/>
        <v/>
      </c>
      <c r="C250" s="2" t="str">
        <f t="shared" si="22"/>
        <v/>
      </c>
      <c r="D250" s="2" t="str">
        <f t="shared" si="23"/>
        <v>Y</v>
      </c>
      <c r="E250" s="2">
        <f t="shared" si="24"/>
        <v>0</v>
      </c>
      <c r="F250" s="2" t="str">
        <f t="shared" si="25"/>
        <v/>
      </c>
      <c r="H250" s="121" t="s">
        <v>247</v>
      </c>
      <c r="I250" s="92"/>
      <c r="J250" s="93"/>
      <c r="K250" s="93"/>
      <c r="L250" s="94"/>
      <c r="M250" s="100"/>
      <c r="N250" s="96"/>
      <c r="O250" s="97"/>
      <c r="P250" s="98"/>
      <c r="Q250" s="101"/>
      <c r="R250" s="78" t="str">
        <f t="shared" si="20"/>
        <v/>
      </c>
    </row>
    <row r="251" spans="2:18" x14ac:dyDescent="0.2">
      <c r="B251" s="2" t="str">
        <f t="shared" si="21"/>
        <v/>
      </c>
      <c r="C251" s="2" t="str">
        <f t="shared" si="22"/>
        <v/>
      </c>
      <c r="D251" s="2" t="str">
        <f t="shared" si="23"/>
        <v>Y</v>
      </c>
      <c r="E251" s="2">
        <f t="shared" si="24"/>
        <v>0</v>
      </c>
      <c r="F251" s="2" t="str">
        <f t="shared" si="25"/>
        <v/>
      </c>
      <c r="H251" s="121" t="s">
        <v>248</v>
      </c>
      <c r="I251" s="92"/>
      <c r="J251" s="93"/>
      <c r="K251" s="93"/>
      <c r="L251" s="94"/>
      <c r="M251" s="100"/>
      <c r="N251" s="96"/>
      <c r="O251" s="97"/>
      <c r="P251" s="98"/>
      <c r="Q251" s="101"/>
      <c r="R251" s="78" t="str">
        <f t="shared" si="20"/>
        <v/>
      </c>
    </row>
    <row r="252" spans="2:18" x14ac:dyDescent="0.2">
      <c r="B252" s="2" t="str">
        <f t="shared" si="21"/>
        <v/>
      </c>
      <c r="C252" s="2" t="str">
        <f t="shared" si="22"/>
        <v/>
      </c>
      <c r="D252" s="2" t="str">
        <f t="shared" si="23"/>
        <v>Y</v>
      </c>
      <c r="E252" s="2">
        <f t="shared" si="24"/>
        <v>0</v>
      </c>
      <c r="F252" s="2" t="str">
        <f t="shared" si="25"/>
        <v/>
      </c>
      <c r="H252" s="121" t="s">
        <v>249</v>
      </c>
      <c r="I252" s="92"/>
      <c r="J252" s="93"/>
      <c r="K252" s="93"/>
      <c r="L252" s="94"/>
      <c r="M252" s="100"/>
      <c r="N252" s="96"/>
      <c r="O252" s="97"/>
      <c r="P252" s="98"/>
      <c r="Q252" s="101"/>
      <c r="R252" s="78" t="str">
        <f t="shared" si="20"/>
        <v/>
      </c>
    </row>
    <row r="253" spans="2:18" x14ac:dyDescent="0.2">
      <c r="B253" s="2" t="str">
        <f t="shared" si="21"/>
        <v/>
      </c>
      <c r="C253" s="2" t="str">
        <f t="shared" si="22"/>
        <v/>
      </c>
      <c r="D253" s="2" t="str">
        <f t="shared" si="23"/>
        <v>Y</v>
      </c>
      <c r="E253" s="2">
        <f t="shared" si="24"/>
        <v>0</v>
      </c>
      <c r="F253" s="2" t="str">
        <f t="shared" si="25"/>
        <v/>
      </c>
      <c r="H253" s="121" t="s">
        <v>250</v>
      </c>
      <c r="I253" s="92"/>
      <c r="J253" s="93"/>
      <c r="K253" s="93"/>
      <c r="L253" s="94"/>
      <c r="M253" s="100"/>
      <c r="N253" s="96"/>
      <c r="O253" s="97"/>
      <c r="P253" s="98"/>
      <c r="Q253" s="101"/>
      <c r="R253" s="78" t="str">
        <f t="shared" si="20"/>
        <v/>
      </c>
    </row>
    <row r="254" spans="2:18" x14ac:dyDescent="0.2">
      <c r="B254" s="2" t="str">
        <f t="shared" si="21"/>
        <v/>
      </c>
      <c r="C254" s="2" t="str">
        <f t="shared" si="22"/>
        <v/>
      </c>
      <c r="D254" s="2" t="str">
        <f t="shared" si="23"/>
        <v>Y</v>
      </c>
      <c r="E254" s="2">
        <f t="shared" si="24"/>
        <v>0</v>
      </c>
      <c r="F254" s="2" t="str">
        <f t="shared" si="25"/>
        <v/>
      </c>
      <c r="H254" s="121" t="s">
        <v>251</v>
      </c>
      <c r="I254" s="92"/>
      <c r="J254" s="93"/>
      <c r="K254" s="93"/>
      <c r="L254" s="94"/>
      <c r="M254" s="100"/>
      <c r="N254" s="96"/>
      <c r="O254" s="97"/>
      <c r="P254" s="98"/>
      <c r="Q254" s="101"/>
      <c r="R254" s="78" t="str">
        <f t="shared" si="20"/>
        <v/>
      </c>
    </row>
    <row r="255" spans="2:18" x14ac:dyDescent="0.2">
      <c r="B255" s="2" t="str">
        <f t="shared" si="21"/>
        <v/>
      </c>
      <c r="C255" s="2" t="str">
        <f t="shared" si="22"/>
        <v/>
      </c>
      <c r="D255" s="2" t="str">
        <f t="shared" si="23"/>
        <v>Y</v>
      </c>
      <c r="E255" s="2">
        <f t="shared" si="24"/>
        <v>0</v>
      </c>
      <c r="F255" s="2" t="str">
        <f t="shared" si="25"/>
        <v/>
      </c>
      <c r="H255" s="121" t="s">
        <v>252</v>
      </c>
      <c r="I255" s="92"/>
      <c r="J255" s="93"/>
      <c r="K255" s="93"/>
      <c r="L255" s="94"/>
      <c r="M255" s="100"/>
      <c r="N255" s="96"/>
      <c r="O255" s="97"/>
      <c r="P255" s="98"/>
      <c r="Q255" s="101"/>
      <c r="R255" s="78" t="str">
        <f t="shared" si="20"/>
        <v/>
      </c>
    </row>
    <row r="256" spans="2:18" x14ac:dyDescent="0.2">
      <c r="B256" s="2" t="str">
        <f t="shared" si="21"/>
        <v/>
      </c>
      <c r="C256" s="2" t="str">
        <f t="shared" si="22"/>
        <v/>
      </c>
      <c r="D256" s="2" t="str">
        <f t="shared" si="23"/>
        <v>Y</v>
      </c>
      <c r="E256" s="2">
        <f t="shared" si="24"/>
        <v>0</v>
      </c>
      <c r="F256" s="2" t="str">
        <f t="shared" si="25"/>
        <v/>
      </c>
      <c r="H256" s="121" t="s">
        <v>253</v>
      </c>
      <c r="I256" s="92"/>
      <c r="J256" s="93"/>
      <c r="K256" s="93"/>
      <c r="L256" s="94"/>
      <c r="M256" s="100"/>
      <c r="N256" s="96"/>
      <c r="O256" s="97"/>
      <c r="P256" s="98"/>
      <c r="Q256" s="101"/>
      <c r="R256" s="78" t="str">
        <f t="shared" si="20"/>
        <v/>
      </c>
    </row>
    <row r="257" spans="2:18" x14ac:dyDescent="0.2">
      <c r="B257" s="2" t="str">
        <f t="shared" si="21"/>
        <v/>
      </c>
      <c r="C257" s="2" t="str">
        <f t="shared" si="22"/>
        <v/>
      </c>
      <c r="D257" s="2" t="str">
        <f t="shared" si="23"/>
        <v>Y</v>
      </c>
      <c r="E257" s="2">
        <f t="shared" si="24"/>
        <v>0</v>
      </c>
      <c r="F257" s="2" t="str">
        <f t="shared" si="25"/>
        <v/>
      </c>
      <c r="H257" s="121" t="s">
        <v>254</v>
      </c>
      <c r="I257" s="92"/>
      <c r="J257" s="93"/>
      <c r="K257" s="93"/>
      <c r="L257" s="94"/>
      <c r="M257" s="100"/>
      <c r="N257" s="96"/>
      <c r="O257" s="97"/>
      <c r="P257" s="98"/>
      <c r="Q257" s="101"/>
      <c r="R257" s="78" t="str">
        <f t="shared" si="20"/>
        <v/>
      </c>
    </row>
    <row r="258" spans="2:18" x14ac:dyDescent="0.2">
      <c r="B258" s="2" t="str">
        <f t="shared" si="21"/>
        <v/>
      </c>
      <c r="C258" s="2" t="str">
        <f t="shared" si="22"/>
        <v/>
      </c>
      <c r="D258" s="2" t="str">
        <f t="shared" si="23"/>
        <v>Y</v>
      </c>
      <c r="E258" s="2">
        <f t="shared" si="24"/>
        <v>0</v>
      </c>
      <c r="F258" s="2" t="str">
        <f t="shared" si="25"/>
        <v/>
      </c>
      <c r="H258" s="121" t="s">
        <v>255</v>
      </c>
      <c r="I258" s="92"/>
      <c r="J258" s="93"/>
      <c r="K258" s="93"/>
      <c r="L258" s="94"/>
      <c r="M258" s="100"/>
      <c r="N258" s="96"/>
      <c r="O258" s="97"/>
      <c r="P258" s="98"/>
      <c r="Q258" s="101"/>
      <c r="R258" s="78" t="str">
        <f t="shared" si="20"/>
        <v/>
      </c>
    </row>
    <row r="259" spans="2:18" x14ac:dyDescent="0.2">
      <c r="B259" s="2" t="str">
        <f t="shared" si="21"/>
        <v/>
      </c>
      <c r="C259" s="2" t="str">
        <f t="shared" si="22"/>
        <v/>
      </c>
      <c r="D259" s="2" t="str">
        <f t="shared" si="23"/>
        <v>Y</v>
      </c>
      <c r="E259" s="2">
        <f t="shared" si="24"/>
        <v>0</v>
      </c>
      <c r="F259" s="2" t="str">
        <f t="shared" si="25"/>
        <v/>
      </c>
      <c r="H259" s="121" t="s">
        <v>256</v>
      </c>
      <c r="I259" s="92"/>
      <c r="J259" s="93"/>
      <c r="K259" s="93"/>
      <c r="L259" s="94"/>
      <c r="M259" s="100"/>
      <c r="N259" s="96"/>
      <c r="O259" s="97"/>
      <c r="P259" s="98"/>
      <c r="Q259" s="101"/>
      <c r="R259" s="78" t="str">
        <f t="shared" si="20"/>
        <v/>
      </c>
    </row>
    <row r="260" spans="2:18" x14ac:dyDescent="0.2">
      <c r="B260" s="2" t="str">
        <f t="shared" si="21"/>
        <v/>
      </c>
      <c r="C260" s="2" t="str">
        <f t="shared" si="22"/>
        <v/>
      </c>
      <c r="D260" s="2" t="str">
        <f t="shared" si="23"/>
        <v>Y</v>
      </c>
      <c r="E260" s="2">
        <f t="shared" si="24"/>
        <v>0</v>
      </c>
      <c r="F260" s="2" t="str">
        <f t="shared" si="25"/>
        <v/>
      </c>
      <c r="H260" s="121" t="s">
        <v>257</v>
      </c>
      <c r="I260" s="92"/>
      <c r="J260" s="93"/>
      <c r="K260" s="93"/>
      <c r="L260" s="94"/>
      <c r="M260" s="100"/>
      <c r="N260" s="96"/>
      <c r="O260" s="97"/>
      <c r="P260" s="98"/>
      <c r="Q260" s="101"/>
      <c r="R260" s="78" t="str">
        <f t="shared" si="20"/>
        <v/>
      </c>
    </row>
    <row r="261" spans="2:18" x14ac:dyDescent="0.2">
      <c r="B261" s="2" t="str">
        <f t="shared" si="21"/>
        <v/>
      </c>
      <c r="C261" s="2" t="str">
        <f t="shared" si="22"/>
        <v/>
      </c>
      <c r="D261" s="2" t="str">
        <f t="shared" si="23"/>
        <v>Y</v>
      </c>
      <c r="E261" s="2">
        <f t="shared" si="24"/>
        <v>0</v>
      </c>
      <c r="F261" s="2" t="str">
        <f t="shared" si="25"/>
        <v/>
      </c>
      <c r="H261" s="121" t="s">
        <v>258</v>
      </c>
      <c r="I261" s="92"/>
      <c r="J261" s="93"/>
      <c r="K261" s="93"/>
      <c r="L261" s="94"/>
      <c r="M261" s="100"/>
      <c r="N261" s="96"/>
      <c r="O261" s="97"/>
      <c r="P261" s="98"/>
      <c r="Q261" s="101"/>
      <c r="R261" s="78" t="str">
        <f t="shared" si="20"/>
        <v/>
      </c>
    </row>
    <row r="262" spans="2:18" x14ac:dyDescent="0.2">
      <c r="B262" s="2" t="str">
        <f t="shared" si="21"/>
        <v/>
      </c>
      <c r="C262" s="2" t="str">
        <f t="shared" si="22"/>
        <v/>
      </c>
      <c r="D262" s="2" t="str">
        <f t="shared" si="23"/>
        <v>Y</v>
      </c>
      <c r="E262" s="2">
        <f t="shared" si="24"/>
        <v>0</v>
      </c>
      <c r="F262" s="2" t="str">
        <f t="shared" si="25"/>
        <v/>
      </c>
      <c r="H262" s="121" t="s">
        <v>259</v>
      </c>
      <c r="I262" s="92"/>
      <c r="J262" s="93"/>
      <c r="K262" s="93"/>
      <c r="L262" s="94"/>
      <c r="M262" s="100"/>
      <c r="N262" s="96"/>
      <c r="O262" s="97"/>
      <c r="P262" s="98"/>
      <c r="Q262" s="101"/>
      <c r="R262" s="78" t="str">
        <f t="shared" si="20"/>
        <v/>
      </c>
    </row>
    <row r="263" spans="2:18" x14ac:dyDescent="0.2">
      <c r="B263" s="2" t="str">
        <f t="shared" si="21"/>
        <v/>
      </c>
      <c r="C263" s="2" t="str">
        <f t="shared" si="22"/>
        <v/>
      </c>
      <c r="D263" s="2" t="str">
        <f t="shared" si="23"/>
        <v>Y</v>
      </c>
      <c r="E263" s="2">
        <f t="shared" si="24"/>
        <v>0</v>
      </c>
      <c r="F263" s="2" t="str">
        <f t="shared" si="25"/>
        <v/>
      </c>
      <c r="H263" s="121" t="s">
        <v>260</v>
      </c>
      <c r="I263" s="92"/>
      <c r="J263" s="93"/>
      <c r="K263" s="93"/>
      <c r="L263" s="94"/>
      <c r="M263" s="100"/>
      <c r="N263" s="96"/>
      <c r="O263" s="97"/>
      <c r="P263" s="98"/>
      <c r="Q263" s="101"/>
      <c r="R263" s="78" t="str">
        <f t="shared" si="20"/>
        <v/>
      </c>
    </row>
    <row r="264" spans="2:18" x14ac:dyDescent="0.2">
      <c r="B264" s="2" t="str">
        <f t="shared" si="21"/>
        <v/>
      </c>
      <c r="C264" s="2" t="str">
        <f t="shared" si="22"/>
        <v/>
      </c>
      <c r="D264" s="2" t="str">
        <f t="shared" si="23"/>
        <v>Y</v>
      </c>
      <c r="E264" s="2">
        <f t="shared" si="24"/>
        <v>0</v>
      </c>
      <c r="F264" s="2" t="str">
        <f t="shared" si="25"/>
        <v/>
      </c>
      <c r="H264" s="121" t="s">
        <v>261</v>
      </c>
      <c r="I264" s="92"/>
      <c r="J264" s="93"/>
      <c r="K264" s="93"/>
      <c r="L264" s="94"/>
      <c r="M264" s="100"/>
      <c r="N264" s="96"/>
      <c r="O264" s="97"/>
      <c r="P264" s="98"/>
      <c r="Q264" s="101"/>
      <c r="R264" s="78" t="str">
        <f t="shared" si="20"/>
        <v/>
      </c>
    </row>
    <row r="265" spans="2:18" x14ac:dyDescent="0.2">
      <c r="B265" s="2" t="str">
        <f t="shared" si="21"/>
        <v/>
      </c>
      <c r="C265" s="2" t="str">
        <f t="shared" si="22"/>
        <v/>
      </c>
      <c r="D265" s="2" t="str">
        <f t="shared" si="23"/>
        <v>Y</v>
      </c>
      <c r="E265" s="2">
        <f t="shared" si="24"/>
        <v>0</v>
      </c>
      <c r="F265" s="2" t="str">
        <f t="shared" si="25"/>
        <v/>
      </c>
      <c r="H265" s="121" t="s">
        <v>262</v>
      </c>
      <c r="I265" s="92"/>
      <c r="J265" s="93"/>
      <c r="K265" s="93"/>
      <c r="L265" s="94"/>
      <c r="M265" s="100"/>
      <c r="N265" s="96"/>
      <c r="O265" s="97"/>
      <c r="P265" s="98"/>
      <c r="Q265" s="101"/>
      <c r="R265" s="78" t="str">
        <f t="shared" si="20"/>
        <v/>
      </c>
    </row>
    <row r="266" spans="2:18" x14ac:dyDescent="0.2">
      <c r="B266" s="2" t="str">
        <f t="shared" si="21"/>
        <v/>
      </c>
      <c r="C266" s="2" t="str">
        <f t="shared" si="22"/>
        <v/>
      </c>
      <c r="D266" s="2" t="str">
        <f t="shared" si="23"/>
        <v>Y</v>
      </c>
      <c r="E266" s="2">
        <f t="shared" si="24"/>
        <v>0</v>
      </c>
      <c r="F266" s="2" t="str">
        <f t="shared" si="25"/>
        <v/>
      </c>
      <c r="H266" s="121" t="s">
        <v>263</v>
      </c>
      <c r="I266" s="92"/>
      <c r="J266" s="93"/>
      <c r="K266" s="93"/>
      <c r="L266" s="94"/>
      <c r="M266" s="100"/>
      <c r="N266" s="96"/>
      <c r="O266" s="97"/>
      <c r="P266" s="98"/>
      <c r="Q266" s="101"/>
      <c r="R266" s="78" t="str">
        <f t="shared" si="20"/>
        <v/>
      </c>
    </row>
    <row r="267" spans="2:18" x14ac:dyDescent="0.2">
      <c r="B267" s="2" t="str">
        <f t="shared" si="21"/>
        <v/>
      </c>
      <c r="C267" s="2" t="str">
        <f t="shared" si="22"/>
        <v/>
      </c>
      <c r="D267" s="2" t="str">
        <f t="shared" si="23"/>
        <v>Y</v>
      </c>
      <c r="E267" s="2">
        <f t="shared" si="24"/>
        <v>0</v>
      </c>
      <c r="F267" s="2" t="str">
        <f t="shared" si="25"/>
        <v/>
      </c>
      <c r="H267" s="121" t="s">
        <v>264</v>
      </c>
      <c r="I267" s="92"/>
      <c r="J267" s="93"/>
      <c r="K267" s="93"/>
      <c r="L267" s="94"/>
      <c r="M267" s="100"/>
      <c r="N267" s="96"/>
      <c r="O267" s="97"/>
      <c r="P267" s="98"/>
      <c r="Q267" s="101"/>
      <c r="R267" s="78" t="str">
        <f t="shared" ref="R267:R330" si="26">IF(ISERROR(VLOOKUP(K267,LB_PROJECTS,2,FALSE)),"",VLOOKUP(K267,LB_PROJECTS,2,FALSE))</f>
        <v/>
      </c>
    </row>
    <row r="268" spans="2:18" x14ac:dyDescent="0.2">
      <c r="B268" s="2" t="str">
        <f t="shared" ref="B268:B331" si="27">IF(M268="","",IF(WEEKNUM(M268)&lt;10,VALUE(CONCATENATE(YEAR(M268),"0",WEEKNUM(M268))),VALUE(CONCATENATE(YEAR(M268),WEEKNUM(M268)))))</f>
        <v/>
      </c>
      <c r="C268" s="2" t="str">
        <f t="shared" ref="C268:C331" si="28">IF(P268="","",IF(WEEKNUM(P268)&lt;10,VALUE(CONCATENATE(YEAR(P268),"0",WEEKNUM(P268))),VALUE(CONCATENATE(YEAR(P268),WEEKNUM(P268)))))</f>
        <v/>
      </c>
      <c r="D268" s="2" t="str">
        <f t="shared" ref="D268:D331" si="29">IF(OR(O268="Not started",O268="In progress"),"N",IF(OR(O268="N/A",O268="Suspended",O268="Canceled"),"","Y"))</f>
        <v>Y</v>
      </c>
      <c r="E268" s="2">
        <f t="shared" ref="E268:E331" si="30">IF(OR(O268="Not started",O268="In progress",O268="Applied",O268="Closed"),1,0)</f>
        <v>0</v>
      </c>
      <c r="F268" s="2" t="str">
        <f t="shared" si="25"/>
        <v/>
      </c>
      <c r="H268" s="121" t="s">
        <v>265</v>
      </c>
      <c r="I268" s="92"/>
      <c r="J268" s="93"/>
      <c r="K268" s="93"/>
      <c r="L268" s="94"/>
      <c r="M268" s="100"/>
      <c r="N268" s="96"/>
      <c r="O268" s="97"/>
      <c r="P268" s="98"/>
      <c r="Q268" s="101"/>
      <c r="R268" s="78" t="str">
        <f t="shared" si="26"/>
        <v/>
      </c>
    </row>
    <row r="269" spans="2:18" x14ac:dyDescent="0.2">
      <c r="B269" s="2" t="str">
        <f t="shared" si="27"/>
        <v/>
      </c>
      <c r="C269" s="2" t="str">
        <f t="shared" si="28"/>
        <v/>
      </c>
      <c r="D269" s="2" t="str">
        <f t="shared" si="29"/>
        <v>Y</v>
      </c>
      <c r="E269" s="2">
        <f t="shared" si="30"/>
        <v>0</v>
      </c>
      <c r="F269" s="2" t="str">
        <f t="shared" si="25"/>
        <v/>
      </c>
      <c r="H269" s="121" t="s">
        <v>266</v>
      </c>
      <c r="I269" s="92"/>
      <c r="J269" s="93"/>
      <c r="K269" s="93"/>
      <c r="L269" s="94"/>
      <c r="M269" s="100"/>
      <c r="N269" s="96"/>
      <c r="O269" s="97"/>
      <c r="P269" s="98"/>
      <c r="Q269" s="101"/>
      <c r="R269" s="78" t="str">
        <f t="shared" si="26"/>
        <v/>
      </c>
    </row>
    <row r="270" spans="2:18" x14ac:dyDescent="0.2">
      <c r="B270" s="2" t="str">
        <f t="shared" si="27"/>
        <v/>
      </c>
      <c r="C270" s="2" t="str">
        <f t="shared" si="28"/>
        <v/>
      </c>
      <c r="D270" s="2" t="str">
        <f t="shared" si="29"/>
        <v>Y</v>
      </c>
      <c r="E270" s="2">
        <f t="shared" si="30"/>
        <v>0</v>
      </c>
      <c r="F270" s="2" t="str">
        <f t="shared" ref="F270:F333" si="31">IF(N270="",B270,IF(WEEKNUM(N270)&lt;10,VALUE(CONCATENATE(YEAR(N270),"0",WEEKNUM(N270))),VALUE(CONCATENATE(YEAR(N270),WEEKNUM(N270)))))</f>
        <v/>
      </c>
      <c r="H270" s="121" t="s">
        <v>267</v>
      </c>
      <c r="I270" s="92"/>
      <c r="J270" s="93"/>
      <c r="K270" s="93"/>
      <c r="L270" s="94"/>
      <c r="M270" s="100"/>
      <c r="N270" s="96"/>
      <c r="O270" s="97"/>
      <c r="P270" s="98"/>
      <c r="Q270" s="101"/>
      <c r="R270" s="78" t="str">
        <f t="shared" si="26"/>
        <v/>
      </c>
    </row>
    <row r="271" spans="2:18" x14ac:dyDescent="0.2">
      <c r="B271" s="2" t="str">
        <f t="shared" si="27"/>
        <v/>
      </c>
      <c r="C271" s="2" t="str">
        <f t="shared" si="28"/>
        <v/>
      </c>
      <c r="D271" s="2" t="str">
        <f t="shared" si="29"/>
        <v>Y</v>
      </c>
      <c r="E271" s="2">
        <f t="shared" si="30"/>
        <v>0</v>
      </c>
      <c r="F271" s="2" t="str">
        <f t="shared" si="31"/>
        <v/>
      </c>
      <c r="H271" s="121" t="s">
        <v>268</v>
      </c>
      <c r="I271" s="92"/>
      <c r="J271" s="93"/>
      <c r="K271" s="93"/>
      <c r="L271" s="94"/>
      <c r="M271" s="100"/>
      <c r="N271" s="96"/>
      <c r="O271" s="97"/>
      <c r="P271" s="98"/>
      <c r="Q271" s="101"/>
      <c r="R271" s="78" t="str">
        <f t="shared" si="26"/>
        <v/>
      </c>
    </row>
    <row r="272" spans="2:18" x14ac:dyDescent="0.2">
      <c r="B272" s="2" t="str">
        <f t="shared" si="27"/>
        <v/>
      </c>
      <c r="C272" s="2" t="str">
        <f t="shared" si="28"/>
        <v/>
      </c>
      <c r="D272" s="2" t="str">
        <f t="shared" si="29"/>
        <v>Y</v>
      </c>
      <c r="E272" s="2">
        <f t="shared" si="30"/>
        <v>0</v>
      </c>
      <c r="F272" s="2" t="str">
        <f t="shared" si="31"/>
        <v/>
      </c>
      <c r="H272" s="121" t="s">
        <v>269</v>
      </c>
      <c r="I272" s="92"/>
      <c r="J272" s="93"/>
      <c r="K272" s="93"/>
      <c r="L272" s="94"/>
      <c r="M272" s="100"/>
      <c r="N272" s="96"/>
      <c r="O272" s="97"/>
      <c r="P272" s="98"/>
      <c r="Q272" s="101"/>
      <c r="R272" s="78" t="str">
        <f t="shared" si="26"/>
        <v/>
      </c>
    </row>
    <row r="273" spans="2:18" x14ac:dyDescent="0.2">
      <c r="B273" s="2" t="str">
        <f t="shared" si="27"/>
        <v/>
      </c>
      <c r="C273" s="2" t="str">
        <f t="shared" si="28"/>
        <v/>
      </c>
      <c r="D273" s="2" t="str">
        <f t="shared" si="29"/>
        <v>Y</v>
      </c>
      <c r="E273" s="2">
        <f t="shared" si="30"/>
        <v>0</v>
      </c>
      <c r="F273" s="2" t="str">
        <f t="shared" si="31"/>
        <v/>
      </c>
      <c r="H273" s="121" t="s">
        <v>270</v>
      </c>
      <c r="I273" s="92"/>
      <c r="J273" s="93"/>
      <c r="K273" s="93"/>
      <c r="L273" s="94"/>
      <c r="M273" s="100"/>
      <c r="N273" s="96"/>
      <c r="O273" s="97"/>
      <c r="P273" s="98"/>
      <c r="Q273" s="101"/>
      <c r="R273" s="78" t="str">
        <f t="shared" si="26"/>
        <v/>
      </c>
    </row>
    <row r="274" spans="2:18" x14ac:dyDescent="0.2">
      <c r="B274" s="2" t="str">
        <f t="shared" si="27"/>
        <v/>
      </c>
      <c r="C274" s="2" t="str">
        <f t="shared" si="28"/>
        <v/>
      </c>
      <c r="D274" s="2" t="str">
        <f t="shared" si="29"/>
        <v>Y</v>
      </c>
      <c r="E274" s="2">
        <f t="shared" si="30"/>
        <v>0</v>
      </c>
      <c r="F274" s="2" t="str">
        <f t="shared" si="31"/>
        <v/>
      </c>
      <c r="H274" s="121" t="s">
        <v>271</v>
      </c>
      <c r="I274" s="92"/>
      <c r="J274" s="93"/>
      <c r="K274" s="93"/>
      <c r="L274" s="94"/>
      <c r="M274" s="100"/>
      <c r="N274" s="96"/>
      <c r="O274" s="97"/>
      <c r="P274" s="98"/>
      <c r="Q274" s="101"/>
      <c r="R274" s="78" t="str">
        <f t="shared" si="26"/>
        <v/>
      </c>
    </row>
    <row r="275" spans="2:18" x14ac:dyDescent="0.2">
      <c r="B275" s="2" t="str">
        <f t="shared" si="27"/>
        <v/>
      </c>
      <c r="C275" s="2" t="str">
        <f t="shared" si="28"/>
        <v/>
      </c>
      <c r="D275" s="2" t="str">
        <f t="shared" si="29"/>
        <v>Y</v>
      </c>
      <c r="E275" s="2">
        <f t="shared" si="30"/>
        <v>0</v>
      </c>
      <c r="F275" s="2" t="str">
        <f t="shared" si="31"/>
        <v/>
      </c>
      <c r="H275" s="121" t="s">
        <v>272</v>
      </c>
      <c r="I275" s="92"/>
      <c r="J275" s="93"/>
      <c r="K275" s="93"/>
      <c r="L275" s="94"/>
      <c r="M275" s="100"/>
      <c r="N275" s="96"/>
      <c r="O275" s="97"/>
      <c r="P275" s="98"/>
      <c r="Q275" s="101"/>
      <c r="R275" s="78" t="str">
        <f t="shared" si="26"/>
        <v/>
      </c>
    </row>
    <row r="276" spans="2:18" x14ac:dyDescent="0.2">
      <c r="B276" s="2" t="str">
        <f t="shared" si="27"/>
        <v/>
      </c>
      <c r="C276" s="2" t="str">
        <f t="shared" si="28"/>
        <v/>
      </c>
      <c r="D276" s="2" t="str">
        <f t="shared" si="29"/>
        <v>Y</v>
      </c>
      <c r="E276" s="2">
        <f t="shared" si="30"/>
        <v>0</v>
      </c>
      <c r="F276" s="2" t="str">
        <f t="shared" si="31"/>
        <v/>
      </c>
      <c r="H276" s="121" t="s">
        <v>273</v>
      </c>
      <c r="I276" s="92"/>
      <c r="J276" s="93"/>
      <c r="K276" s="93"/>
      <c r="L276" s="94"/>
      <c r="M276" s="100"/>
      <c r="N276" s="96"/>
      <c r="O276" s="97"/>
      <c r="P276" s="98"/>
      <c r="Q276" s="101"/>
      <c r="R276" s="78" t="str">
        <f t="shared" si="26"/>
        <v/>
      </c>
    </row>
    <row r="277" spans="2:18" x14ac:dyDescent="0.2">
      <c r="B277" s="2" t="str">
        <f t="shared" si="27"/>
        <v/>
      </c>
      <c r="C277" s="2" t="str">
        <f t="shared" si="28"/>
        <v/>
      </c>
      <c r="D277" s="2" t="str">
        <f t="shared" si="29"/>
        <v>Y</v>
      </c>
      <c r="E277" s="2">
        <f t="shared" si="30"/>
        <v>0</v>
      </c>
      <c r="F277" s="2" t="str">
        <f t="shared" si="31"/>
        <v/>
      </c>
      <c r="H277" s="121" t="s">
        <v>274</v>
      </c>
      <c r="I277" s="92"/>
      <c r="J277" s="93"/>
      <c r="K277" s="93"/>
      <c r="L277" s="94"/>
      <c r="M277" s="100"/>
      <c r="N277" s="96"/>
      <c r="O277" s="97"/>
      <c r="P277" s="98"/>
      <c r="Q277" s="101"/>
      <c r="R277" s="78" t="str">
        <f t="shared" si="26"/>
        <v/>
      </c>
    </row>
    <row r="278" spans="2:18" x14ac:dyDescent="0.2">
      <c r="B278" s="2" t="str">
        <f t="shared" si="27"/>
        <v/>
      </c>
      <c r="C278" s="2" t="str">
        <f t="shared" si="28"/>
        <v/>
      </c>
      <c r="D278" s="2" t="str">
        <f t="shared" si="29"/>
        <v>Y</v>
      </c>
      <c r="E278" s="2">
        <f t="shared" si="30"/>
        <v>0</v>
      </c>
      <c r="F278" s="2" t="str">
        <f t="shared" si="31"/>
        <v/>
      </c>
      <c r="H278" s="121" t="s">
        <v>275</v>
      </c>
      <c r="I278" s="92"/>
      <c r="J278" s="93"/>
      <c r="K278" s="93"/>
      <c r="L278" s="94"/>
      <c r="M278" s="100"/>
      <c r="N278" s="96"/>
      <c r="O278" s="97"/>
      <c r="P278" s="98"/>
      <c r="Q278" s="101"/>
      <c r="R278" s="78" t="str">
        <f t="shared" si="26"/>
        <v/>
      </c>
    </row>
    <row r="279" spans="2:18" x14ac:dyDescent="0.2">
      <c r="B279" s="2" t="str">
        <f t="shared" si="27"/>
        <v/>
      </c>
      <c r="C279" s="2" t="str">
        <f t="shared" si="28"/>
        <v/>
      </c>
      <c r="D279" s="2" t="str">
        <f t="shared" si="29"/>
        <v>Y</v>
      </c>
      <c r="E279" s="2">
        <f t="shared" si="30"/>
        <v>0</v>
      </c>
      <c r="F279" s="2" t="str">
        <f t="shared" si="31"/>
        <v/>
      </c>
      <c r="H279" s="121" t="s">
        <v>276</v>
      </c>
      <c r="I279" s="92"/>
      <c r="J279" s="93"/>
      <c r="K279" s="93"/>
      <c r="L279" s="94"/>
      <c r="M279" s="100"/>
      <c r="N279" s="96"/>
      <c r="O279" s="97"/>
      <c r="P279" s="98"/>
      <c r="Q279" s="101"/>
      <c r="R279" s="78" t="str">
        <f t="shared" si="26"/>
        <v/>
      </c>
    </row>
    <row r="280" spans="2:18" x14ac:dyDescent="0.2">
      <c r="B280" s="2" t="str">
        <f t="shared" si="27"/>
        <v/>
      </c>
      <c r="C280" s="2" t="str">
        <f t="shared" si="28"/>
        <v/>
      </c>
      <c r="D280" s="2" t="str">
        <f t="shared" si="29"/>
        <v>Y</v>
      </c>
      <c r="E280" s="2">
        <f t="shared" si="30"/>
        <v>0</v>
      </c>
      <c r="F280" s="2" t="str">
        <f t="shared" si="31"/>
        <v/>
      </c>
      <c r="H280" s="121" t="s">
        <v>277</v>
      </c>
      <c r="I280" s="92"/>
      <c r="J280" s="93"/>
      <c r="K280" s="93"/>
      <c r="L280" s="94"/>
      <c r="M280" s="100"/>
      <c r="N280" s="96"/>
      <c r="O280" s="97"/>
      <c r="P280" s="98"/>
      <c r="Q280" s="101"/>
      <c r="R280" s="78" t="str">
        <f t="shared" si="26"/>
        <v/>
      </c>
    </row>
    <row r="281" spans="2:18" x14ac:dyDescent="0.2">
      <c r="B281" s="2" t="str">
        <f t="shared" si="27"/>
        <v/>
      </c>
      <c r="C281" s="2" t="str">
        <f t="shared" si="28"/>
        <v/>
      </c>
      <c r="D281" s="2" t="str">
        <f t="shared" si="29"/>
        <v>Y</v>
      </c>
      <c r="E281" s="2">
        <f t="shared" si="30"/>
        <v>0</v>
      </c>
      <c r="F281" s="2" t="str">
        <f t="shared" si="31"/>
        <v/>
      </c>
      <c r="H281" s="121" t="s">
        <v>278</v>
      </c>
      <c r="I281" s="92"/>
      <c r="J281" s="93"/>
      <c r="K281" s="93"/>
      <c r="L281" s="94"/>
      <c r="M281" s="100"/>
      <c r="N281" s="96"/>
      <c r="O281" s="97"/>
      <c r="P281" s="98"/>
      <c r="Q281" s="101"/>
      <c r="R281" s="78" t="str">
        <f t="shared" si="26"/>
        <v/>
      </c>
    </row>
    <row r="282" spans="2:18" x14ac:dyDescent="0.2">
      <c r="B282" s="2" t="str">
        <f t="shared" si="27"/>
        <v/>
      </c>
      <c r="C282" s="2" t="str">
        <f t="shared" si="28"/>
        <v/>
      </c>
      <c r="D282" s="2" t="str">
        <f t="shared" si="29"/>
        <v>Y</v>
      </c>
      <c r="E282" s="2">
        <f t="shared" si="30"/>
        <v>0</v>
      </c>
      <c r="F282" s="2" t="str">
        <f t="shared" si="31"/>
        <v/>
      </c>
      <c r="H282" s="121" t="s">
        <v>279</v>
      </c>
      <c r="I282" s="92"/>
      <c r="J282" s="93"/>
      <c r="K282" s="93"/>
      <c r="L282" s="94"/>
      <c r="M282" s="100"/>
      <c r="N282" s="96"/>
      <c r="O282" s="97"/>
      <c r="P282" s="98"/>
      <c r="Q282" s="101"/>
      <c r="R282" s="78" t="str">
        <f t="shared" si="26"/>
        <v/>
      </c>
    </row>
    <row r="283" spans="2:18" x14ac:dyDescent="0.2">
      <c r="B283" s="2" t="str">
        <f t="shared" si="27"/>
        <v/>
      </c>
      <c r="C283" s="2" t="str">
        <f t="shared" si="28"/>
        <v/>
      </c>
      <c r="D283" s="2" t="str">
        <f t="shared" si="29"/>
        <v>Y</v>
      </c>
      <c r="E283" s="2">
        <f t="shared" si="30"/>
        <v>0</v>
      </c>
      <c r="F283" s="2" t="str">
        <f t="shared" si="31"/>
        <v/>
      </c>
      <c r="H283" s="121" t="s">
        <v>280</v>
      </c>
      <c r="I283" s="92"/>
      <c r="J283" s="93"/>
      <c r="K283" s="93"/>
      <c r="L283" s="94"/>
      <c r="M283" s="100"/>
      <c r="N283" s="96"/>
      <c r="O283" s="97"/>
      <c r="P283" s="98"/>
      <c r="Q283" s="101"/>
      <c r="R283" s="78" t="str">
        <f t="shared" si="26"/>
        <v/>
      </c>
    </row>
    <row r="284" spans="2:18" x14ac:dyDescent="0.2">
      <c r="B284" s="2" t="str">
        <f t="shared" si="27"/>
        <v/>
      </c>
      <c r="C284" s="2" t="str">
        <f t="shared" si="28"/>
        <v/>
      </c>
      <c r="D284" s="2" t="str">
        <f t="shared" si="29"/>
        <v>Y</v>
      </c>
      <c r="E284" s="2">
        <f t="shared" si="30"/>
        <v>0</v>
      </c>
      <c r="F284" s="2" t="str">
        <f t="shared" si="31"/>
        <v/>
      </c>
      <c r="H284" s="121" t="s">
        <v>281</v>
      </c>
      <c r="I284" s="92"/>
      <c r="J284" s="93"/>
      <c r="K284" s="93"/>
      <c r="L284" s="94"/>
      <c r="M284" s="100"/>
      <c r="N284" s="96"/>
      <c r="O284" s="97"/>
      <c r="P284" s="98"/>
      <c r="Q284" s="101"/>
      <c r="R284" s="78" t="str">
        <f t="shared" si="26"/>
        <v/>
      </c>
    </row>
    <row r="285" spans="2:18" x14ac:dyDescent="0.2">
      <c r="B285" s="2" t="str">
        <f t="shared" si="27"/>
        <v/>
      </c>
      <c r="C285" s="2" t="str">
        <f t="shared" si="28"/>
        <v/>
      </c>
      <c r="D285" s="2" t="str">
        <f t="shared" si="29"/>
        <v>Y</v>
      </c>
      <c r="E285" s="2">
        <f t="shared" si="30"/>
        <v>0</v>
      </c>
      <c r="F285" s="2" t="str">
        <f t="shared" si="31"/>
        <v/>
      </c>
      <c r="H285" s="121" t="s">
        <v>282</v>
      </c>
      <c r="I285" s="92"/>
      <c r="J285" s="93"/>
      <c r="K285" s="93"/>
      <c r="L285" s="94"/>
      <c r="M285" s="100"/>
      <c r="N285" s="96"/>
      <c r="O285" s="97"/>
      <c r="P285" s="98"/>
      <c r="Q285" s="101"/>
      <c r="R285" s="78" t="str">
        <f t="shared" si="26"/>
        <v/>
      </c>
    </row>
    <row r="286" spans="2:18" x14ac:dyDescent="0.2">
      <c r="B286" s="2" t="str">
        <f t="shared" si="27"/>
        <v/>
      </c>
      <c r="C286" s="2" t="str">
        <f t="shared" si="28"/>
        <v/>
      </c>
      <c r="D286" s="2" t="str">
        <f t="shared" si="29"/>
        <v>Y</v>
      </c>
      <c r="E286" s="2">
        <f t="shared" si="30"/>
        <v>0</v>
      </c>
      <c r="F286" s="2" t="str">
        <f t="shared" si="31"/>
        <v/>
      </c>
      <c r="H286" s="121" t="s">
        <v>283</v>
      </c>
      <c r="I286" s="92"/>
      <c r="J286" s="93"/>
      <c r="K286" s="93"/>
      <c r="L286" s="94"/>
      <c r="M286" s="100"/>
      <c r="N286" s="96"/>
      <c r="O286" s="97"/>
      <c r="P286" s="98"/>
      <c r="Q286" s="101"/>
      <c r="R286" s="78" t="str">
        <f t="shared" si="26"/>
        <v/>
      </c>
    </row>
    <row r="287" spans="2:18" x14ac:dyDescent="0.2">
      <c r="B287" s="2" t="str">
        <f t="shared" si="27"/>
        <v/>
      </c>
      <c r="C287" s="2" t="str">
        <f t="shared" si="28"/>
        <v/>
      </c>
      <c r="D287" s="2" t="str">
        <f t="shared" si="29"/>
        <v>Y</v>
      </c>
      <c r="E287" s="2">
        <f t="shared" si="30"/>
        <v>0</v>
      </c>
      <c r="F287" s="2" t="str">
        <f t="shared" si="31"/>
        <v/>
      </c>
      <c r="H287" s="121" t="s">
        <v>284</v>
      </c>
      <c r="I287" s="92"/>
      <c r="J287" s="93"/>
      <c r="K287" s="93"/>
      <c r="L287" s="94"/>
      <c r="M287" s="100"/>
      <c r="N287" s="96"/>
      <c r="O287" s="97"/>
      <c r="P287" s="98"/>
      <c r="Q287" s="101"/>
      <c r="R287" s="78" t="str">
        <f t="shared" si="26"/>
        <v/>
      </c>
    </row>
    <row r="288" spans="2:18" x14ac:dyDescent="0.2">
      <c r="B288" s="2" t="str">
        <f t="shared" si="27"/>
        <v/>
      </c>
      <c r="C288" s="2" t="str">
        <f t="shared" si="28"/>
        <v/>
      </c>
      <c r="D288" s="2" t="str">
        <f t="shared" si="29"/>
        <v>Y</v>
      </c>
      <c r="E288" s="2">
        <f t="shared" si="30"/>
        <v>0</v>
      </c>
      <c r="F288" s="2" t="str">
        <f t="shared" si="31"/>
        <v/>
      </c>
      <c r="H288" s="121" t="s">
        <v>285</v>
      </c>
      <c r="I288" s="92"/>
      <c r="J288" s="93"/>
      <c r="K288" s="93"/>
      <c r="L288" s="94"/>
      <c r="M288" s="100"/>
      <c r="N288" s="96"/>
      <c r="O288" s="97"/>
      <c r="P288" s="98"/>
      <c r="Q288" s="101"/>
      <c r="R288" s="78" t="str">
        <f t="shared" si="26"/>
        <v/>
      </c>
    </row>
    <row r="289" spans="2:18" x14ac:dyDescent="0.2">
      <c r="B289" s="2" t="str">
        <f t="shared" si="27"/>
        <v/>
      </c>
      <c r="C289" s="2" t="str">
        <f t="shared" si="28"/>
        <v/>
      </c>
      <c r="D289" s="2" t="str">
        <f t="shared" si="29"/>
        <v>Y</v>
      </c>
      <c r="E289" s="2">
        <f t="shared" si="30"/>
        <v>0</v>
      </c>
      <c r="F289" s="2" t="str">
        <f t="shared" si="31"/>
        <v/>
      </c>
      <c r="H289" s="121" t="s">
        <v>286</v>
      </c>
      <c r="I289" s="92"/>
      <c r="J289" s="93"/>
      <c r="K289" s="93"/>
      <c r="L289" s="94"/>
      <c r="M289" s="100"/>
      <c r="N289" s="96"/>
      <c r="O289" s="97"/>
      <c r="P289" s="98"/>
      <c r="Q289" s="101"/>
      <c r="R289" s="78" t="str">
        <f t="shared" si="26"/>
        <v/>
      </c>
    </row>
    <row r="290" spans="2:18" x14ac:dyDescent="0.2">
      <c r="B290" s="2" t="str">
        <f t="shared" si="27"/>
        <v/>
      </c>
      <c r="C290" s="2" t="str">
        <f t="shared" si="28"/>
        <v/>
      </c>
      <c r="D290" s="2" t="str">
        <f t="shared" si="29"/>
        <v>Y</v>
      </c>
      <c r="E290" s="2">
        <f t="shared" si="30"/>
        <v>0</v>
      </c>
      <c r="F290" s="2" t="str">
        <f t="shared" si="31"/>
        <v/>
      </c>
      <c r="H290" s="121" t="s">
        <v>287</v>
      </c>
      <c r="I290" s="92"/>
      <c r="J290" s="93"/>
      <c r="K290" s="93"/>
      <c r="L290" s="94"/>
      <c r="M290" s="100"/>
      <c r="N290" s="96"/>
      <c r="O290" s="97"/>
      <c r="P290" s="98"/>
      <c r="Q290" s="101"/>
      <c r="R290" s="78" t="str">
        <f t="shared" si="26"/>
        <v/>
      </c>
    </row>
    <row r="291" spans="2:18" x14ac:dyDescent="0.2">
      <c r="B291" s="2" t="str">
        <f t="shared" si="27"/>
        <v/>
      </c>
      <c r="C291" s="2" t="str">
        <f t="shared" si="28"/>
        <v/>
      </c>
      <c r="D291" s="2" t="str">
        <f t="shared" si="29"/>
        <v>Y</v>
      </c>
      <c r="E291" s="2">
        <f t="shared" si="30"/>
        <v>0</v>
      </c>
      <c r="F291" s="2" t="str">
        <f t="shared" si="31"/>
        <v/>
      </c>
      <c r="H291" s="121" t="s">
        <v>288</v>
      </c>
      <c r="I291" s="92"/>
      <c r="J291" s="93"/>
      <c r="K291" s="93"/>
      <c r="L291" s="94"/>
      <c r="M291" s="100"/>
      <c r="N291" s="96"/>
      <c r="O291" s="97"/>
      <c r="P291" s="98"/>
      <c r="Q291" s="101"/>
      <c r="R291" s="78" t="str">
        <f t="shared" si="26"/>
        <v/>
      </c>
    </row>
    <row r="292" spans="2:18" x14ac:dyDescent="0.2">
      <c r="B292" s="2" t="str">
        <f t="shared" si="27"/>
        <v/>
      </c>
      <c r="C292" s="2" t="str">
        <f t="shared" si="28"/>
        <v/>
      </c>
      <c r="D292" s="2" t="str">
        <f t="shared" si="29"/>
        <v>Y</v>
      </c>
      <c r="E292" s="2">
        <f t="shared" si="30"/>
        <v>0</v>
      </c>
      <c r="F292" s="2" t="str">
        <f t="shared" si="31"/>
        <v/>
      </c>
      <c r="H292" s="121" t="s">
        <v>289</v>
      </c>
      <c r="I292" s="92"/>
      <c r="J292" s="93"/>
      <c r="K292" s="93"/>
      <c r="L292" s="94"/>
      <c r="M292" s="100"/>
      <c r="N292" s="96"/>
      <c r="O292" s="97"/>
      <c r="P292" s="98"/>
      <c r="Q292" s="101"/>
      <c r="R292" s="78" t="str">
        <f t="shared" si="26"/>
        <v/>
      </c>
    </row>
    <row r="293" spans="2:18" x14ac:dyDescent="0.2">
      <c r="B293" s="2" t="str">
        <f t="shared" si="27"/>
        <v/>
      </c>
      <c r="C293" s="2" t="str">
        <f t="shared" si="28"/>
        <v/>
      </c>
      <c r="D293" s="2" t="str">
        <f t="shared" si="29"/>
        <v>Y</v>
      </c>
      <c r="E293" s="2">
        <f t="shared" si="30"/>
        <v>0</v>
      </c>
      <c r="F293" s="2" t="str">
        <f t="shared" si="31"/>
        <v/>
      </c>
      <c r="H293" s="121" t="s">
        <v>290</v>
      </c>
      <c r="I293" s="92"/>
      <c r="J293" s="93"/>
      <c r="K293" s="93"/>
      <c r="L293" s="94"/>
      <c r="M293" s="100"/>
      <c r="N293" s="96"/>
      <c r="O293" s="97"/>
      <c r="P293" s="98"/>
      <c r="Q293" s="101"/>
      <c r="R293" s="78" t="str">
        <f t="shared" si="26"/>
        <v/>
      </c>
    </row>
    <row r="294" spans="2:18" x14ac:dyDescent="0.2">
      <c r="B294" s="2" t="str">
        <f t="shared" si="27"/>
        <v/>
      </c>
      <c r="C294" s="2" t="str">
        <f t="shared" si="28"/>
        <v/>
      </c>
      <c r="D294" s="2" t="str">
        <f t="shared" si="29"/>
        <v>Y</v>
      </c>
      <c r="E294" s="2">
        <f t="shared" si="30"/>
        <v>0</v>
      </c>
      <c r="F294" s="2" t="str">
        <f t="shared" si="31"/>
        <v/>
      </c>
      <c r="H294" s="121" t="s">
        <v>291</v>
      </c>
      <c r="I294" s="92"/>
      <c r="J294" s="93"/>
      <c r="K294" s="93"/>
      <c r="L294" s="94"/>
      <c r="M294" s="100"/>
      <c r="N294" s="96"/>
      <c r="O294" s="97"/>
      <c r="P294" s="98"/>
      <c r="Q294" s="101"/>
      <c r="R294" s="78" t="str">
        <f t="shared" si="26"/>
        <v/>
      </c>
    </row>
    <row r="295" spans="2:18" x14ac:dyDescent="0.2">
      <c r="B295" s="2" t="str">
        <f t="shared" si="27"/>
        <v/>
      </c>
      <c r="C295" s="2" t="str">
        <f t="shared" si="28"/>
        <v/>
      </c>
      <c r="D295" s="2" t="str">
        <f t="shared" si="29"/>
        <v>Y</v>
      </c>
      <c r="E295" s="2">
        <f t="shared" si="30"/>
        <v>0</v>
      </c>
      <c r="F295" s="2" t="str">
        <f t="shared" si="31"/>
        <v/>
      </c>
      <c r="H295" s="121" t="s">
        <v>292</v>
      </c>
      <c r="I295" s="92"/>
      <c r="J295" s="93"/>
      <c r="K295" s="93"/>
      <c r="L295" s="94"/>
      <c r="M295" s="100"/>
      <c r="N295" s="96"/>
      <c r="O295" s="97"/>
      <c r="P295" s="98"/>
      <c r="Q295" s="101"/>
      <c r="R295" s="78" t="str">
        <f t="shared" si="26"/>
        <v/>
      </c>
    </row>
    <row r="296" spans="2:18" x14ac:dyDescent="0.2">
      <c r="B296" s="2" t="str">
        <f t="shared" si="27"/>
        <v/>
      </c>
      <c r="C296" s="2" t="str">
        <f t="shared" si="28"/>
        <v/>
      </c>
      <c r="D296" s="2" t="str">
        <f t="shared" si="29"/>
        <v>Y</v>
      </c>
      <c r="E296" s="2">
        <f t="shared" si="30"/>
        <v>0</v>
      </c>
      <c r="F296" s="2" t="str">
        <f t="shared" si="31"/>
        <v/>
      </c>
      <c r="H296" s="121" t="s">
        <v>293</v>
      </c>
      <c r="I296" s="92"/>
      <c r="J296" s="93"/>
      <c r="K296" s="93"/>
      <c r="L296" s="94"/>
      <c r="M296" s="100"/>
      <c r="N296" s="96"/>
      <c r="O296" s="97"/>
      <c r="P296" s="98"/>
      <c r="Q296" s="101"/>
      <c r="R296" s="78" t="str">
        <f t="shared" si="26"/>
        <v/>
      </c>
    </row>
    <row r="297" spans="2:18" x14ac:dyDescent="0.2">
      <c r="B297" s="2" t="str">
        <f t="shared" si="27"/>
        <v/>
      </c>
      <c r="C297" s="2" t="str">
        <f t="shared" si="28"/>
        <v/>
      </c>
      <c r="D297" s="2" t="str">
        <f t="shared" si="29"/>
        <v>Y</v>
      </c>
      <c r="E297" s="2">
        <f t="shared" si="30"/>
        <v>0</v>
      </c>
      <c r="F297" s="2" t="str">
        <f t="shared" si="31"/>
        <v/>
      </c>
      <c r="H297" s="121" t="s">
        <v>294</v>
      </c>
      <c r="I297" s="92"/>
      <c r="J297" s="93"/>
      <c r="K297" s="93"/>
      <c r="L297" s="94"/>
      <c r="M297" s="100"/>
      <c r="N297" s="96"/>
      <c r="O297" s="97"/>
      <c r="P297" s="98"/>
      <c r="Q297" s="101"/>
      <c r="R297" s="78" t="str">
        <f t="shared" si="26"/>
        <v/>
      </c>
    </row>
    <row r="298" spans="2:18" x14ac:dyDescent="0.2">
      <c r="B298" s="2" t="str">
        <f t="shared" si="27"/>
        <v/>
      </c>
      <c r="C298" s="2" t="str">
        <f t="shared" si="28"/>
        <v/>
      </c>
      <c r="D298" s="2" t="str">
        <f t="shared" si="29"/>
        <v>Y</v>
      </c>
      <c r="E298" s="2">
        <f t="shared" si="30"/>
        <v>0</v>
      </c>
      <c r="F298" s="2" t="str">
        <f t="shared" si="31"/>
        <v/>
      </c>
      <c r="H298" s="121" t="s">
        <v>295</v>
      </c>
      <c r="I298" s="92"/>
      <c r="J298" s="93"/>
      <c r="K298" s="93"/>
      <c r="L298" s="94"/>
      <c r="M298" s="100"/>
      <c r="N298" s="96"/>
      <c r="O298" s="97"/>
      <c r="P298" s="98"/>
      <c r="Q298" s="101"/>
      <c r="R298" s="78" t="str">
        <f t="shared" si="26"/>
        <v/>
      </c>
    </row>
    <row r="299" spans="2:18" x14ac:dyDescent="0.2">
      <c r="B299" s="2" t="str">
        <f t="shared" si="27"/>
        <v/>
      </c>
      <c r="C299" s="2" t="str">
        <f t="shared" si="28"/>
        <v/>
      </c>
      <c r="D299" s="2" t="str">
        <f t="shared" si="29"/>
        <v>Y</v>
      </c>
      <c r="E299" s="2">
        <f t="shared" si="30"/>
        <v>0</v>
      </c>
      <c r="F299" s="2" t="str">
        <f t="shared" si="31"/>
        <v/>
      </c>
      <c r="H299" s="121" t="s">
        <v>296</v>
      </c>
      <c r="I299" s="92"/>
      <c r="J299" s="93"/>
      <c r="K299" s="93"/>
      <c r="L299" s="94"/>
      <c r="M299" s="100"/>
      <c r="N299" s="96"/>
      <c r="O299" s="97"/>
      <c r="P299" s="98"/>
      <c r="Q299" s="101"/>
      <c r="R299" s="78" t="str">
        <f t="shared" si="26"/>
        <v/>
      </c>
    </row>
    <row r="300" spans="2:18" x14ac:dyDescent="0.2">
      <c r="B300" s="2" t="str">
        <f t="shared" si="27"/>
        <v/>
      </c>
      <c r="C300" s="2" t="str">
        <f t="shared" si="28"/>
        <v/>
      </c>
      <c r="D300" s="2" t="str">
        <f t="shared" si="29"/>
        <v>Y</v>
      </c>
      <c r="E300" s="2">
        <f t="shared" si="30"/>
        <v>0</v>
      </c>
      <c r="F300" s="2" t="str">
        <f t="shared" si="31"/>
        <v/>
      </c>
      <c r="H300" s="121" t="s">
        <v>297</v>
      </c>
      <c r="I300" s="92"/>
      <c r="J300" s="93"/>
      <c r="K300" s="93"/>
      <c r="L300" s="94"/>
      <c r="M300" s="100"/>
      <c r="N300" s="96"/>
      <c r="O300" s="97"/>
      <c r="P300" s="98"/>
      <c r="Q300" s="101"/>
      <c r="R300" s="78" t="str">
        <f t="shared" si="26"/>
        <v/>
      </c>
    </row>
    <row r="301" spans="2:18" x14ac:dyDescent="0.2">
      <c r="B301" s="2" t="str">
        <f t="shared" si="27"/>
        <v/>
      </c>
      <c r="C301" s="2" t="str">
        <f t="shared" si="28"/>
        <v/>
      </c>
      <c r="D301" s="2" t="str">
        <f t="shared" si="29"/>
        <v>Y</v>
      </c>
      <c r="E301" s="2">
        <f t="shared" si="30"/>
        <v>0</v>
      </c>
      <c r="F301" s="2" t="str">
        <f t="shared" si="31"/>
        <v/>
      </c>
      <c r="H301" s="121" t="s">
        <v>298</v>
      </c>
      <c r="I301" s="92"/>
      <c r="J301" s="93"/>
      <c r="K301" s="93"/>
      <c r="L301" s="94"/>
      <c r="M301" s="100"/>
      <c r="N301" s="96"/>
      <c r="O301" s="97"/>
      <c r="P301" s="98"/>
      <c r="Q301" s="101"/>
      <c r="R301" s="78" t="str">
        <f t="shared" si="26"/>
        <v/>
      </c>
    </row>
    <row r="302" spans="2:18" x14ac:dyDescent="0.2">
      <c r="B302" s="2" t="str">
        <f t="shared" si="27"/>
        <v/>
      </c>
      <c r="C302" s="2" t="str">
        <f t="shared" si="28"/>
        <v/>
      </c>
      <c r="D302" s="2" t="str">
        <f t="shared" si="29"/>
        <v>Y</v>
      </c>
      <c r="E302" s="2">
        <f t="shared" si="30"/>
        <v>0</v>
      </c>
      <c r="F302" s="2" t="str">
        <f t="shared" si="31"/>
        <v/>
      </c>
      <c r="H302" s="121" t="s">
        <v>299</v>
      </c>
      <c r="I302" s="92"/>
      <c r="J302" s="93"/>
      <c r="K302" s="93"/>
      <c r="L302" s="94"/>
      <c r="M302" s="100"/>
      <c r="N302" s="96"/>
      <c r="O302" s="97"/>
      <c r="P302" s="98"/>
      <c r="Q302" s="101"/>
      <c r="R302" s="78" t="str">
        <f t="shared" si="26"/>
        <v/>
      </c>
    </row>
    <row r="303" spans="2:18" x14ac:dyDescent="0.2">
      <c r="B303" s="2" t="str">
        <f t="shared" si="27"/>
        <v/>
      </c>
      <c r="C303" s="2" t="str">
        <f t="shared" si="28"/>
        <v/>
      </c>
      <c r="D303" s="2" t="str">
        <f t="shared" si="29"/>
        <v>Y</v>
      </c>
      <c r="E303" s="2">
        <f t="shared" si="30"/>
        <v>0</v>
      </c>
      <c r="F303" s="2" t="str">
        <f t="shared" si="31"/>
        <v/>
      </c>
      <c r="H303" s="121" t="s">
        <v>300</v>
      </c>
      <c r="I303" s="92"/>
      <c r="J303" s="93"/>
      <c r="K303" s="93"/>
      <c r="L303" s="94"/>
      <c r="M303" s="100"/>
      <c r="N303" s="96"/>
      <c r="O303" s="97"/>
      <c r="P303" s="98"/>
      <c r="Q303" s="101"/>
      <c r="R303" s="78" t="str">
        <f t="shared" si="26"/>
        <v/>
      </c>
    </row>
    <row r="304" spans="2:18" x14ac:dyDescent="0.2">
      <c r="B304" s="2" t="str">
        <f t="shared" si="27"/>
        <v/>
      </c>
      <c r="C304" s="2" t="str">
        <f t="shared" si="28"/>
        <v/>
      </c>
      <c r="D304" s="2" t="str">
        <f t="shared" si="29"/>
        <v>Y</v>
      </c>
      <c r="E304" s="2">
        <f t="shared" si="30"/>
        <v>0</v>
      </c>
      <c r="F304" s="2" t="str">
        <f t="shared" si="31"/>
        <v/>
      </c>
      <c r="H304" s="121" t="s">
        <v>301</v>
      </c>
      <c r="I304" s="92"/>
      <c r="J304" s="93"/>
      <c r="K304" s="93"/>
      <c r="L304" s="94"/>
      <c r="M304" s="100"/>
      <c r="N304" s="96"/>
      <c r="O304" s="97"/>
      <c r="P304" s="98"/>
      <c r="Q304" s="101"/>
      <c r="R304" s="78" t="str">
        <f t="shared" si="26"/>
        <v/>
      </c>
    </row>
    <row r="305" spans="2:18" x14ac:dyDescent="0.2">
      <c r="B305" s="2" t="str">
        <f t="shared" si="27"/>
        <v/>
      </c>
      <c r="C305" s="2" t="str">
        <f t="shared" si="28"/>
        <v/>
      </c>
      <c r="D305" s="2" t="str">
        <f t="shared" si="29"/>
        <v>Y</v>
      </c>
      <c r="E305" s="2">
        <f t="shared" si="30"/>
        <v>0</v>
      </c>
      <c r="F305" s="2" t="str">
        <f t="shared" si="31"/>
        <v/>
      </c>
      <c r="H305" s="121" t="s">
        <v>302</v>
      </c>
      <c r="I305" s="92"/>
      <c r="J305" s="93"/>
      <c r="K305" s="93"/>
      <c r="L305" s="94"/>
      <c r="M305" s="100"/>
      <c r="N305" s="96"/>
      <c r="O305" s="97"/>
      <c r="P305" s="98"/>
      <c r="Q305" s="101"/>
      <c r="R305" s="78" t="str">
        <f t="shared" si="26"/>
        <v/>
      </c>
    </row>
    <row r="306" spans="2:18" x14ac:dyDescent="0.2">
      <c r="B306" s="2" t="str">
        <f t="shared" si="27"/>
        <v/>
      </c>
      <c r="C306" s="2" t="str">
        <f t="shared" si="28"/>
        <v/>
      </c>
      <c r="D306" s="2" t="str">
        <f t="shared" si="29"/>
        <v>Y</v>
      </c>
      <c r="E306" s="2">
        <f t="shared" si="30"/>
        <v>0</v>
      </c>
      <c r="F306" s="2" t="str">
        <f t="shared" si="31"/>
        <v/>
      </c>
      <c r="H306" s="121" t="s">
        <v>303</v>
      </c>
      <c r="I306" s="92"/>
      <c r="J306" s="93"/>
      <c r="K306" s="93"/>
      <c r="L306" s="94"/>
      <c r="M306" s="100"/>
      <c r="N306" s="96"/>
      <c r="O306" s="97"/>
      <c r="P306" s="98"/>
      <c r="Q306" s="101"/>
      <c r="R306" s="78" t="str">
        <f t="shared" si="26"/>
        <v/>
      </c>
    </row>
    <row r="307" spans="2:18" x14ac:dyDescent="0.2">
      <c r="B307" s="2" t="str">
        <f t="shared" si="27"/>
        <v/>
      </c>
      <c r="C307" s="2" t="str">
        <f t="shared" si="28"/>
        <v/>
      </c>
      <c r="D307" s="2" t="str">
        <f t="shared" si="29"/>
        <v>Y</v>
      </c>
      <c r="E307" s="2">
        <f t="shared" si="30"/>
        <v>0</v>
      </c>
      <c r="F307" s="2" t="str">
        <f t="shared" si="31"/>
        <v/>
      </c>
      <c r="H307" s="121" t="s">
        <v>304</v>
      </c>
      <c r="I307" s="92"/>
      <c r="J307" s="93"/>
      <c r="K307" s="93"/>
      <c r="L307" s="94"/>
      <c r="M307" s="100"/>
      <c r="N307" s="96"/>
      <c r="O307" s="97"/>
      <c r="P307" s="98"/>
      <c r="Q307" s="101"/>
      <c r="R307" s="78" t="str">
        <f t="shared" si="26"/>
        <v/>
      </c>
    </row>
    <row r="308" spans="2:18" x14ac:dyDescent="0.2">
      <c r="B308" s="2" t="str">
        <f t="shared" si="27"/>
        <v/>
      </c>
      <c r="C308" s="2" t="str">
        <f t="shared" si="28"/>
        <v/>
      </c>
      <c r="D308" s="2" t="str">
        <f t="shared" si="29"/>
        <v>Y</v>
      </c>
      <c r="E308" s="2">
        <f t="shared" si="30"/>
        <v>0</v>
      </c>
      <c r="F308" s="2" t="str">
        <f t="shared" si="31"/>
        <v/>
      </c>
      <c r="H308" s="121" t="s">
        <v>305</v>
      </c>
      <c r="I308" s="92"/>
      <c r="J308" s="93"/>
      <c r="K308" s="93"/>
      <c r="L308" s="94"/>
      <c r="M308" s="100"/>
      <c r="N308" s="96"/>
      <c r="O308" s="97"/>
      <c r="P308" s="98"/>
      <c r="Q308" s="101"/>
      <c r="R308" s="78" t="str">
        <f t="shared" si="26"/>
        <v/>
      </c>
    </row>
    <row r="309" spans="2:18" x14ac:dyDescent="0.2">
      <c r="B309" s="2" t="str">
        <f t="shared" si="27"/>
        <v/>
      </c>
      <c r="C309" s="2" t="str">
        <f t="shared" si="28"/>
        <v/>
      </c>
      <c r="D309" s="2" t="str">
        <f t="shared" si="29"/>
        <v>Y</v>
      </c>
      <c r="E309" s="2">
        <f t="shared" si="30"/>
        <v>0</v>
      </c>
      <c r="F309" s="2" t="str">
        <f t="shared" si="31"/>
        <v/>
      </c>
      <c r="H309" s="121" t="s">
        <v>306</v>
      </c>
      <c r="I309" s="92"/>
      <c r="J309" s="93"/>
      <c r="K309" s="93"/>
      <c r="L309" s="94"/>
      <c r="M309" s="100"/>
      <c r="N309" s="96"/>
      <c r="O309" s="97"/>
      <c r="P309" s="98"/>
      <c r="Q309" s="101"/>
      <c r="R309" s="78" t="str">
        <f t="shared" si="26"/>
        <v/>
      </c>
    </row>
    <row r="310" spans="2:18" x14ac:dyDescent="0.2">
      <c r="B310" s="2" t="str">
        <f t="shared" si="27"/>
        <v/>
      </c>
      <c r="C310" s="2" t="str">
        <f t="shared" si="28"/>
        <v/>
      </c>
      <c r="D310" s="2" t="str">
        <f t="shared" si="29"/>
        <v>Y</v>
      </c>
      <c r="E310" s="2">
        <f t="shared" si="30"/>
        <v>0</v>
      </c>
      <c r="F310" s="2" t="str">
        <f t="shared" si="31"/>
        <v/>
      </c>
      <c r="H310" s="121" t="s">
        <v>307</v>
      </c>
      <c r="I310" s="92"/>
      <c r="J310" s="93"/>
      <c r="K310" s="93"/>
      <c r="L310" s="94"/>
      <c r="M310" s="100"/>
      <c r="N310" s="96"/>
      <c r="O310" s="97"/>
      <c r="P310" s="98"/>
      <c r="Q310" s="101"/>
      <c r="R310" s="78" t="str">
        <f t="shared" si="26"/>
        <v/>
      </c>
    </row>
    <row r="311" spans="2:18" x14ac:dyDescent="0.2">
      <c r="B311" s="2" t="str">
        <f t="shared" si="27"/>
        <v/>
      </c>
      <c r="C311" s="2" t="str">
        <f t="shared" si="28"/>
        <v/>
      </c>
      <c r="D311" s="2" t="str">
        <f t="shared" si="29"/>
        <v>Y</v>
      </c>
      <c r="E311" s="2">
        <f t="shared" si="30"/>
        <v>0</v>
      </c>
      <c r="F311" s="2" t="str">
        <f t="shared" si="31"/>
        <v/>
      </c>
      <c r="H311" s="121" t="s">
        <v>308</v>
      </c>
      <c r="I311" s="92"/>
      <c r="J311" s="93"/>
      <c r="K311" s="93"/>
      <c r="L311" s="94"/>
      <c r="M311" s="100"/>
      <c r="N311" s="96"/>
      <c r="O311" s="97"/>
      <c r="P311" s="98"/>
      <c r="Q311" s="101"/>
      <c r="R311" s="78" t="str">
        <f t="shared" si="26"/>
        <v/>
      </c>
    </row>
    <row r="312" spans="2:18" x14ac:dyDescent="0.2">
      <c r="B312" s="2" t="str">
        <f t="shared" si="27"/>
        <v/>
      </c>
      <c r="C312" s="2" t="str">
        <f t="shared" si="28"/>
        <v/>
      </c>
      <c r="D312" s="2" t="str">
        <f t="shared" si="29"/>
        <v>Y</v>
      </c>
      <c r="E312" s="2">
        <f t="shared" si="30"/>
        <v>0</v>
      </c>
      <c r="F312" s="2" t="str">
        <f t="shared" si="31"/>
        <v/>
      </c>
      <c r="H312" s="121" t="s">
        <v>309</v>
      </c>
      <c r="I312" s="92"/>
      <c r="J312" s="93"/>
      <c r="K312" s="93"/>
      <c r="L312" s="94"/>
      <c r="M312" s="100"/>
      <c r="N312" s="96"/>
      <c r="O312" s="97"/>
      <c r="P312" s="98"/>
      <c r="Q312" s="101"/>
      <c r="R312" s="78" t="str">
        <f t="shared" si="26"/>
        <v/>
      </c>
    </row>
    <row r="313" spans="2:18" x14ac:dyDescent="0.2">
      <c r="B313" s="2" t="str">
        <f t="shared" si="27"/>
        <v/>
      </c>
      <c r="C313" s="2" t="str">
        <f t="shared" si="28"/>
        <v/>
      </c>
      <c r="D313" s="2" t="str">
        <f t="shared" si="29"/>
        <v>Y</v>
      </c>
      <c r="E313" s="2">
        <f t="shared" si="30"/>
        <v>0</v>
      </c>
      <c r="F313" s="2" t="str">
        <f t="shared" si="31"/>
        <v/>
      </c>
      <c r="H313" s="121" t="s">
        <v>310</v>
      </c>
      <c r="I313" s="92"/>
      <c r="J313" s="93"/>
      <c r="K313" s="93"/>
      <c r="L313" s="94"/>
      <c r="M313" s="100"/>
      <c r="N313" s="96"/>
      <c r="O313" s="97"/>
      <c r="P313" s="98"/>
      <c r="Q313" s="101"/>
      <c r="R313" s="78" t="str">
        <f t="shared" si="26"/>
        <v/>
      </c>
    </row>
    <row r="314" spans="2:18" x14ac:dyDescent="0.2">
      <c r="B314" s="2" t="str">
        <f t="shared" si="27"/>
        <v/>
      </c>
      <c r="C314" s="2" t="str">
        <f t="shared" si="28"/>
        <v/>
      </c>
      <c r="D314" s="2" t="str">
        <f t="shared" si="29"/>
        <v>Y</v>
      </c>
      <c r="E314" s="2">
        <f t="shared" si="30"/>
        <v>0</v>
      </c>
      <c r="F314" s="2" t="str">
        <f t="shared" si="31"/>
        <v/>
      </c>
      <c r="H314" s="121" t="s">
        <v>311</v>
      </c>
      <c r="I314" s="92"/>
      <c r="J314" s="93"/>
      <c r="K314" s="93"/>
      <c r="L314" s="94"/>
      <c r="M314" s="100"/>
      <c r="N314" s="96"/>
      <c r="O314" s="97"/>
      <c r="P314" s="98"/>
      <c r="Q314" s="101"/>
      <c r="R314" s="78" t="str">
        <f t="shared" si="26"/>
        <v/>
      </c>
    </row>
    <row r="315" spans="2:18" x14ac:dyDescent="0.2">
      <c r="B315" s="2" t="str">
        <f t="shared" si="27"/>
        <v/>
      </c>
      <c r="C315" s="2" t="str">
        <f t="shared" si="28"/>
        <v/>
      </c>
      <c r="D315" s="2" t="str">
        <f t="shared" si="29"/>
        <v>Y</v>
      </c>
      <c r="E315" s="2">
        <f t="shared" si="30"/>
        <v>0</v>
      </c>
      <c r="F315" s="2" t="str">
        <f t="shared" si="31"/>
        <v/>
      </c>
      <c r="H315" s="121" t="s">
        <v>312</v>
      </c>
      <c r="I315" s="92"/>
      <c r="J315" s="93"/>
      <c r="K315" s="93"/>
      <c r="L315" s="94"/>
      <c r="M315" s="100"/>
      <c r="N315" s="96"/>
      <c r="O315" s="97"/>
      <c r="P315" s="98"/>
      <c r="Q315" s="101"/>
      <c r="R315" s="78" t="str">
        <f t="shared" si="26"/>
        <v/>
      </c>
    </row>
    <row r="316" spans="2:18" x14ac:dyDescent="0.2">
      <c r="B316" s="2" t="str">
        <f t="shared" si="27"/>
        <v/>
      </c>
      <c r="C316" s="2" t="str">
        <f t="shared" si="28"/>
        <v/>
      </c>
      <c r="D316" s="2" t="str">
        <f t="shared" si="29"/>
        <v>Y</v>
      </c>
      <c r="E316" s="2">
        <f t="shared" si="30"/>
        <v>0</v>
      </c>
      <c r="F316" s="2" t="str">
        <f t="shared" si="31"/>
        <v/>
      </c>
      <c r="H316" s="121" t="s">
        <v>313</v>
      </c>
      <c r="I316" s="92"/>
      <c r="J316" s="93"/>
      <c r="K316" s="93"/>
      <c r="L316" s="94"/>
      <c r="M316" s="100"/>
      <c r="N316" s="96"/>
      <c r="O316" s="97"/>
      <c r="P316" s="98"/>
      <c r="Q316" s="101"/>
      <c r="R316" s="78" t="str">
        <f t="shared" si="26"/>
        <v/>
      </c>
    </row>
    <row r="317" spans="2:18" x14ac:dyDescent="0.2">
      <c r="B317" s="2" t="str">
        <f t="shared" si="27"/>
        <v/>
      </c>
      <c r="C317" s="2" t="str">
        <f t="shared" si="28"/>
        <v/>
      </c>
      <c r="D317" s="2" t="str">
        <f t="shared" si="29"/>
        <v>Y</v>
      </c>
      <c r="E317" s="2">
        <f t="shared" si="30"/>
        <v>0</v>
      </c>
      <c r="F317" s="2" t="str">
        <f t="shared" si="31"/>
        <v/>
      </c>
      <c r="H317" s="121" t="s">
        <v>314</v>
      </c>
      <c r="I317" s="92"/>
      <c r="J317" s="93"/>
      <c r="K317" s="93"/>
      <c r="L317" s="94"/>
      <c r="M317" s="100"/>
      <c r="N317" s="96"/>
      <c r="O317" s="97"/>
      <c r="P317" s="98"/>
      <c r="Q317" s="101"/>
      <c r="R317" s="78" t="str">
        <f t="shared" si="26"/>
        <v/>
      </c>
    </row>
    <row r="318" spans="2:18" x14ac:dyDescent="0.2">
      <c r="B318" s="2" t="str">
        <f t="shared" si="27"/>
        <v/>
      </c>
      <c r="C318" s="2" t="str">
        <f t="shared" si="28"/>
        <v/>
      </c>
      <c r="D318" s="2" t="str">
        <f t="shared" si="29"/>
        <v>Y</v>
      </c>
      <c r="E318" s="2">
        <f t="shared" si="30"/>
        <v>0</v>
      </c>
      <c r="F318" s="2" t="str">
        <f t="shared" si="31"/>
        <v/>
      </c>
      <c r="H318" s="121" t="s">
        <v>315</v>
      </c>
      <c r="I318" s="92"/>
      <c r="J318" s="93"/>
      <c r="K318" s="93"/>
      <c r="L318" s="94"/>
      <c r="M318" s="100"/>
      <c r="N318" s="96"/>
      <c r="O318" s="97"/>
      <c r="P318" s="98"/>
      <c r="Q318" s="101"/>
      <c r="R318" s="78" t="str">
        <f t="shared" si="26"/>
        <v/>
      </c>
    </row>
    <row r="319" spans="2:18" x14ac:dyDescent="0.2">
      <c r="B319" s="2" t="str">
        <f t="shared" si="27"/>
        <v/>
      </c>
      <c r="C319" s="2" t="str">
        <f t="shared" si="28"/>
        <v/>
      </c>
      <c r="D319" s="2" t="str">
        <f t="shared" si="29"/>
        <v>Y</v>
      </c>
      <c r="E319" s="2">
        <f t="shared" si="30"/>
        <v>0</v>
      </c>
      <c r="F319" s="2" t="str">
        <f t="shared" si="31"/>
        <v/>
      </c>
      <c r="H319" s="121" t="s">
        <v>316</v>
      </c>
      <c r="I319" s="92"/>
      <c r="J319" s="93"/>
      <c r="K319" s="93"/>
      <c r="L319" s="94"/>
      <c r="M319" s="100"/>
      <c r="N319" s="96"/>
      <c r="O319" s="97"/>
      <c r="P319" s="98"/>
      <c r="Q319" s="101"/>
      <c r="R319" s="78" t="str">
        <f t="shared" si="26"/>
        <v/>
      </c>
    </row>
    <row r="320" spans="2:18" x14ac:dyDescent="0.2">
      <c r="B320" s="2" t="str">
        <f t="shared" si="27"/>
        <v/>
      </c>
      <c r="C320" s="2" t="str">
        <f t="shared" si="28"/>
        <v/>
      </c>
      <c r="D320" s="2" t="str">
        <f t="shared" si="29"/>
        <v>Y</v>
      </c>
      <c r="E320" s="2">
        <f t="shared" si="30"/>
        <v>0</v>
      </c>
      <c r="F320" s="2" t="str">
        <f t="shared" si="31"/>
        <v/>
      </c>
      <c r="H320" s="121" t="s">
        <v>317</v>
      </c>
      <c r="I320" s="92"/>
      <c r="J320" s="93"/>
      <c r="K320" s="93"/>
      <c r="L320" s="94"/>
      <c r="M320" s="100"/>
      <c r="N320" s="96"/>
      <c r="O320" s="97"/>
      <c r="P320" s="98"/>
      <c r="Q320" s="101"/>
      <c r="R320" s="78" t="str">
        <f t="shared" si="26"/>
        <v/>
      </c>
    </row>
    <row r="321" spans="2:18" x14ac:dyDescent="0.2">
      <c r="B321" s="2" t="str">
        <f t="shared" si="27"/>
        <v/>
      </c>
      <c r="C321" s="2" t="str">
        <f t="shared" si="28"/>
        <v/>
      </c>
      <c r="D321" s="2" t="str">
        <f t="shared" si="29"/>
        <v>Y</v>
      </c>
      <c r="E321" s="2">
        <f t="shared" si="30"/>
        <v>0</v>
      </c>
      <c r="F321" s="2" t="str">
        <f t="shared" si="31"/>
        <v/>
      </c>
      <c r="H321" s="121" t="s">
        <v>318</v>
      </c>
      <c r="I321" s="92"/>
      <c r="J321" s="93"/>
      <c r="K321" s="93"/>
      <c r="L321" s="94"/>
      <c r="M321" s="100"/>
      <c r="N321" s="96"/>
      <c r="O321" s="97"/>
      <c r="P321" s="98"/>
      <c r="Q321" s="101"/>
      <c r="R321" s="78" t="str">
        <f t="shared" si="26"/>
        <v/>
      </c>
    </row>
    <row r="322" spans="2:18" x14ac:dyDescent="0.2">
      <c r="B322" s="2" t="str">
        <f t="shared" si="27"/>
        <v/>
      </c>
      <c r="C322" s="2" t="str">
        <f t="shared" si="28"/>
        <v/>
      </c>
      <c r="D322" s="2" t="str">
        <f t="shared" si="29"/>
        <v>Y</v>
      </c>
      <c r="E322" s="2">
        <f t="shared" si="30"/>
        <v>0</v>
      </c>
      <c r="F322" s="2" t="str">
        <f t="shared" si="31"/>
        <v/>
      </c>
      <c r="H322" s="121" t="s">
        <v>319</v>
      </c>
      <c r="I322" s="92"/>
      <c r="J322" s="93"/>
      <c r="K322" s="93"/>
      <c r="L322" s="94"/>
      <c r="M322" s="100"/>
      <c r="N322" s="96"/>
      <c r="O322" s="97"/>
      <c r="P322" s="98"/>
      <c r="Q322" s="101"/>
      <c r="R322" s="78" t="str">
        <f t="shared" si="26"/>
        <v/>
      </c>
    </row>
    <row r="323" spans="2:18" x14ac:dyDescent="0.2">
      <c r="B323" s="2" t="str">
        <f t="shared" si="27"/>
        <v/>
      </c>
      <c r="C323" s="2" t="str">
        <f t="shared" si="28"/>
        <v/>
      </c>
      <c r="D323" s="2" t="str">
        <f t="shared" si="29"/>
        <v>Y</v>
      </c>
      <c r="E323" s="2">
        <f t="shared" si="30"/>
        <v>0</v>
      </c>
      <c r="F323" s="2" t="str">
        <f t="shared" si="31"/>
        <v/>
      </c>
      <c r="H323" s="121" t="s">
        <v>320</v>
      </c>
      <c r="I323" s="92"/>
      <c r="J323" s="93"/>
      <c r="K323" s="93"/>
      <c r="L323" s="94"/>
      <c r="M323" s="100"/>
      <c r="N323" s="96"/>
      <c r="O323" s="97"/>
      <c r="P323" s="98"/>
      <c r="Q323" s="101"/>
      <c r="R323" s="78" t="str">
        <f t="shared" si="26"/>
        <v/>
      </c>
    </row>
    <row r="324" spans="2:18" x14ac:dyDescent="0.2">
      <c r="B324" s="2" t="str">
        <f t="shared" si="27"/>
        <v/>
      </c>
      <c r="C324" s="2" t="str">
        <f t="shared" si="28"/>
        <v/>
      </c>
      <c r="D324" s="2" t="str">
        <f t="shared" si="29"/>
        <v>Y</v>
      </c>
      <c r="E324" s="2">
        <f t="shared" si="30"/>
        <v>0</v>
      </c>
      <c r="F324" s="2" t="str">
        <f t="shared" si="31"/>
        <v/>
      </c>
      <c r="H324" s="121" t="s">
        <v>321</v>
      </c>
      <c r="I324" s="92"/>
      <c r="J324" s="93"/>
      <c r="K324" s="93"/>
      <c r="L324" s="94"/>
      <c r="M324" s="100"/>
      <c r="N324" s="96"/>
      <c r="O324" s="97"/>
      <c r="P324" s="98"/>
      <c r="Q324" s="101"/>
      <c r="R324" s="78" t="str">
        <f t="shared" si="26"/>
        <v/>
      </c>
    </row>
    <row r="325" spans="2:18" x14ac:dyDescent="0.2">
      <c r="B325" s="2" t="str">
        <f t="shared" si="27"/>
        <v/>
      </c>
      <c r="C325" s="2" t="str">
        <f t="shared" si="28"/>
        <v/>
      </c>
      <c r="D325" s="2" t="str">
        <f t="shared" si="29"/>
        <v>Y</v>
      </c>
      <c r="E325" s="2">
        <f t="shared" si="30"/>
        <v>0</v>
      </c>
      <c r="F325" s="2" t="str">
        <f t="shared" si="31"/>
        <v/>
      </c>
      <c r="H325" s="121" t="s">
        <v>322</v>
      </c>
      <c r="I325" s="92"/>
      <c r="J325" s="93"/>
      <c r="K325" s="93"/>
      <c r="L325" s="94"/>
      <c r="M325" s="100"/>
      <c r="N325" s="96"/>
      <c r="O325" s="97"/>
      <c r="P325" s="98"/>
      <c r="Q325" s="101"/>
      <c r="R325" s="78" t="str">
        <f t="shared" si="26"/>
        <v/>
      </c>
    </row>
    <row r="326" spans="2:18" x14ac:dyDescent="0.2">
      <c r="B326" s="2" t="str">
        <f t="shared" si="27"/>
        <v/>
      </c>
      <c r="C326" s="2" t="str">
        <f t="shared" si="28"/>
        <v/>
      </c>
      <c r="D326" s="2" t="str">
        <f t="shared" si="29"/>
        <v>Y</v>
      </c>
      <c r="E326" s="2">
        <f t="shared" si="30"/>
        <v>0</v>
      </c>
      <c r="F326" s="2" t="str">
        <f t="shared" si="31"/>
        <v/>
      </c>
      <c r="H326" s="121" t="s">
        <v>323</v>
      </c>
      <c r="I326" s="92"/>
      <c r="J326" s="93"/>
      <c r="K326" s="93"/>
      <c r="L326" s="94"/>
      <c r="M326" s="100"/>
      <c r="N326" s="96"/>
      <c r="O326" s="97"/>
      <c r="P326" s="98"/>
      <c r="Q326" s="101"/>
      <c r="R326" s="78" t="str">
        <f t="shared" si="26"/>
        <v/>
      </c>
    </row>
    <row r="327" spans="2:18" x14ac:dyDescent="0.2">
      <c r="B327" s="2" t="str">
        <f t="shared" si="27"/>
        <v/>
      </c>
      <c r="C327" s="2" t="str">
        <f t="shared" si="28"/>
        <v/>
      </c>
      <c r="D327" s="2" t="str">
        <f t="shared" si="29"/>
        <v>Y</v>
      </c>
      <c r="E327" s="2">
        <f t="shared" si="30"/>
        <v>0</v>
      </c>
      <c r="F327" s="2" t="str">
        <f t="shared" si="31"/>
        <v/>
      </c>
      <c r="H327" s="121" t="s">
        <v>324</v>
      </c>
      <c r="I327" s="92"/>
      <c r="J327" s="93"/>
      <c r="K327" s="93"/>
      <c r="L327" s="94"/>
      <c r="M327" s="100"/>
      <c r="N327" s="96"/>
      <c r="O327" s="97"/>
      <c r="P327" s="98"/>
      <c r="Q327" s="101"/>
      <c r="R327" s="78" t="str">
        <f t="shared" si="26"/>
        <v/>
      </c>
    </row>
    <row r="328" spans="2:18" x14ac:dyDescent="0.2">
      <c r="B328" s="2" t="str">
        <f t="shared" si="27"/>
        <v/>
      </c>
      <c r="C328" s="2" t="str">
        <f t="shared" si="28"/>
        <v/>
      </c>
      <c r="D328" s="2" t="str">
        <f t="shared" si="29"/>
        <v>Y</v>
      </c>
      <c r="E328" s="2">
        <f t="shared" si="30"/>
        <v>0</v>
      </c>
      <c r="F328" s="2" t="str">
        <f t="shared" si="31"/>
        <v/>
      </c>
      <c r="H328" s="121" t="s">
        <v>325</v>
      </c>
      <c r="I328" s="92"/>
      <c r="J328" s="93"/>
      <c r="K328" s="93"/>
      <c r="L328" s="94"/>
      <c r="M328" s="100"/>
      <c r="N328" s="96"/>
      <c r="O328" s="97"/>
      <c r="P328" s="98"/>
      <c r="Q328" s="101"/>
      <c r="R328" s="78" t="str">
        <f t="shared" si="26"/>
        <v/>
      </c>
    </row>
    <row r="329" spans="2:18" x14ac:dyDescent="0.2">
      <c r="B329" s="2" t="str">
        <f t="shared" si="27"/>
        <v/>
      </c>
      <c r="C329" s="2" t="str">
        <f t="shared" si="28"/>
        <v/>
      </c>
      <c r="D329" s="2" t="str">
        <f t="shared" si="29"/>
        <v>Y</v>
      </c>
      <c r="E329" s="2">
        <f t="shared" si="30"/>
        <v>0</v>
      </c>
      <c r="F329" s="2" t="str">
        <f t="shared" si="31"/>
        <v/>
      </c>
      <c r="H329" s="121" t="s">
        <v>326</v>
      </c>
      <c r="I329" s="92"/>
      <c r="J329" s="93"/>
      <c r="K329" s="93"/>
      <c r="L329" s="94"/>
      <c r="M329" s="100"/>
      <c r="N329" s="96"/>
      <c r="O329" s="97"/>
      <c r="P329" s="98"/>
      <c r="Q329" s="101"/>
      <c r="R329" s="78" t="str">
        <f t="shared" si="26"/>
        <v/>
      </c>
    </row>
    <row r="330" spans="2:18" x14ac:dyDescent="0.2">
      <c r="B330" s="2" t="str">
        <f t="shared" si="27"/>
        <v/>
      </c>
      <c r="C330" s="2" t="str">
        <f t="shared" si="28"/>
        <v/>
      </c>
      <c r="D330" s="2" t="str">
        <f t="shared" si="29"/>
        <v>Y</v>
      </c>
      <c r="E330" s="2">
        <f t="shared" si="30"/>
        <v>0</v>
      </c>
      <c r="F330" s="2" t="str">
        <f t="shared" si="31"/>
        <v/>
      </c>
      <c r="H330" s="121" t="s">
        <v>327</v>
      </c>
      <c r="I330" s="92"/>
      <c r="J330" s="93"/>
      <c r="K330" s="93"/>
      <c r="L330" s="94"/>
      <c r="M330" s="100"/>
      <c r="N330" s="96"/>
      <c r="O330" s="97"/>
      <c r="P330" s="98"/>
      <c r="Q330" s="101"/>
      <c r="R330" s="78" t="str">
        <f t="shared" si="26"/>
        <v/>
      </c>
    </row>
    <row r="331" spans="2:18" x14ac:dyDescent="0.2">
      <c r="B331" s="2" t="str">
        <f t="shared" si="27"/>
        <v/>
      </c>
      <c r="C331" s="2" t="str">
        <f t="shared" si="28"/>
        <v/>
      </c>
      <c r="D331" s="2" t="str">
        <f t="shared" si="29"/>
        <v>Y</v>
      </c>
      <c r="E331" s="2">
        <f t="shared" si="30"/>
        <v>0</v>
      </c>
      <c r="F331" s="2" t="str">
        <f t="shared" si="31"/>
        <v/>
      </c>
      <c r="H331" s="121" t="s">
        <v>328</v>
      </c>
      <c r="I331" s="92"/>
      <c r="J331" s="93"/>
      <c r="K331" s="93"/>
      <c r="L331" s="94"/>
      <c r="M331" s="100"/>
      <c r="N331" s="96"/>
      <c r="O331" s="97"/>
      <c r="P331" s="98"/>
      <c r="Q331" s="101"/>
      <c r="R331" s="78" t="str">
        <f t="shared" ref="R331:R394" si="32">IF(ISERROR(VLOOKUP(K331,LB_PROJECTS,2,FALSE)),"",VLOOKUP(K331,LB_PROJECTS,2,FALSE))</f>
        <v/>
      </c>
    </row>
    <row r="332" spans="2:18" x14ac:dyDescent="0.2">
      <c r="B332" s="2" t="str">
        <f t="shared" ref="B332:B395" si="33">IF(M332="","",IF(WEEKNUM(M332)&lt;10,VALUE(CONCATENATE(YEAR(M332),"0",WEEKNUM(M332))),VALUE(CONCATENATE(YEAR(M332),WEEKNUM(M332)))))</f>
        <v/>
      </c>
      <c r="C332" s="2" t="str">
        <f t="shared" ref="C332:C395" si="34">IF(P332="","",IF(WEEKNUM(P332)&lt;10,VALUE(CONCATENATE(YEAR(P332),"0",WEEKNUM(P332))),VALUE(CONCATENATE(YEAR(P332),WEEKNUM(P332)))))</f>
        <v/>
      </c>
      <c r="D332" s="2" t="str">
        <f t="shared" ref="D332:D395" si="35">IF(OR(O332="Not started",O332="In progress"),"N",IF(OR(O332="N/A",O332="Suspended",O332="Canceled"),"","Y"))</f>
        <v>Y</v>
      </c>
      <c r="E332" s="2">
        <f t="shared" ref="E332:E395" si="36">IF(OR(O332="Not started",O332="In progress",O332="Applied",O332="Closed"),1,0)</f>
        <v>0</v>
      </c>
      <c r="F332" s="2" t="str">
        <f t="shared" si="31"/>
        <v/>
      </c>
      <c r="H332" s="121" t="s">
        <v>329</v>
      </c>
      <c r="I332" s="92"/>
      <c r="J332" s="93"/>
      <c r="K332" s="93"/>
      <c r="L332" s="94"/>
      <c r="M332" s="100"/>
      <c r="N332" s="96"/>
      <c r="O332" s="97"/>
      <c r="P332" s="98"/>
      <c r="Q332" s="101"/>
      <c r="R332" s="78" t="str">
        <f t="shared" si="32"/>
        <v/>
      </c>
    </row>
    <row r="333" spans="2:18" x14ac:dyDescent="0.2">
      <c r="B333" s="2" t="str">
        <f t="shared" si="33"/>
        <v/>
      </c>
      <c r="C333" s="2" t="str">
        <f t="shared" si="34"/>
        <v/>
      </c>
      <c r="D333" s="2" t="str">
        <f t="shared" si="35"/>
        <v>Y</v>
      </c>
      <c r="E333" s="2">
        <f t="shared" si="36"/>
        <v>0</v>
      </c>
      <c r="F333" s="2" t="str">
        <f t="shared" si="31"/>
        <v/>
      </c>
      <c r="H333" s="121" t="s">
        <v>330</v>
      </c>
      <c r="I333" s="92"/>
      <c r="J333" s="93"/>
      <c r="K333" s="93"/>
      <c r="L333" s="94"/>
      <c r="M333" s="100"/>
      <c r="N333" s="96"/>
      <c r="O333" s="97"/>
      <c r="P333" s="98"/>
      <c r="Q333" s="101"/>
      <c r="R333" s="78" t="str">
        <f t="shared" si="32"/>
        <v/>
      </c>
    </row>
    <row r="334" spans="2:18" x14ac:dyDescent="0.2">
      <c r="B334" s="2" t="str">
        <f t="shared" si="33"/>
        <v/>
      </c>
      <c r="C334" s="2" t="str">
        <f t="shared" si="34"/>
        <v/>
      </c>
      <c r="D334" s="2" t="str">
        <f t="shared" si="35"/>
        <v>Y</v>
      </c>
      <c r="E334" s="2">
        <f t="shared" si="36"/>
        <v>0</v>
      </c>
      <c r="F334" s="2" t="str">
        <f t="shared" ref="F334:F397" si="37">IF(N334="",B334,IF(WEEKNUM(N334)&lt;10,VALUE(CONCATENATE(YEAR(N334),"0",WEEKNUM(N334))),VALUE(CONCATENATE(YEAR(N334),WEEKNUM(N334)))))</f>
        <v/>
      </c>
      <c r="H334" s="121" t="s">
        <v>331</v>
      </c>
      <c r="I334" s="92"/>
      <c r="J334" s="93"/>
      <c r="K334" s="93"/>
      <c r="L334" s="94"/>
      <c r="M334" s="100"/>
      <c r="N334" s="96"/>
      <c r="O334" s="97"/>
      <c r="P334" s="98"/>
      <c r="Q334" s="101"/>
      <c r="R334" s="78" t="str">
        <f t="shared" si="32"/>
        <v/>
      </c>
    </row>
    <row r="335" spans="2:18" x14ac:dyDescent="0.2">
      <c r="B335" s="2" t="str">
        <f t="shared" si="33"/>
        <v/>
      </c>
      <c r="C335" s="2" t="str">
        <f t="shared" si="34"/>
        <v/>
      </c>
      <c r="D335" s="2" t="str">
        <f t="shared" si="35"/>
        <v>Y</v>
      </c>
      <c r="E335" s="2">
        <f t="shared" si="36"/>
        <v>0</v>
      </c>
      <c r="F335" s="2" t="str">
        <f t="shared" si="37"/>
        <v/>
      </c>
      <c r="H335" s="121" t="s">
        <v>332</v>
      </c>
      <c r="I335" s="92"/>
      <c r="J335" s="93"/>
      <c r="K335" s="93"/>
      <c r="L335" s="94"/>
      <c r="M335" s="100"/>
      <c r="N335" s="96"/>
      <c r="O335" s="97"/>
      <c r="P335" s="98"/>
      <c r="Q335" s="101"/>
      <c r="R335" s="78" t="str">
        <f t="shared" si="32"/>
        <v/>
      </c>
    </row>
    <row r="336" spans="2:18" x14ac:dyDescent="0.2">
      <c r="B336" s="2" t="str">
        <f t="shared" si="33"/>
        <v/>
      </c>
      <c r="C336" s="2" t="str">
        <f t="shared" si="34"/>
        <v/>
      </c>
      <c r="D336" s="2" t="str">
        <f t="shared" si="35"/>
        <v>Y</v>
      </c>
      <c r="E336" s="2">
        <f t="shared" si="36"/>
        <v>0</v>
      </c>
      <c r="F336" s="2" t="str">
        <f t="shared" si="37"/>
        <v/>
      </c>
      <c r="H336" s="121" t="s">
        <v>333</v>
      </c>
      <c r="I336" s="92"/>
      <c r="J336" s="93"/>
      <c r="K336" s="93"/>
      <c r="L336" s="94"/>
      <c r="M336" s="100"/>
      <c r="N336" s="96"/>
      <c r="O336" s="97"/>
      <c r="P336" s="98"/>
      <c r="Q336" s="101"/>
      <c r="R336" s="78" t="str">
        <f t="shared" si="32"/>
        <v/>
      </c>
    </row>
    <row r="337" spans="2:18" x14ac:dyDescent="0.2">
      <c r="B337" s="2" t="str">
        <f t="shared" si="33"/>
        <v/>
      </c>
      <c r="C337" s="2" t="str">
        <f t="shared" si="34"/>
        <v/>
      </c>
      <c r="D337" s="2" t="str">
        <f t="shared" si="35"/>
        <v>Y</v>
      </c>
      <c r="E337" s="2">
        <f t="shared" si="36"/>
        <v>0</v>
      </c>
      <c r="F337" s="2" t="str">
        <f t="shared" si="37"/>
        <v/>
      </c>
      <c r="H337" s="121" t="s">
        <v>334</v>
      </c>
      <c r="I337" s="92"/>
      <c r="J337" s="93"/>
      <c r="K337" s="93"/>
      <c r="L337" s="94"/>
      <c r="M337" s="100"/>
      <c r="N337" s="96"/>
      <c r="O337" s="97"/>
      <c r="P337" s="98"/>
      <c r="Q337" s="101"/>
      <c r="R337" s="78" t="str">
        <f t="shared" si="32"/>
        <v/>
      </c>
    </row>
    <row r="338" spans="2:18" x14ac:dyDescent="0.2">
      <c r="B338" s="2" t="str">
        <f t="shared" si="33"/>
        <v/>
      </c>
      <c r="C338" s="2" t="str">
        <f t="shared" si="34"/>
        <v/>
      </c>
      <c r="D338" s="2" t="str">
        <f t="shared" si="35"/>
        <v>Y</v>
      </c>
      <c r="E338" s="2">
        <f t="shared" si="36"/>
        <v>0</v>
      </c>
      <c r="F338" s="2" t="str">
        <f t="shared" si="37"/>
        <v/>
      </c>
      <c r="H338" s="121" t="s">
        <v>335</v>
      </c>
      <c r="I338" s="92"/>
      <c r="J338" s="93"/>
      <c r="K338" s="93"/>
      <c r="L338" s="94"/>
      <c r="M338" s="100"/>
      <c r="N338" s="96"/>
      <c r="O338" s="97"/>
      <c r="P338" s="98"/>
      <c r="Q338" s="101"/>
      <c r="R338" s="78" t="str">
        <f t="shared" si="32"/>
        <v/>
      </c>
    </row>
    <row r="339" spans="2:18" x14ac:dyDescent="0.2">
      <c r="B339" s="2" t="str">
        <f t="shared" si="33"/>
        <v/>
      </c>
      <c r="C339" s="2" t="str">
        <f t="shared" si="34"/>
        <v/>
      </c>
      <c r="D339" s="2" t="str">
        <f t="shared" si="35"/>
        <v>Y</v>
      </c>
      <c r="E339" s="2">
        <f t="shared" si="36"/>
        <v>0</v>
      </c>
      <c r="F339" s="2" t="str">
        <f t="shared" si="37"/>
        <v/>
      </c>
      <c r="H339" s="121" t="s">
        <v>336</v>
      </c>
      <c r="I339" s="92"/>
      <c r="J339" s="93"/>
      <c r="K339" s="93"/>
      <c r="L339" s="94"/>
      <c r="M339" s="100"/>
      <c r="N339" s="96"/>
      <c r="O339" s="97"/>
      <c r="P339" s="98"/>
      <c r="Q339" s="101"/>
      <c r="R339" s="78" t="str">
        <f t="shared" si="32"/>
        <v/>
      </c>
    </row>
    <row r="340" spans="2:18" x14ac:dyDescent="0.2">
      <c r="B340" s="2" t="str">
        <f t="shared" si="33"/>
        <v/>
      </c>
      <c r="C340" s="2" t="str">
        <f t="shared" si="34"/>
        <v/>
      </c>
      <c r="D340" s="2" t="str">
        <f t="shared" si="35"/>
        <v>Y</v>
      </c>
      <c r="E340" s="2">
        <f t="shared" si="36"/>
        <v>0</v>
      </c>
      <c r="F340" s="2" t="str">
        <f t="shared" si="37"/>
        <v/>
      </c>
      <c r="H340" s="121" t="s">
        <v>337</v>
      </c>
      <c r="I340" s="92"/>
      <c r="J340" s="93"/>
      <c r="K340" s="93"/>
      <c r="L340" s="94"/>
      <c r="M340" s="100"/>
      <c r="N340" s="96"/>
      <c r="O340" s="97"/>
      <c r="P340" s="98"/>
      <c r="Q340" s="101"/>
      <c r="R340" s="78" t="str">
        <f t="shared" si="32"/>
        <v/>
      </c>
    </row>
    <row r="341" spans="2:18" x14ac:dyDescent="0.2">
      <c r="B341" s="2" t="str">
        <f t="shared" si="33"/>
        <v/>
      </c>
      <c r="C341" s="2" t="str">
        <f t="shared" si="34"/>
        <v/>
      </c>
      <c r="D341" s="2" t="str">
        <f t="shared" si="35"/>
        <v>Y</v>
      </c>
      <c r="E341" s="2">
        <f t="shared" si="36"/>
        <v>0</v>
      </c>
      <c r="F341" s="2" t="str">
        <f t="shared" si="37"/>
        <v/>
      </c>
      <c r="H341" s="121" t="s">
        <v>338</v>
      </c>
      <c r="I341" s="92"/>
      <c r="J341" s="93"/>
      <c r="K341" s="93"/>
      <c r="L341" s="94"/>
      <c r="M341" s="100"/>
      <c r="N341" s="96"/>
      <c r="O341" s="97"/>
      <c r="P341" s="98"/>
      <c r="Q341" s="101"/>
      <c r="R341" s="78" t="str">
        <f t="shared" si="32"/>
        <v/>
      </c>
    </row>
    <row r="342" spans="2:18" x14ac:dyDescent="0.2">
      <c r="B342" s="2" t="str">
        <f t="shared" si="33"/>
        <v/>
      </c>
      <c r="C342" s="2" t="str">
        <f t="shared" si="34"/>
        <v/>
      </c>
      <c r="D342" s="2" t="str">
        <f t="shared" si="35"/>
        <v>Y</v>
      </c>
      <c r="E342" s="2">
        <f t="shared" si="36"/>
        <v>0</v>
      </c>
      <c r="F342" s="2" t="str">
        <f t="shared" si="37"/>
        <v/>
      </c>
      <c r="H342" s="121" t="s">
        <v>339</v>
      </c>
      <c r="I342" s="92"/>
      <c r="J342" s="93"/>
      <c r="K342" s="93"/>
      <c r="L342" s="94"/>
      <c r="M342" s="100"/>
      <c r="N342" s="96"/>
      <c r="O342" s="97"/>
      <c r="P342" s="98"/>
      <c r="Q342" s="101"/>
      <c r="R342" s="78" t="str">
        <f t="shared" si="32"/>
        <v/>
      </c>
    </row>
    <row r="343" spans="2:18" x14ac:dyDescent="0.2">
      <c r="B343" s="2" t="str">
        <f t="shared" si="33"/>
        <v/>
      </c>
      <c r="C343" s="2" t="str">
        <f t="shared" si="34"/>
        <v/>
      </c>
      <c r="D343" s="2" t="str">
        <f t="shared" si="35"/>
        <v>Y</v>
      </c>
      <c r="E343" s="2">
        <f t="shared" si="36"/>
        <v>0</v>
      </c>
      <c r="F343" s="2" t="str">
        <f t="shared" si="37"/>
        <v/>
      </c>
      <c r="H343" s="121" t="s">
        <v>340</v>
      </c>
      <c r="I343" s="92"/>
      <c r="J343" s="93"/>
      <c r="K343" s="93"/>
      <c r="L343" s="94"/>
      <c r="M343" s="100"/>
      <c r="N343" s="96"/>
      <c r="O343" s="97"/>
      <c r="P343" s="98"/>
      <c r="Q343" s="101"/>
      <c r="R343" s="78" t="str">
        <f t="shared" si="32"/>
        <v/>
      </c>
    </row>
    <row r="344" spans="2:18" x14ac:dyDescent="0.2">
      <c r="B344" s="2" t="str">
        <f t="shared" si="33"/>
        <v/>
      </c>
      <c r="C344" s="2" t="str">
        <f t="shared" si="34"/>
        <v/>
      </c>
      <c r="D344" s="2" t="str">
        <f t="shared" si="35"/>
        <v>Y</v>
      </c>
      <c r="E344" s="2">
        <f t="shared" si="36"/>
        <v>0</v>
      </c>
      <c r="F344" s="2" t="str">
        <f t="shared" si="37"/>
        <v/>
      </c>
      <c r="H344" s="121" t="s">
        <v>341</v>
      </c>
      <c r="I344" s="92"/>
      <c r="J344" s="93"/>
      <c r="K344" s="93"/>
      <c r="L344" s="94"/>
      <c r="M344" s="100"/>
      <c r="N344" s="96"/>
      <c r="O344" s="97"/>
      <c r="P344" s="98"/>
      <c r="Q344" s="101"/>
      <c r="R344" s="78" t="str">
        <f t="shared" si="32"/>
        <v/>
      </c>
    </row>
    <row r="345" spans="2:18" x14ac:dyDescent="0.2">
      <c r="B345" s="2" t="str">
        <f t="shared" si="33"/>
        <v/>
      </c>
      <c r="C345" s="2" t="str">
        <f t="shared" si="34"/>
        <v/>
      </c>
      <c r="D345" s="2" t="str">
        <f t="shared" si="35"/>
        <v>Y</v>
      </c>
      <c r="E345" s="2">
        <f t="shared" si="36"/>
        <v>0</v>
      </c>
      <c r="F345" s="2" t="str">
        <f t="shared" si="37"/>
        <v/>
      </c>
      <c r="H345" s="121" t="s">
        <v>342</v>
      </c>
      <c r="I345" s="92"/>
      <c r="J345" s="93"/>
      <c r="K345" s="93"/>
      <c r="L345" s="94"/>
      <c r="M345" s="100"/>
      <c r="N345" s="96"/>
      <c r="O345" s="97"/>
      <c r="P345" s="98"/>
      <c r="Q345" s="101"/>
      <c r="R345" s="78" t="str">
        <f t="shared" si="32"/>
        <v/>
      </c>
    </row>
    <row r="346" spans="2:18" x14ac:dyDescent="0.2">
      <c r="B346" s="2" t="str">
        <f t="shared" si="33"/>
        <v/>
      </c>
      <c r="C346" s="2" t="str">
        <f t="shared" si="34"/>
        <v/>
      </c>
      <c r="D346" s="2" t="str">
        <f t="shared" si="35"/>
        <v>Y</v>
      </c>
      <c r="E346" s="2">
        <f t="shared" si="36"/>
        <v>0</v>
      </c>
      <c r="F346" s="2" t="str">
        <f t="shared" si="37"/>
        <v/>
      </c>
      <c r="H346" s="121" t="s">
        <v>343</v>
      </c>
      <c r="I346" s="92"/>
      <c r="J346" s="93"/>
      <c r="K346" s="93"/>
      <c r="L346" s="94"/>
      <c r="M346" s="100"/>
      <c r="N346" s="96"/>
      <c r="O346" s="97"/>
      <c r="P346" s="98"/>
      <c r="Q346" s="101"/>
      <c r="R346" s="78" t="str">
        <f t="shared" si="32"/>
        <v/>
      </c>
    </row>
    <row r="347" spans="2:18" x14ac:dyDescent="0.2">
      <c r="B347" s="2" t="str">
        <f t="shared" si="33"/>
        <v/>
      </c>
      <c r="C347" s="2" t="str">
        <f t="shared" si="34"/>
        <v/>
      </c>
      <c r="D347" s="2" t="str">
        <f t="shared" si="35"/>
        <v>Y</v>
      </c>
      <c r="E347" s="2">
        <f t="shared" si="36"/>
        <v>0</v>
      </c>
      <c r="F347" s="2" t="str">
        <f t="shared" si="37"/>
        <v/>
      </c>
      <c r="H347" s="121" t="s">
        <v>344</v>
      </c>
      <c r="I347" s="92"/>
      <c r="J347" s="93"/>
      <c r="K347" s="93"/>
      <c r="L347" s="94"/>
      <c r="M347" s="100"/>
      <c r="N347" s="96"/>
      <c r="O347" s="97"/>
      <c r="P347" s="98"/>
      <c r="Q347" s="101"/>
      <c r="R347" s="78" t="str">
        <f t="shared" si="32"/>
        <v/>
      </c>
    </row>
    <row r="348" spans="2:18" x14ac:dyDescent="0.2">
      <c r="B348" s="2" t="str">
        <f t="shared" si="33"/>
        <v/>
      </c>
      <c r="C348" s="2" t="str">
        <f t="shared" si="34"/>
        <v/>
      </c>
      <c r="D348" s="2" t="str">
        <f t="shared" si="35"/>
        <v>Y</v>
      </c>
      <c r="E348" s="2">
        <f t="shared" si="36"/>
        <v>0</v>
      </c>
      <c r="F348" s="2" t="str">
        <f t="shared" si="37"/>
        <v/>
      </c>
      <c r="H348" s="121" t="s">
        <v>345</v>
      </c>
      <c r="I348" s="92"/>
      <c r="J348" s="93"/>
      <c r="K348" s="93"/>
      <c r="L348" s="94"/>
      <c r="M348" s="100"/>
      <c r="N348" s="96"/>
      <c r="O348" s="97"/>
      <c r="P348" s="98"/>
      <c r="Q348" s="101"/>
      <c r="R348" s="78" t="str">
        <f t="shared" si="32"/>
        <v/>
      </c>
    </row>
    <row r="349" spans="2:18" x14ac:dyDescent="0.2">
      <c r="B349" s="2" t="str">
        <f t="shared" si="33"/>
        <v/>
      </c>
      <c r="C349" s="2" t="str">
        <f t="shared" si="34"/>
        <v/>
      </c>
      <c r="D349" s="2" t="str">
        <f t="shared" si="35"/>
        <v>Y</v>
      </c>
      <c r="E349" s="2">
        <f t="shared" si="36"/>
        <v>0</v>
      </c>
      <c r="F349" s="2" t="str">
        <f t="shared" si="37"/>
        <v/>
      </c>
      <c r="H349" s="121" t="s">
        <v>346</v>
      </c>
      <c r="I349" s="92"/>
      <c r="J349" s="93"/>
      <c r="K349" s="93"/>
      <c r="L349" s="94"/>
      <c r="M349" s="100"/>
      <c r="N349" s="96"/>
      <c r="O349" s="97"/>
      <c r="P349" s="98"/>
      <c r="Q349" s="101"/>
      <c r="R349" s="78" t="str">
        <f t="shared" si="32"/>
        <v/>
      </c>
    </row>
    <row r="350" spans="2:18" x14ac:dyDescent="0.2">
      <c r="B350" s="2" t="str">
        <f t="shared" si="33"/>
        <v/>
      </c>
      <c r="C350" s="2" t="str">
        <f t="shared" si="34"/>
        <v/>
      </c>
      <c r="D350" s="2" t="str">
        <f t="shared" si="35"/>
        <v>Y</v>
      </c>
      <c r="E350" s="2">
        <f t="shared" si="36"/>
        <v>0</v>
      </c>
      <c r="F350" s="2" t="str">
        <f t="shared" si="37"/>
        <v/>
      </c>
      <c r="H350" s="121" t="s">
        <v>347</v>
      </c>
      <c r="I350" s="92"/>
      <c r="J350" s="93"/>
      <c r="K350" s="93"/>
      <c r="L350" s="94"/>
      <c r="M350" s="100"/>
      <c r="N350" s="96"/>
      <c r="O350" s="97"/>
      <c r="P350" s="98"/>
      <c r="Q350" s="101"/>
      <c r="R350" s="78" t="str">
        <f t="shared" si="32"/>
        <v/>
      </c>
    </row>
    <row r="351" spans="2:18" x14ac:dyDescent="0.2">
      <c r="B351" s="2" t="str">
        <f t="shared" si="33"/>
        <v/>
      </c>
      <c r="C351" s="2" t="str">
        <f t="shared" si="34"/>
        <v/>
      </c>
      <c r="D351" s="2" t="str">
        <f t="shared" si="35"/>
        <v>Y</v>
      </c>
      <c r="E351" s="2">
        <f t="shared" si="36"/>
        <v>0</v>
      </c>
      <c r="F351" s="2" t="str">
        <f t="shared" si="37"/>
        <v/>
      </c>
      <c r="H351" s="121" t="s">
        <v>348</v>
      </c>
      <c r="I351" s="92"/>
      <c r="J351" s="93"/>
      <c r="K351" s="93"/>
      <c r="L351" s="94"/>
      <c r="M351" s="100"/>
      <c r="N351" s="96"/>
      <c r="O351" s="97"/>
      <c r="P351" s="98"/>
      <c r="Q351" s="101"/>
      <c r="R351" s="78" t="str">
        <f t="shared" si="32"/>
        <v/>
      </c>
    </row>
    <row r="352" spans="2:18" x14ac:dyDescent="0.2">
      <c r="B352" s="2" t="str">
        <f t="shared" si="33"/>
        <v/>
      </c>
      <c r="C352" s="2" t="str">
        <f t="shared" si="34"/>
        <v/>
      </c>
      <c r="D352" s="2" t="str">
        <f t="shared" si="35"/>
        <v>Y</v>
      </c>
      <c r="E352" s="2">
        <f t="shared" si="36"/>
        <v>0</v>
      </c>
      <c r="F352" s="2" t="str">
        <f t="shared" si="37"/>
        <v/>
      </c>
      <c r="H352" s="121" t="s">
        <v>349</v>
      </c>
      <c r="I352" s="92"/>
      <c r="J352" s="93"/>
      <c r="K352" s="93"/>
      <c r="L352" s="94"/>
      <c r="M352" s="100"/>
      <c r="N352" s="96"/>
      <c r="O352" s="97"/>
      <c r="P352" s="98"/>
      <c r="Q352" s="101"/>
      <c r="R352" s="78" t="str">
        <f t="shared" si="32"/>
        <v/>
      </c>
    </row>
    <row r="353" spans="2:18" x14ac:dyDescent="0.2">
      <c r="B353" s="2" t="str">
        <f t="shared" si="33"/>
        <v/>
      </c>
      <c r="C353" s="2" t="str">
        <f t="shared" si="34"/>
        <v/>
      </c>
      <c r="D353" s="2" t="str">
        <f t="shared" si="35"/>
        <v>Y</v>
      </c>
      <c r="E353" s="2">
        <f t="shared" si="36"/>
        <v>0</v>
      </c>
      <c r="F353" s="2" t="str">
        <f t="shared" si="37"/>
        <v/>
      </c>
      <c r="H353" s="121" t="s">
        <v>350</v>
      </c>
      <c r="I353" s="92"/>
      <c r="J353" s="93"/>
      <c r="K353" s="93"/>
      <c r="L353" s="94"/>
      <c r="M353" s="100"/>
      <c r="N353" s="96"/>
      <c r="O353" s="97"/>
      <c r="P353" s="98"/>
      <c r="Q353" s="101"/>
      <c r="R353" s="78" t="str">
        <f t="shared" si="32"/>
        <v/>
      </c>
    </row>
    <row r="354" spans="2:18" x14ac:dyDescent="0.2">
      <c r="B354" s="2" t="str">
        <f t="shared" si="33"/>
        <v/>
      </c>
      <c r="C354" s="2" t="str">
        <f t="shared" si="34"/>
        <v/>
      </c>
      <c r="D354" s="2" t="str">
        <f t="shared" si="35"/>
        <v>Y</v>
      </c>
      <c r="E354" s="2">
        <f t="shared" si="36"/>
        <v>0</v>
      </c>
      <c r="F354" s="2" t="str">
        <f t="shared" si="37"/>
        <v/>
      </c>
      <c r="H354" s="121" t="s">
        <v>351</v>
      </c>
      <c r="I354" s="92"/>
      <c r="J354" s="93"/>
      <c r="K354" s="93"/>
      <c r="L354" s="94"/>
      <c r="M354" s="100"/>
      <c r="N354" s="96"/>
      <c r="O354" s="97"/>
      <c r="P354" s="98"/>
      <c r="Q354" s="101"/>
      <c r="R354" s="78" t="str">
        <f t="shared" si="32"/>
        <v/>
      </c>
    </row>
    <row r="355" spans="2:18" x14ac:dyDescent="0.2">
      <c r="B355" s="2" t="str">
        <f t="shared" si="33"/>
        <v/>
      </c>
      <c r="C355" s="2" t="str">
        <f t="shared" si="34"/>
        <v/>
      </c>
      <c r="D355" s="2" t="str">
        <f t="shared" si="35"/>
        <v>Y</v>
      </c>
      <c r="E355" s="2">
        <f t="shared" si="36"/>
        <v>0</v>
      </c>
      <c r="F355" s="2" t="str">
        <f t="shared" si="37"/>
        <v/>
      </c>
      <c r="H355" s="121" t="s">
        <v>352</v>
      </c>
      <c r="I355" s="92"/>
      <c r="J355" s="93"/>
      <c r="K355" s="93"/>
      <c r="L355" s="94"/>
      <c r="M355" s="100"/>
      <c r="N355" s="96"/>
      <c r="O355" s="97"/>
      <c r="P355" s="98"/>
      <c r="Q355" s="101"/>
      <c r="R355" s="78" t="str">
        <f t="shared" si="32"/>
        <v/>
      </c>
    </row>
    <row r="356" spans="2:18" x14ac:dyDescent="0.2">
      <c r="B356" s="2" t="str">
        <f t="shared" si="33"/>
        <v/>
      </c>
      <c r="C356" s="2" t="str">
        <f t="shared" si="34"/>
        <v/>
      </c>
      <c r="D356" s="2" t="str">
        <f t="shared" si="35"/>
        <v>Y</v>
      </c>
      <c r="E356" s="2">
        <f t="shared" si="36"/>
        <v>0</v>
      </c>
      <c r="F356" s="2" t="str">
        <f t="shared" si="37"/>
        <v/>
      </c>
      <c r="H356" s="121" t="s">
        <v>353</v>
      </c>
      <c r="I356" s="92"/>
      <c r="J356" s="93"/>
      <c r="K356" s="93"/>
      <c r="L356" s="94"/>
      <c r="M356" s="100"/>
      <c r="N356" s="96"/>
      <c r="O356" s="97"/>
      <c r="P356" s="98"/>
      <c r="Q356" s="101"/>
      <c r="R356" s="78" t="str">
        <f t="shared" si="32"/>
        <v/>
      </c>
    </row>
    <row r="357" spans="2:18" x14ac:dyDescent="0.2">
      <c r="B357" s="2" t="str">
        <f t="shared" si="33"/>
        <v/>
      </c>
      <c r="C357" s="2" t="str">
        <f t="shared" si="34"/>
        <v/>
      </c>
      <c r="D357" s="2" t="str">
        <f t="shared" si="35"/>
        <v>Y</v>
      </c>
      <c r="E357" s="2">
        <f t="shared" si="36"/>
        <v>0</v>
      </c>
      <c r="F357" s="2" t="str">
        <f t="shared" si="37"/>
        <v/>
      </c>
      <c r="H357" s="121" t="s">
        <v>354</v>
      </c>
      <c r="I357" s="92"/>
      <c r="J357" s="93"/>
      <c r="K357" s="93"/>
      <c r="L357" s="94"/>
      <c r="M357" s="100"/>
      <c r="N357" s="96"/>
      <c r="O357" s="97"/>
      <c r="P357" s="98"/>
      <c r="Q357" s="101"/>
      <c r="R357" s="78" t="str">
        <f t="shared" si="32"/>
        <v/>
      </c>
    </row>
    <row r="358" spans="2:18" x14ac:dyDescent="0.2">
      <c r="B358" s="2" t="str">
        <f t="shared" si="33"/>
        <v/>
      </c>
      <c r="C358" s="2" t="str">
        <f t="shared" si="34"/>
        <v/>
      </c>
      <c r="D358" s="2" t="str">
        <f t="shared" si="35"/>
        <v>Y</v>
      </c>
      <c r="E358" s="2">
        <f t="shared" si="36"/>
        <v>0</v>
      </c>
      <c r="F358" s="2" t="str">
        <f t="shared" si="37"/>
        <v/>
      </c>
      <c r="H358" s="121" t="s">
        <v>355</v>
      </c>
      <c r="I358" s="92"/>
      <c r="J358" s="93"/>
      <c r="K358" s="93"/>
      <c r="L358" s="94"/>
      <c r="M358" s="100"/>
      <c r="N358" s="96"/>
      <c r="O358" s="97"/>
      <c r="P358" s="98"/>
      <c r="Q358" s="101"/>
      <c r="R358" s="78" t="str">
        <f t="shared" si="32"/>
        <v/>
      </c>
    </row>
    <row r="359" spans="2:18" x14ac:dyDescent="0.2">
      <c r="B359" s="2" t="str">
        <f t="shared" si="33"/>
        <v/>
      </c>
      <c r="C359" s="2" t="str">
        <f t="shared" si="34"/>
        <v/>
      </c>
      <c r="D359" s="2" t="str">
        <f t="shared" si="35"/>
        <v>Y</v>
      </c>
      <c r="E359" s="2">
        <f t="shared" si="36"/>
        <v>0</v>
      </c>
      <c r="F359" s="2" t="str">
        <f t="shared" si="37"/>
        <v/>
      </c>
      <c r="H359" s="121" t="s">
        <v>356</v>
      </c>
      <c r="I359" s="92"/>
      <c r="J359" s="93"/>
      <c r="K359" s="93"/>
      <c r="L359" s="94"/>
      <c r="M359" s="100"/>
      <c r="N359" s="96"/>
      <c r="O359" s="97"/>
      <c r="P359" s="98"/>
      <c r="Q359" s="101"/>
      <c r="R359" s="78" t="str">
        <f t="shared" si="32"/>
        <v/>
      </c>
    </row>
    <row r="360" spans="2:18" x14ac:dyDescent="0.2">
      <c r="B360" s="2" t="str">
        <f t="shared" si="33"/>
        <v/>
      </c>
      <c r="C360" s="2" t="str">
        <f t="shared" si="34"/>
        <v/>
      </c>
      <c r="D360" s="2" t="str">
        <f t="shared" si="35"/>
        <v>Y</v>
      </c>
      <c r="E360" s="2">
        <f t="shared" si="36"/>
        <v>0</v>
      </c>
      <c r="F360" s="2" t="str">
        <f t="shared" si="37"/>
        <v/>
      </c>
      <c r="H360" s="121" t="s">
        <v>357</v>
      </c>
      <c r="I360" s="92"/>
      <c r="J360" s="93"/>
      <c r="K360" s="93"/>
      <c r="L360" s="94"/>
      <c r="M360" s="100"/>
      <c r="N360" s="96"/>
      <c r="O360" s="97"/>
      <c r="P360" s="98"/>
      <c r="Q360" s="101"/>
      <c r="R360" s="78" t="str">
        <f t="shared" si="32"/>
        <v/>
      </c>
    </row>
    <row r="361" spans="2:18" x14ac:dyDescent="0.2">
      <c r="B361" s="2" t="str">
        <f t="shared" si="33"/>
        <v/>
      </c>
      <c r="C361" s="2" t="str">
        <f t="shared" si="34"/>
        <v/>
      </c>
      <c r="D361" s="2" t="str">
        <f t="shared" si="35"/>
        <v>Y</v>
      </c>
      <c r="E361" s="2">
        <f t="shared" si="36"/>
        <v>0</v>
      </c>
      <c r="F361" s="2" t="str">
        <f t="shared" si="37"/>
        <v/>
      </c>
      <c r="H361" s="121" t="s">
        <v>358</v>
      </c>
      <c r="I361" s="92"/>
      <c r="J361" s="93"/>
      <c r="K361" s="93"/>
      <c r="L361" s="94"/>
      <c r="M361" s="100"/>
      <c r="N361" s="96"/>
      <c r="O361" s="97"/>
      <c r="P361" s="98"/>
      <c r="Q361" s="101"/>
      <c r="R361" s="78" t="str">
        <f t="shared" si="32"/>
        <v/>
      </c>
    </row>
    <row r="362" spans="2:18" x14ac:dyDescent="0.2">
      <c r="B362" s="2" t="str">
        <f t="shared" si="33"/>
        <v/>
      </c>
      <c r="C362" s="2" t="str">
        <f t="shared" si="34"/>
        <v/>
      </c>
      <c r="D362" s="2" t="str">
        <f t="shared" si="35"/>
        <v>Y</v>
      </c>
      <c r="E362" s="2">
        <f t="shared" si="36"/>
        <v>0</v>
      </c>
      <c r="F362" s="2" t="str">
        <f t="shared" si="37"/>
        <v/>
      </c>
      <c r="H362" s="121" t="s">
        <v>359</v>
      </c>
      <c r="I362" s="92"/>
      <c r="J362" s="93"/>
      <c r="K362" s="93"/>
      <c r="L362" s="94"/>
      <c r="M362" s="100"/>
      <c r="N362" s="96"/>
      <c r="O362" s="97"/>
      <c r="P362" s="98"/>
      <c r="Q362" s="101"/>
      <c r="R362" s="78" t="str">
        <f t="shared" si="32"/>
        <v/>
      </c>
    </row>
    <row r="363" spans="2:18" x14ac:dyDescent="0.2">
      <c r="B363" s="2" t="str">
        <f t="shared" si="33"/>
        <v/>
      </c>
      <c r="C363" s="2" t="str">
        <f t="shared" si="34"/>
        <v/>
      </c>
      <c r="D363" s="2" t="str">
        <f t="shared" si="35"/>
        <v>Y</v>
      </c>
      <c r="E363" s="2">
        <f t="shared" si="36"/>
        <v>0</v>
      </c>
      <c r="F363" s="2" t="str">
        <f t="shared" si="37"/>
        <v/>
      </c>
      <c r="H363" s="121" t="s">
        <v>360</v>
      </c>
      <c r="I363" s="92"/>
      <c r="J363" s="93"/>
      <c r="K363" s="93"/>
      <c r="L363" s="94"/>
      <c r="M363" s="100"/>
      <c r="N363" s="96"/>
      <c r="O363" s="97"/>
      <c r="P363" s="98"/>
      <c r="Q363" s="101"/>
      <c r="R363" s="78" t="str">
        <f t="shared" si="32"/>
        <v/>
      </c>
    </row>
    <row r="364" spans="2:18" x14ac:dyDescent="0.2">
      <c r="B364" s="2" t="str">
        <f t="shared" si="33"/>
        <v/>
      </c>
      <c r="C364" s="2" t="str">
        <f t="shared" si="34"/>
        <v/>
      </c>
      <c r="D364" s="2" t="str">
        <f t="shared" si="35"/>
        <v>Y</v>
      </c>
      <c r="E364" s="2">
        <f t="shared" si="36"/>
        <v>0</v>
      </c>
      <c r="F364" s="2" t="str">
        <f t="shared" si="37"/>
        <v/>
      </c>
      <c r="H364" s="121" t="s">
        <v>361</v>
      </c>
      <c r="I364" s="92"/>
      <c r="J364" s="93"/>
      <c r="K364" s="93"/>
      <c r="L364" s="94"/>
      <c r="M364" s="100"/>
      <c r="N364" s="96"/>
      <c r="O364" s="97"/>
      <c r="P364" s="98"/>
      <c r="Q364" s="101"/>
      <c r="R364" s="78" t="str">
        <f t="shared" si="32"/>
        <v/>
      </c>
    </row>
    <row r="365" spans="2:18" x14ac:dyDescent="0.2">
      <c r="B365" s="2" t="str">
        <f t="shared" si="33"/>
        <v/>
      </c>
      <c r="C365" s="2" t="str">
        <f t="shared" si="34"/>
        <v/>
      </c>
      <c r="D365" s="2" t="str">
        <f t="shared" si="35"/>
        <v>Y</v>
      </c>
      <c r="E365" s="2">
        <f t="shared" si="36"/>
        <v>0</v>
      </c>
      <c r="F365" s="2" t="str">
        <f t="shared" si="37"/>
        <v/>
      </c>
      <c r="H365" s="121" t="s">
        <v>362</v>
      </c>
      <c r="I365" s="92"/>
      <c r="J365" s="93"/>
      <c r="K365" s="93"/>
      <c r="L365" s="94"/>
      <c r="M365" s="100"/>
      <c r="N365" s="96"/>
      <c r="O365" s="97"/>
      <c r="P365" s="98"/>
      <c r="Q365" s="101"/>
      <c r="R365" s="78" t="str">
        <f t="shared" si="32"/>
        <v/>
      </c>
    </row>
    <row r="366" spans="2:18" x14ac:dyDescent="0.2">
      <c r="B366" s="2" t="str">
        <f t="shared" si="33"/>
        <v/>
      </c>
      <c r="C366" s="2" t="str">
        <f t="shared" si="34"/>
        <v/>
      </c>
      <c r="D366" s="2" t="str">
        <f t="shared" si="35"/>
        <v>Y</v>
      </c>
      <c r="E366" s="2">
        <f t="shared" si="36"/>
        <v>0</v>
      </c>
      <c r="F366" s="2" t="str">
        <f t="shared" si="37"/>
        <v/>
      </c>
      <c r="H366" s="121" t="s">
        <v>363</v>
      </c>
      <c r="I366" s="92"/>
      <c r="J366" s="93"/>
      <c r="K366" s="93"/>
      <c r="L366" s="94"/>
      <c r="M366" s="100"/>
      <c r="N366" s="96"/>
      <c r="O366" s="97"/>
      <c r="P366" s="98"/>
      <c r="Q366" s="101"/>
      <c r="R366" s="78" t="str">
        <f t="shared" si="32"/>
        <v/>
      </c>
    </row>
    <row r="367" spans="2:18" x14ac:dyDescent="0.2">
      <c r="B367" s="2" t="str">
        <f t="shared" si="33"/>
        <v/>
      </c>
      <c r="C367" s="2" t="str">
        <f t="shared" si="34"/>
        <v/>
      </c>
      <c r="D367" s="2" t="str">
        <f t="shared" si="35"/>
        <v>Y</v>
      </c>
      <c r="E367" s="2">
        <f t="shared" si="36"/>
        <v>0</v>
      </c>
      <c r="F367" s="2" t="str">
        <f t="shared" si="37"/>
        <v/>
      </c>
      <c r="H367" s="121" t="s">
        <v>364</v>
      </c>
      <c r="I367" s="92"/>
      <c r="J367" s="93"/>
      <c r="K367" s="93"/>
      <c r="L367" s="94"/>
      <c r="M367" s="100"/>
      <c r="N367" s="96"/>
      <c r="O367" s="97"/>
      <c r="P367" s="98"/>
      <c r="Q367" s="101"/>
      <c r="R367" s="78" t="str">
        <f t="shared" si="32"/>
        <v/>
      </c>
    </row>
    <row r="368" spans="2:18" x14ac:dyDescent="0.2">
      <c r="B368" s="2" t="str">
        <f t="shared" si="33"/>
        <v/>
      </c>
      <c r="C368" s="2" t="str">
        <f t="shared" si="34"/>
        <v/>
      </c>
      <c r="D368" s="2" t="str">
        <f t="shared" si="35"/>
        <v>Y</v>
      </c>
      <c r="E368" s="2">
        <f t="shared" si="36"/>
        <v>0</v>
      </c>
      <c r="F368" s="2" t="str">
        <f t="shared" si="37"/>
        <v/>
      </c>
      <c r="H368" s="121" t="s">
        <v>365</v>
      </c>
      <c r="I368" s="92"/>
      <c r="J368" s="93"/>
      <c r="K368" s="93"/>
      <c r="L368" s="94"/>
      <c r="M368" s="100"/>
      <c r="N368" s="96"/>
      <c r="O368" s="97"/>
      <c r="P368" s="98"/>
      <c r="Q368" s="101"/>
      <c r="R368" s="78" t="str">
        <f t="shared" si="32"/>
        <v/>
      </c>
    </row>
    <row r="369" spans="2:18" x14ac:dyDescent="0.2">
      <c r="B369" s="2" t="str">
        <f t="shared" si="33"/>
        <v/>
      </c>
      <c r="C369" s="2" t="str">
        <f t="shared" si="34"/>
        <v/>
      </c>
      <c r="D369" s="2" t="str">
        <f t="shared" si="35"/>
        <v>Y</v>
      </c>
      <c r="E369" s="2">
        <f t="shared" si="36"/>
        <v>0</v>
      </c>
      <c r="F369" s="2" t="str">
        <f t="shared" si="37"/>
        <v/>
      </c>
      <c r="H369" s="121" t="s">
        <v>366</v>
      </c>
      <c r="I369" s="92"/>
      <c r="J369" s="93"/>
      <c r="K369" s="93"/>
      <c r="L369" s="94"/>
      <c r="M369" s="100"/>
      <c r="N369" s="96"/>
      <c r="O369" s="97"/>
      <c r="P369" s="98"/>
      <c r="Q369" s="101"/>
      <c r="R369" s="78" t="str">
        <f t="shared" si="32"/>
        <v/>
      </c>
    </row>
    <row r="370" spans="2:18" x14ac:dyDescent="0.2">
      <c r="B370" s="2" t="str">
        <f t="shared" si="33"/>
        <v/>
      </c>
      <c r="C370" s="2" t="str">
        <f t="shared" si="34"/>
        <v/>
      </c>
      <c r="D370" s="2" t="str">
        <f t="shared" si="35"/>
        <v>Y</v>
      </c>
      <c r="E370" s="2">
        <f t="shared" si="36"/>
        <v>0</v>
      </c>
      <c r="F370" s="2" t="str">
        <f t="shared" si="37"/>
        <v/>
      </c>
      <c r="H370" s="121" t="s">
        <v>367</v>
      </c>
      <c r="I370" s="92"/>
      <c r="J370" s="93"/>
      <c r="K370" s="93"/>
      <c r="L370" s="94"/>
      <c r="M370" s="100"/>
      <c r="N370" s="96"/>
      <c r="O370" s="97"/>
      <c r="P370" s="98"/>
      <c r="Q370" s="101"/>
      <c r="R370" s="78" t="str">
        <f t="shared" si="32"/>
        <v/>
      </c>
    </row>
    <row r="371" spans="2:18" x14ac:dyDescent="0.2">
      <c r="B371" s="2" t="str">
        <f t="shared" si="33"/>
        <v/>
      </c>
      <c r="C371" s="2" t="str">
        <f t="shared" si="34"/>
        <v/>
      </c>
      <c r="D371" s="2" t="str">
        <f t="shared" si="35"/>
        <v>Y</v>
      </c>
      <c r="E371" s="2">
        <f t="shared" si="36"/>
        <v>0</v>
      </c>
      <c r="F371" s="2" t="str">
        <f t="shared" si="37"/>
        <v/>
      </c>
      <c r="H371" s="121" t="s">
        <v>368</v>
      </c>
      <c r="I371" s="92"/>
      <c r="J371" s="93"/>
      <c r="K371" s="93"/>
      <c r="L371" s="94"/>
      <c r="M371" s="100"/>
      <c r="N371" s="96"/>
      <c r="O371" s="97"/>
      <c r="P371" s="98"/>
      <c r="Q371" s="101"/>
      <c r="R371" s="78" t="str">
        <f t="shared" si="32"/>
        <v/>
      </c>
    </row>
    <row r="372" spans="2:18" x14ac:dyDescent="0.2">
      <c r="B372" s="2" t="str">
        <f t="shared" si="33"/>
        <v/>
      </c>
      <c r="C372" s="2" t="str">
        <f t="shared" si="34"/>
        <v/>
      </c>
      <c r="D372" s="2" t="str">
        <f t="shared" si="35"/>
        <v>Y</v>
      </c>
      <c r="E372" s="2">
        <f t="shared" si="36"/>
        <v>0</v>
      </c>
      <c r="F372" s="2" t="str">
        <f t="shared" si="37"/>
        <v/>
      </c>
      <c r="H372" s="121" t="s">
        <v>369</v>
      </c>
      <c r="I372" s="92"/>
      <c r="J372" s="93"/>
      <c r="K372" s="93"/>
      <c r="L372" s="94"/>
      <c r="M372" s="100"/>
      <c r="N372" s="96"/>
      <c r="O372" s="97"/>
      <c r="P372" s="98"/>
      <c r="Q372" s="101"/>
      <c r="R372" s="78" t="str">
        <f t="shared" si="32"/>
        <v/>
      </c>
    </row>
    <row r="373" spans="2:18" x14ac:dyDescent="0.2">
      <c r="B373" s="2" t="str">
        <f t="shared" si="33"/>
        <v/>
      </c>
      <c r="C373" s="2" t="str">
        <f t="shared" si="34"/>
        <v/>
      </c>
      <c r="D373" s="2" t="str">
        <f t="shared" si="35"/>
        <v>Y</v>
      </c>
      <c r="E373" s="2">
        <f t="shared" si="36"/>
        <v>0</v>
      </c>
      <c r="F373" s="2" t="str">
        <f t="shared" si="37"/>
        <v/>
      </c>
      <c r="H373" s="121" t="s">
        <v>370</v>
      </c>
      <c r="I373" s="92"/>
      <c r="J373" s="93"/>
      <c r="K373" s="93"/>
      <c r="L373" s="94"/>
      <c r="M373" s="100"/>
      <c r="N373" s="96"/>
      <c r="O373" s="97"/>
      <c r="P373" s="98"/>
      <c r="Q373" s="101"/>
      <c r="R373" s="78" t="str">
        <f t="shared" si="32"/>
        <v/>
      </c>
    </row>
    <row r="374" spans="2:18" x14ac:dyDescent="0.2">
      <c r="B374" s="2" t="str">
        <f t="shared" si="33"/>
        <v/>
      </c>
      <c r="C374" s="2" t="str">
        <f t="shared" si="34"/>
        <v/>
      </c>
      <c r="D374" s="2" t="str">
        <f t="shared" si="35"/>
        <v>Y</v>
      </c>
      <c r="E374" s="2">
        <f t="shared" si="36"/>
        <v>0</v>
      </c>
      <c r="F374" s="2" t="str">
        <f t="shared" si="37"/>
        <v/>
      </c>
      <c r="H374" s="121" t="s">
        <v>371</v>
      </c>
      <c r="I374" s="92"/>
      <c r="J374" s="93"/>
      <c r="K374" s="93"/>
      <c r="L374" s="94"/>
      <c r="M374" s="100"/>
      <c r="N374" s="96"/>
      <c r="O374" s="97"/>
      <c r="P374" s="98"/>
      <c r="Q374" s="101"/>
      <c r="R374" s="78" t="str">
        <f t="shared" si="32"/>
        <v/>
      </c>
    </row>
    <row r="375" spans="2:18" x14ac:dyDescent="0.2">
      <c r="B375" s="2" t="str">
        <f t="shared" si="33"/>
        <v/>
      </c>
      <c r="C375" s="2" t="str">
        <f t="shared" si="34"/>
        <v/>
      </c>
      <c r="D375" s="2" t="str">
        <f t="shared" si="35"/>
        <v>Y</v>
      </c>
      <c r="E375" s="2">
        <f t="shared" si="36"/>
        <v>0</v>
      </c>
      <c r="F375" s="2" t="str">
        <f t="shared" si="37"/>
        <v/>
      </c>
      <c r="H375" s="121" t="s">
        <v>372</v>
      </c>
      <c r="I375" s="92"/>
      <c r="J375" s="93"/>
      <c r="K375" s="93"/>
      <c r="L375" s="94"/>
      <c r="M375" s="100"/>
      <c r="N375" s="96"/>
      <c r="O375" s="97"/>
      <c r="P375" s="98"/>
      <c r="Q375" s="101"/>
      <c r="R375" s="78" t="str">
        <f t="shared" si="32"/>
        <v/>
      </c>
    </row>
    <row r="376" spans="2:18" x14ac:dyDescent="0.2">
      <c r="B376" s="2" t="str">
        <f t="shared" si="33"/>
        <v/>
      </c>
      <c r="C376" s="2" t="str">
        <f t="shared" si="34"/>
        <v/>
      </c>
      <c r="D376" s="2" t="str">
        <f t="shared" si="35"/>
        <v>Y</v>
      </c>
      <c r="E376" s="2">
        <f t="shared" si="36"/>
        <v>0</v>
      </c>
      <c r="F376" s="2" t="str">
        <f t="shared" si="37"/>
        <v/>
      </c>
      <c r="H376" s="121" t="s">
        <v>373</v>
      </c>
      <c r="I376" s="92"/>
      <c r="J376" s="93"/>
      <c r="K376" s="93"/>
      <c r="L376" s="94"/>
      <c r="M376" s="100"/>
      <c r="N376" s="96"/>
      <c r="O376" s="97"/>
      <c r="P376" s="98"/>
      <c r="Q376" s="101"/>
      <c r="R376" s="78" t="str">
        <f t="shared" si="32"/>
        <v/>
      </c>
    </row>
    <row r="377" spans="2:18" x14ac:dyDescent="0.2">
      <c r="B377" s="2" t="str">
        <f t="shared" si="33"/>
        <v/>
      </c>
      <c r="C377" s="2" t="str">
        <f t="shared" si="34"/>
        <v/>
      </c>
      <c r="D377" s="2" t="str">
        <f t="shared" si="35"/>
        <v>Y</v>
      </c>
      <c r="E377" s="2">
        <f t="shared" si="36"/>
        <v>0</v>
      </c>
      <c r="F377" s="2" t="str">
        <f t="shared" si="37"/>
        <v/>
      </c>
      <c r="H377" s="121" t="s">
        <v>374</v>
      </c>
      <c r="I377" s="92"/>
      <c r="J377" s="93"/>
      <c r="K377" s="93"/>
      <c r="L377" s="94"/>
      <c r="M377" s="100"/>
      <c r="N377" s="96"/>
      <c r="O377" s="97"/>
      <c r="P377" s="98"/>
      <c r="Q377" s="101"/>
      <c r="R377" s="78" t="str">
        <f t="shared" si="32"/>
        <v/>
      </c>
    </row>
    <row r="378" spans="2:18" x14ac:dyDescent="0.2">
      <c r="B378" s="2" t="str">
        <f t="shared" si="33"/>
        <v/>
      </c>
      <c r="C378" s="2" t="str">
        <f t="shared" si="34"/>
        <v/>
      </c>
      <c r="D378" s="2" t="str">
        <f t="shared" si="35"/>
        <v>Y</v>
      </c>
      <c r="E378" s="2">
        <f t="shared" si="36"/>
        <v>0</v>
      </c>
      <c r="F378" s="2" t="str">
        <f t="shared" si="37"/>
        <v/>
      </c>
      <c r="H378" s="121" t="s">
        <v>375</v>
      </c>
      <c r="I378" s="92"/>
      <c r="J378" s="93"/>
      <c r="K378" s="93"/>
      <c r="L378" s="94"/>
      <c r="M378" s="100"/>
      <c r="N378" s="96"/>
      <c r="O378" s="97"/>
      <c r="P378" s="98"/>
      <c r="Q378" s="101"/>
      <c r="R378" s="78" t="str">
        <f t="shared" si="32"/>
        <v/>
      </c>
    </row>
    <row r="379" spans="2:18" x14ac:dyDescent="0.2">
      <c r="B379" s="2" t="str">
        <f t="shared" si="33"/>
        <v/>
      </c>
      <c r="C379" s="2" t="str">
        <f t="shared" si="34"/>
        <v/>
      </c>
      <c r="D379" s="2" t="str">
        <f t="shared" si="35"/>
        <v>Y</v>
      </c>
      <c r="E379" s="2">
        <f t="shared" si="36"/>
        <v>0</v>
      </c>
      <c r="F379" s="2" t="str">
        <f t="shared" si="37"/>
        <v/>
      </c>
      <c r="H379" s="121" t="s">
        <v>376</v>
      </c>
      <c r="I379" s="92"/>
      <c r="J379" s="93"/>
      <c r="K379" s="93"/>
      <c r="L379" s="94"/>
      <c r="M379" s="100"/>
      <c r="N379" s="96"/>
      <c r="O379" s="97"/>
      <c r="P379" s="98"/>
      <c r="Q379" s="101"/>
      <c r="R379" s="78" t="str">
        <f t="shared" si="32"/>
        <v/>
      </c>
    </row>
    <row r="380" spans="2:18" x14ac:dyDescent="0.2">
      <c r="B380" s="2" t="str">
        <f t="shared" si="33"/>
        <v/>
      </c>
      <c r="C380" s="2" t="str">
        <f t="shared" si="34"/>
        <v/>
      </c>
      <c r="D380" s="2" t="str">
        <f t="shared" si="35"/>
        <v>Y</v>
      </c>
      <c r="E380" s="2">
        <f t="shared" si="36"/>
        <v>0</v>
      </c>
      <c r="F380" s="2" t="str">
        <f t="shared" si="37"/>
        <v/>
      </c>
      <c r="H380" s="121" t="s">
        <v>377</v>
      </c>
      <c r="I380" s="92"/>
      <c r="J380" s="93"/>
      <c r="K380" s="93"/>
      <c r="L380" s="94"/>
      <c r="M380" s="100"/>
      <c r="N380" s="96"/>
      <c r="O380" s="97"/>
      <c r="P380" s="98"/>
      <c r="Q380" s="101"/>
      <c r="R380" s="78" t="str">
        <f t="shared" si="32"/>
        <v/>
      </c>
    </row>
    <row r="381" spans="2:18" x14ac:dyDescent="0.2">
      <c r="B381" s="2" t="str">
        <f t="shared" si="33"/>
        <v/>
      </c>
      <c r="C381" s="2" t="str">
        <f t="shared" si="34"/>
        <v/>
      </c>
      <c r="D381" s="2" t="str">
        <f t="shared" si="35"/>
        <v>Y</v>
      </c>
      <c r="E381" s="2">
        <f t="shared" si="36"/>
        <v>0</v>
      </c>
      <c r="F381" s="2" t="str">
        <f t="shared" si="37"/>
        <v/>
      </c>
      <c r="H381" s="121" t="s">
        <v>378</v>
      </c>
      <c r="I381" s="92"/>
      <c r="J381" s="93"/>
      <c r="K381" s="93"/>
      <c r="L381" s="94"/>
      <c r="M381" s="100"/>
      <c r="N381" s="96"/>
      <c r="O381" s="97"/>
      <c r="P381" s="98"/>
      <c r="Q381" s="101"/>
      <c r="R381" s="78" t="str">
        <f t="shared" si="32"/>
        <v/>
      </c>
    </row>
    <row r="382" spans="2:18" x14ac:dyDescent="0.2">
      <c r="B382" s="2" t="str">
        <f t="shared" si="33"/>
        <v/>
      </c>
      <c r="C382" s="2" t="str">
        <f t="shared" si="34"/>
        <v/>
      </c>
      <c r="D382" s="2" t="str">
        <f t="shared" si="35"/>
        <v>Y</v>
      </c>
      <c r="E382" s="2">
        <f t="shared" si="36"/>
        <v>0</v>
      </c>
      <c r="F382" s="2" t="str">
        <f t="shared" si="37"/>
        <v/>
      </c>
      <c r="H382" s="121" t="s">
        <v>379</v>
      </c>
      <c r="I382" s="92"/>
      <c r="J382" s="93"/>
      <c r="K382" s="93"/>
      <c r="L382" s="94"/>
      <c r="M382" s="100"/>
      <c r="N382" s="96"/>
      <c r="O382" s="97"/>
      <c r="P382" s="98"/>
      <c r="Q382" s="101"/>
      <c r="R382" s="78" t="str">
        <f t="shared" si="32"/>
        <v/>
      </c>
    </row>
    <row r="383" spans="2:18" x14ac:dyDescent="0.2">
      <c r="B383" s="2" t="str">
        <f t="shared" si="33"/>
        <v/>
      </c>
      <c r="C383" s="2" t="str">
        <f t="shared" si="34"/>
        <v/>
      </c>
      <c r="D383" s="2" t="str">
        <f t="shared" si="35"/>
        <v>Y</v>
      </c>
      <c r="E383" s="2">
        <f t="shared" si="36"/>
        <v>0</v>
      </c>
      <c r="F383" s="2" t="str">
        <f t="shared" si="37"/>
        <v/>
      </c>
      <c r="H383" s="121" t="s">
        <v>380</v>
      </c>
      <c r="I383" s="92"/>
      <c r="J383" s="93"/>
      <c r="K383" s="93"/>
      <c r="L383" s="94"/>
      <c r="M383" s="100"/>
      <c r="N383" s="96"/>
      <c r="O383" s="97"/>
      <c r="P383" s="98"/>
      <c r="Q383" s="101"/>
      <c r="R383" s="78" t="str">
        <f t="shared" si="32"/>
        <v/>
      </c>
    </row>
    <row r="384" spans="2:18" x14ac:dyDescent="0.2">
      <c r="B384" s="2" t="str">
        <f t="shared" si="33"/>
        <v/>
      </c>
      <c r="C384" s="2" t="str">
        <f t="shared" si="34"/>
        <v/>
      </c>
      <c r="D384" s="2" t="str">
        <f t="shared" si="35"/>
        <v>Y</v>
      </c>
      <c r="E384" s="2">
        <f t="shared" si="36"/>
        <v>0</v>
      </c>
      <c r="F384" s="2" t="str">
        <f t="shared" si="37"/>
        <v/>
      </c>
      <c r="H384" s="121" t="s">
        <v>381</v>
      </c>
      <c r="I384" s="92"/>
      <c r="J384" s="93"/>
      <c r="K384" s="93"/>
      <c r="L384" s="94"/>
      <c r="M384" s="100"/>
      <c r="N384" s="96"/>
      <c r="O384" s="97"/>
      <c r="P384" s="98"/>
      <c r="Q384" s="101"/>
      <c r="R384" s="78" t="str">
        <f t="shared" si="32"/>
        <v/>
      </c>
    </row>
    <row r="385" spans="2:18" x14ac:dyDescent="0.2">
      <c r="B385" s="2" t="str">
        <f t="shared" si="33"/>
        <v/>
      </c>
      <c r="C385" s="2" t="str">
        <f t="shared" si="34"/>
        <v/>
      </c>
      <c r="D385" s="2" t="str">
        <f t="shared" si="35"/>
        <v>Y</v>
      </c>
      <c r="E385" s="2">
        <f t="shared" si="36"/>
        <v>0</v>
      </c>
      <c r="F385" s="2" t="str">
        <f t="shared" si="37"/>
        <v/>
      </c>
      <c r="H385" s="121" t="s">
        <v>382</v>
      </c>
      <c r="I385" s="92"/>
      <c r="J385" s="93"/>
      <c r="K385" s="93"/>
      <c r="L385" s="94"/>
      <c r="M385" s="100"/>
      <c r="N385" s="96"/>
      <c r="O385" s="97"/>
      <c r="P385" s="98"/>
      <c r="Q385" s="101"/>
      <c r="R385" s="78" t="str">
        <f t="shared" si="32"/>
        <v/>
      </c>
    </row>
    <row r="386" spans="2:18" x14ac:dyDescent="0.2">
      <c r="B386" s="2" t="str">
        <f t="shared" si="33"/>
        <v/>
      </c>
      <c r="C386" s="2" t="str">
        <f t="shared" si="34"/>
        <v/>
      </c>
      <c r="D386" s="2" t="str">
        <f t="shared" si="35"/>
        <v>Y</v>
      </c>
      <c r="E386" s="2">
        <f t="shared" si="36"/>
        <v>0</v>
      </c>
      <c r="F386" s="2" t="str">
        <f t="shared" si="37"/>
        <v/>
      </c>
      <c r="H386" s="121" t="s">
        <v>383</v>
      </c>
      <c r="I386" s="92"/>
      <c r="J386" s="93"/>
      <c r="K386" s="93"/>
      <c r="L386" s="94"/>
      <c r="M386" s="100"/>
      <c r="N386" s="96"/>
      <c r="O386" s="97"/>
      <c r="P386" s="98"/>
      <c r="Q386" s="101"/>
      <c r="R386" s="78" t="str">
        <f t="shared" si="32"/>
        <v/>
      </c>
    </row>
    <row r="387" spans="2:18" x14ac:dyDescent="0.2">
      <c r="B387" s="2" t="str">
        <f t="shared" si="33"/>
        <v/>
      </c>
      <c r="C387" s="2" t="str">
        <f t="shared" si="34"/>
        <v/>
      </c>
      <c r="D387" s="2" t="str">
        <f t="shared" si="35"/>
        <v>Y</v>
      </c>
      <c r="E387" s="2">
        <f t="shared" si="36"/>
        <v>0</v>
      </c>
      <c r="F387" s="2" t="str">
        <f t="shared" si="37"/>
        <v/>
      </c>
      <c r="H387" s="121" t="s">
        <v>384</v>
      </c>
      <c r="I387" s="92"/>
      <c r="J387" s="93"/>
      <c r="K387" s="93"/>
      <c r="L387" s="94"/>
      <c r="M387" s="100"/>
      <c r="N387" s="96"/>
      <c r="O387" s="97"/>
      <c r="P387" s="98"/>
      <c r="Q387" s="101"/>
      <c r="R387" s="78" t="str">
        <f t="shared" si="32"/>
        <v/>
      </c>
    </row>
    <row r="388" spans="2:18" x14ac:dyDescent="0.2">
      <c r="B388" s="2" t="str">
        <f t="shared" si="33"/>
        <v/>
      </c>
      <c r="C388" s="2" t="str">
        <f t="shared" si="34"/>
        <v/>
      </c>
      <c r="D388" s="2" t="str">
        <f t="shared" si="35"/>
        <v>Y</v>
      </c>
      <c r="E388" s="2">
        <f t="shared" si="36"/>
        <v>0</v>
      </c>
      <c r="F388" s="2" t="str">
        <f t="shared" si="37"/>
        <v/>
      </c>
      <c r="H388" s="121" t="s">
        <v>385</v>
      </c>
      <c r="I388" s="92"/>
      <c r="J388" s="93"/>
      <c r="K388" s="93"/>
      <c r="L388" s="94"/>
      <c r="M388" s="100"/>
      <c r="N388" s="96"/>
      <c r="O388" s="97"/>
      <c r="P388" s="98"/>
      <c r="Q388" s="101"/>
      <c r="R388" s="78" t="str">
        <f t="shared" si="32"/>
        <v/>
      </c>
    </row>
    <row r="389" spans="2:18" x14ac:dyDescent="0.2">
      <c r="B389" s="2" t="str">
        <f t="shared" si="33"/>
        <v/>
      </c>
      <c r="C389" s="2" t="str">
        <f t="shared" si="34"/>
        <v/>
      </c>
      <c r="D389" s="2" t="str">
        <f t="shared" si="35"/>
        <v>Y</v>
      </c>
      <c r="E389" s="2">
        <f t="shared" si="36"/>
        <v>0</v>
      </c>
      <c r="F389" s="2" t="str">
        <f t="shared" si="37"/>
        <v/>
      </c>
      <c r="H389" s="121" t="s">
        <v>386</v>
      </c>
      <c r="I389" s="92"/>
      <c r="J389" s="93"/>
      <c r="K389" s="93"/>
      <c r="L389" s="94"/>
      <c r="M389" s="100"/>
      <c r="N389" s="96"/>
      <c r="O389" s="97"/>
      <c r="P389" s="98"/>
      <c r="Q389" s="101"/>
      <c r="R389" s="78" t="str">
        <f t="shared" si="32"/>
        <v/>
      </c>
    </row>
    <row r="390" spans="2:18" x14ac:dyDescent="0.2">
      <c r="B390" s="2" t="str">
        <f t="shared" si="33"/>
        <v/>
      </c>
      <c r="C390" s="2" t="str">
        <f t="shared" si="34"/>
        <v/>
      </c>
      <c r="D390" s="2" t="str">
        <f t="shared" si="35"/>
        <v>Y</v>
      </c>
      <c r="E390" s="2">
        <f t="shared" si="36"/>
        <v>0</v>
      </c>
      <c r="F390" s="2" t="str">
        <f t="shared" si="37"/>
        <v/>
      </c>
      <c r="H390" s="121" t="s">
        <v>387</v>
      </c>
      <c r="I390" s="92"/>
      <c r="J390" s="93"/>
      <c r="K390" s="93"/>
      <c r="L390" s="94"/>
      <c r="M390" s="100"/>
      <c r="N390" s="96"/>
      <c r="O390" s="97"/>
      <c r="P390" s="98"/>
      <c r="Q390" s="101"/>
      <c r="R390" s="78" t="str">
        <f t="shared" si="32"/>
        <v/>
      </c>
    </row>
    <row r="391" spans="2:18" x14ac:dyDescent="0.2">
      <c r="B391" s="2" t="str">
        <f t="shared" si="33"/>
        <v/>
      </c>
      <c r="C391" s="2" t="str">
        <f t="shared" si="34"/>
        <v/>
      </c>
      <c r="D391" s="2" t="str">
        <f t="shared" si="35"/>
        <v>Y</v>
      </c>
      <c r="E391" s="2">
        <f t="shared" si="36"/>
        <v>0</v>
      </c>
      <c r="F391" s="2" t="str">
        <f t="shared" si="37"/>
        <v/>
      </c>
      <c r="H391" s="121" t="s">
        <v>388</v>
      </c>
      <c r="I391" s="92"/>
      <c r="J391" s="93"/>
      <c r="K391" s="93"/>
      <c r="L391" s="94"/>
      <c r="M391" s="100"/>
      <c r="N391" s="96"/>
      <c r="O391" s="97"/>
      <c r="P391" s="98"/>
      <c r="Q391" s="101"/>
      <c r="R391" s="78" t="str">
        <f t="shared" si="32"/>
        <v/>
      </c>
    </row>
    <row r="392" spans="2:18" x14ac:dyDescent="0.2">
      <c r="B392" s="2" t="str">
        <f t="shared" si="33"/>
        <v/>
      </c>
      <c r="C392" s="2" t="str">
        <f t="shared" si="34"/>
        <v/>
      </c>
      <c r="D392" s="2" t="str">
        <f t="shared" si="35"/>
        <v>Y</v>
      </c>
      <c r="E392" s="2">
        <f t="shared" si="36"/>
        <v>0</v>
      </c>
      <c r="F392" s="2" t="str">
        <f t="shared" si="37"/>
        <v/>
      </c>
      <c r="H392" s="121" t="s">
        <v>389</v>
      </c>
      <c r="I392" s="92"/>
      <c r="J392" s="93"/>
      <c r="K392" s="93"/>
      <c r="L392" s="94"/>
      <c r="M392" s="100"/>
      <c r="N392" s="96"/>
      <c r="O392" s="97"/>
      <c r="P392" s="98"/>
      <c r="Q392" s="101"/>
      <c r="R392" s="78" t="str">
        <f t="shared" si="32"/>
        <v/>
      </c>
    </row>
    <row r="393" spans="2:18" x14ac:dyDescent="0.2">
      <c r="B393" s="2" t="str">
        <f t="shared" si="33"/>
        <v/>
      </c>
      <c r="C393" s="2" t="str">
        <f t="shared" si="34"/>
        <v/>
      </c>
      <c r="D393" s="2" t="str">
        <f t="shared" si="35"/>
        <v>Y</v>
      </c>
      <c r="E393" s="2">
        <f t="shared" si="36"/>
        <v>0</v>
      </c>
      <c r="F393" s="2" t="str">
        <f t="shared" si="37"/>
        <v/>
      </c>
      <c r="H393" s="121" t="s">
        <v>390</v>
      </c>
      <c r="I393" s="92"/>
      <c r="J393" s="93"/>
      <c r="K393" s="93"/>
      <c r="L393" s="94"/>
      <c r="M393" s="100"/>
      <c r="N393" s="96"/>
      <c r="O393" s="97"/>
      <c r="P393" s="98"/>
      <c r="Q393" s="101"/>
      <c r="R393" s="78" t="str">
        <f t="shared" si="32"/>
        <v/>
      </c>
    </row>
    <row r="394" spans="2:18" x14ac:dyDescent="0.2">
      <c r="B394" s="2" t="str">
        <f t="shared" si="33"/>
        <v/>
      </c>
      <c r="C394" s="2" t="str">
        <f t="shared" si="34"/>
        <v/>
      </c>
      <c r="D394" s="2" t="str">
        <f t="shared" si="35"/>
        <v>Y</v>
      </c>
      <c r="E394" s="2">
        <f t="shared" si="36"/>
        <v>0</v>
      </c>
      <c r="F394" s="2" t="str">
        <f t="shared" si="37"/>
        <v/>
      </c>
      <c r="H394" s="121" t="s">
        <v>391</v>
      </c>
      <c r="I394" s="92"/>
      <c r="J394" s="93"/>
      <c r="K394" s="93"/>
      <c r="L394" s="94"/>
      <c r="M394" s="100"/>
      <c r="N394" s="96"/>
      <c r="O394" s="97"/>
      <c r="P394" s="98"/>
      <c r="Q394" s="101"/>
      <c r="R394" s="78" t="str">
        <f t="shared" si="32"/>
        <v/>
      </c>
    </row>
    <row r="395" spans="2:18" x14ac:dyDescent="0.2">
      <c r="B395" s="2" t="str">
        <f t="shared" si="33"/>
        <v/>
      </c>
      <c r="C395" s="2" t="str">
        <f t="shared" si="34"/>
        <v/>
      </c>
      <c r="D395" s="2" t="str">
        <f t="shared" si="35"/>
        <v>Y</v>
      </c>
      <c r="E395" s="2">
        <f t="shared" si="36"/>
        <v>0</v>
      </c>
      <c r="F395" s="2" t="str">
        <f t="shared" si="37"/>
        <v/>
      </c>
      <c r="H395" s="121" t="s">
        <v>392</v>
      </c>
      <c r="I395" s="92"/>
      <c r="J395" s="93"/>
      <c r="K395" s="93"/>
      <c r="L395" s="94"/>
      <c r="M395" s="100"/>
      <c r="N395" s="96"/>
      <c r="O395" s="97"/>
      <c r="P395" s="98"/>
      <c r="Q395" s="101"/>
      <c r="R395" s="78" t="str">
        <f t="shared" ref="R395:R458" si="38">IF(ISERROR(VLOOKUP(K395,LB_PROJECTS,2,FALSE)),"",VLOOKUP(K395,LB_PROJECTS,2,FALSE))</f>
        <v/>
      </c>
    </row>
    <row r="396" spans="2:18" x14ac:dyDescent="0.2">
      <c r="B396" s="2" t="str">
        <f t="shared" ref="B396:B459" si="39">IF(M396="","",IF(WEEKNUM(M396)&lt;10,VALUE(CONCATENATE(YEAR(M396),"0",WEEKNUM(M396))),VALUE(CONCATENATE(YEAR(M396),WEEKNUM(M396)))))</f>
        <v/>
      </c>
      <c r="C396" s="2" t="str">
        <f t="shared" ref="C396:C459" si="40">IF(P396="","",IF(WEEKNUM(P396)&lt;10,VALUE(CONCATENATE(YEAR(P396),"0",WEEKNUM(P396))),VALUE(CONCATENATE(YEAR(P396),WEEKNUM(P396)))))</f>
        <v/>
      </c>
      <c r="D396" s="2" t="str">
        <f t="shared" ref="D396:D459" si="41">IF(OR(O396="Not started",O396="In progress"),"N",IF(OR(O396="N/A",O396="Suspended",O396="Canceled"),"","Y"))</f>
        <v>Y</v>
      </c>
      <c r="E396" s="2">
        <f t="shared" ref="E396:E459" si="42">IF(OR(O396="Not started",O396="In progress",O396="Applied",O396="Closed"),1,0)</f>
        <v>0</v>
      </c>
      <c r="F396" s="2" t="str">
        <f t="shared" si="37"/>
        <v/>
      </c>
      <c r="H396" s="121" t="s">
        <v>393</v>
      </c>
      <c r="I396" s="92"/>
      <c r="J396" s="93"/>
      <c r="K396" s="93"/>
      <c r="L396" s="94"/>
      <c r="M396" s="100"/>
      <c r="N396" s="96"/>
      <c r="O396" s="97"/>
      <c r="P396" s="98"/>
      <c r="Q396" s="101"/>
      <c r="R396" s="78" t="str">
        <f t="shared" si="38"/>
        <v/>
      </c>
    </row>
    <row r="397" spans="2:18" x14ac:dyDescent="0.2">
      <c r="B397" s="2" t="str">
        <f t="shared" si="39"/>
        <v/>
      </c>
      <c r="C397" s="2" t="str">
        <f t="shared" si="40"/>
        <v/>
      </c>
      <c r="D397" s="2" t="str">
        <f t="shared" si="41"/>
        <v>Y</v>
      </c>
      <c r="E397" s="2">
        <f t="shared" si="42"/>
        <v>0</v>
      </c>
      <c r="F397" s="2" t="str">
        <f t="shared" si="37"/>
        <v/>
      </c>
      <c r="H397" s="121" t="s">
        <v>394</v>
      </c>
      <c r="I397" s="92"/>
      <c r="J397" s="93"/>
      <c r="K397" s="93"/>
      <c r="L397" s="94"/>
      <c r="M397" s="100"/>
      <c r="N397" s="96"/>
      <c r="O397" s="97"/>
      <c r="P397" s="98"/>
      <c r="Q397" s="101"/>
      <c r="R397" s="78" t="str">
        <f t="shared" si="38"/>
        <v/>
      </c>
    </row>
    <row r="398" spans="2:18" x14ac:dyDescent="0.2">
      <c r="B398" s="2" t="str">
        <f t="shared" si="39"/>
        <v/>
      </c>
      <c r="C398" s="2" t="str">
        <f t="shared" si="40"/>
        <v/>
      </c>
      <c r="D398" s="2" t="str">
        <f t="shared" si="41"/>
        <v>Y</v>
      </c>
      <c r="E398" s="2">
        <f t="shared" si="42"/>
        <v>0</v>
      </c>
      <c r="F398" s="2" t="str">
        <f t="shared" ref="F398:F461" si="43">IF(N398="",B398,IF(WEEKNUM(N398)&lt;10,VALUE(CONCATENATE(YEAR(N398),"0",WEEKNUM(N398))),VALUE(CONCATENATE(YEAR(N398),WEEKNUM(N398)))))</f>
        <v/>
      </c>
      <c r="H398" s="121" t="s">
        <v>395</v>
      </c>
      <c r="I398" s="92"/>
      <c r="J398" s="93"/>
      <c r="K398" s="93"/>
      <c r="L398" s="94"/>
      <c r="M398" s="100"/>
      <c r="N398" s="96"/>
      <c r="O398" s="97"/>
      <c r="P398" s="98"/>
      <c r="Q398" s="101"/>
      <c r="R398" s="78" t="str">
        <f t="shared" si="38"/>
        <v/>
      </c>
    </row>
    <row r="399" spans="2:18" x14ac:dyDescent="0.2">
      <c r="B399" s="2" t="str">
        <f t="shared" si="39"/>
        <v/>
      </c>
      <c r="C399" s="2" t="str">
        <f t="shared" si="40"/>
        <v/>
      </c>
      <c r="D399" s="2" t="str">
        <f t="shared" si="41"/>
        <v>Y</v>
      </c>
      <c r="E399" s="2">
        <f t="shared" si="42"/>
        <v>0</v>
      </c>
      <c r="F399" s="2" t="str">
        <f t="shared" si="43"/>
        <v/>
      </c>
      <c r="H399" s="121" t="s">
        <v>396</v>
      </c>
      <c r="I399" s="92"/>
      <c r="J399" s="93"/>
      <c r="K399" s="93"/>
      <c r="L399" s="94"/>
      <c r="M399" s="100"/>
      <c r="N399" s="96"/>
      <c r="O399" s="97"/>
      <c r="P399" s="98"/>
      <c r="Q399" s="101"/>
      <c r="R399" s="78" t="str">
        <f t="shared" si="38"/>
        <v/>
      </c>
    </row>
    <row r="400" spans="2:18" x14ac:dyDescent="0.2">
      <c r="B400" s="2" t="str">
        <f t="shared" si="39"/>
        <v/>
      </c>
      <c r="C400" s="2" t="str">
        <f t="shared" si="40"/>
        <v/>
      </c>
      <c r="D400" s="2" t="str">
        <f t="shared" si="41"/>
        <v>Y</v>
      </c>
      <c r="E400" s="2">
        <f t="shared" si="42"/>
        <v>0</v>
      </c>
      <c r="F400" s="2" t="str">
        <f t="shared" si="43"/>
        <v/>
      </c>
      <c r="H400" s="121" t="s">
        <v>397</v>
      </c>
      <c r="I400" s="92"/>
      <c r="J400" s="93"/>
      <c r="K400" s="93"/>
      <c r="L400" s="94"/>
      <c r="M400" s="100"/>
      <c r="N400" s="96"/>
      <c r="O400" s="97"/>
      <c r="P400" s="98"/>
      <c r="Q400" s="101"/>
      <c r="R400" s="78" t="str">
        <f t="shared" si="38"/>
        <v/>
      </c>
    </row>
    <row r="401" spans="2:18" x14ac:dyDescent="0.2">
      <c r="B401" s="2" t="str">
        <f t="shared" si="39"/>
        <v/>
      </c>
      <c r="C401" s="2" t="str">
        <f t="shared" si="40"/>
        <v/>
      </c>
      <c r="D401" s="2" t="str">
        <f t="shared" si="41"/>
        <v>Y</v>
      </c>
      <c r="E401" s="2">
        <f t="shared" si="42"/>
        <v>0</v>
      </c>
      <c r="F401" s="2" t="str">
        <f t="shared" si="43"/>
        <v/>
      </c>
      <c r="H401" s="121" t="s">
        <v>398</v>
      </c>
      <c r="I401" s="92"/>
      <c r="J401" s="93"/>
      <c r="K401" s="93"/>
      <c r="L401" s="94"/>
      <c r="M401" s="100"/>
      <c r="N401" s="96"/>
      <c r="O401" s="97"/>
      <c r="P401" s="98"/>
      <c r="Q401" s="101"/>
      <c r="R401" s="78" t="str">
        <f t="shared" si="38"/>
        <v/>
      </c>
    </row>
    <row r="402" spans="2:18" x14ac:dyDescent="0.2">
      <c r="B402" s="2" t="str">
        <f t="shared" si="39"/>
        <v/>
      </c>
      <c r="C402" s="2" t="str">
        <f t="shared" si="40"/>
        <v/>
      </c>
      <c r="D402" s="2" t="str">
        <f t="shared" si="41"/>
        <v>Y</v>
      </c>
      <c r="E402" s="2">
        <f t="shared" si="42"/>
        <v>0</v>
      </c>
      <c r="F402" s="2" t="str">
        <f t="shared" si="43"/>
        <v/>
      </c>
      <c r="H402" s="121" t="s">
        <v>399</v>
      </c>
      <c r="I402" s="92"/>
      <c r="J402" s="93"/>
      <c r="K402" s="93"/>
      <c r="L402" s="94"/>
      <c r="M402" s="100"/>
      <c r="N402" s="96"/>
      <c r="O402" s="97"/>
      <c r="P402" s="98"/>
      <c r="Q402" s="101"/>
      <c r="R402" s="78" t="str">
        <f t="shared" si="38"/>
        <v/>
      </c>
    </row>
    <row r="403" spans="2:18" x14ac:dyDescent="0.2">
      <c r="B403" s="2" t="str">
        <f t="shared" si="39"/>
        <v/>
      </c>
      <c r="C403" s="2" t="str">
        <f t="shared" si="40"/>
        <v/>
      </c>
      <c r="D403" s="2" t="str">
        <f t="shared" si="41"/>
        <v>Y</v>
      </c>
      <c r="E403" s="2">
        <f t="shared" si="42"/>
        <v>0</v>
      </c>
      <c r="F403" s="2" t="str">
        <f t="shared" si="43"/>
        <v/>
      </c>
      <c r="H403" s="121" t="s">
        <v>400</v>
      </c>
      <c r="I403" s="92"/>
      <c r="J403" s="93"/>
      <c r="K403" s="93"/>
      <c r="L403" s="94"/>
      <c r="M403" s="100"/>
      <c r="N403" s="96"/>
      <c r="O403" s="97"/>
      <c r="P403" s="98"/>
      <c r="Q403" s="101"/>
      <c r="R403" s="78" t="str">
        <f t="shared" si="38"/>
        <v/>
      </c>
    </row>
    <row r="404" spans="2:18" x14ac:dyDescent="0.2">
      <c r="B404" s="2" t="str">
        <f t="shared" si="39"/>
        <v/>
      </c>
      <c r="C404" s="2" t="str">
        <f t="shared" si="40"/>
        <v/>
      </c>
      <c r="D404" s="2" t="str">
        <f t="shared" si="41"/>
        <v>Y</v>
      </c>
      <c r="E404" s="2">
        <f t="shared" si="42"/>
        <v>0</v>
      </c>
      <c r="F404" s="2" t="str">
        <f t="shared" si="43"/>
        <v/>
      </c>
      <c r="H404" s="121" t="s">
        <v>401</v>
      </c>
      <c r="I404" s="92"/>
      <c r="J404" s="93"/>
      <c r="K404" s="93"/>
      <c r="L404" s="94"/>
      <c r="M404" s="100"/>
      <c r="N404" s="96"/>
      <c r="O404" s="97"/>
      <c r="P404" s="98"/>
      <c r="Q404" s="101"/>
      <c r="R404" s="78" t="str">
        <f t="shared" si="38"/>
        <v/>
      </c>
    </row>
    <row r="405" spans="2:18" x14ac:dyDescent="0.2">
      <c r="B405" s="2" t="str">
        <f t="shared" si="39"/>
        <v/>
      </c>
      <c r="C405" s="2" t="str">
        <f t="shared" si="40"/>
        <v/>
      </c>
      <c r="D405" s="2" t="str">
        <f t="shared" si="41"/>
        <v>Y</v>
      </c>
      <c r="E405" s="2">
        <f t="shared" si="42"/>
        <v>0</v>
      </c>
      <c r="F405" s="2" t="str">
        <f t="shared" si="43"/>
        <v/>
      </c>
      <c r="H405" s="121" t="s">
        <v>402</v>
      </c>
      <c r="I405" s="92"/>
      <c r="J405" s="93"/>
      <c r="K405" s="93"/>
      <c r="L405" s="94"/>
      <c r="M405" s="100"/>
      <c r="N405" s="96"/>
      <c r="O405" s="97"/>
      <c r="P405" s="98"/>
      <c r="Q405" s="101"/>
      <c r="R405" s="78" t="str">
        <f t="shared" si="38"/>
        <v/>
      </c>
    </row>
    <row r="406" spans="2:18" x14ac:dyDescent="0.2">
      <c r="B406" s="2" t="str">
        <f t="shared" si="39"/>
        <v/>
      </c>
      <c r="C406" s="2" t="str">
        <f t="shared" si="40"/>
        <v/>
      </c>
      <c r="D406" s="2" t="str">
        <f t="shared" si="41"/>
        <v>Y</v>
      </c>
      <c r="E406" s="2">
        <f t="shared" si="42"/>
        <v>0</v>
      </c>
      <c r="F406" s="2" t="str">
        <f t="shared" si="43"/>
        <v/>
      </c>
      <c r="H406" s="121" t="s">
        <v>403</v>
      </c>
      <c r="I406" s="92"/>
      <c r="J406" s="93"/>
      <c r="K406" s="93"/>
      <c r="L406" s="94"/>
      <c r="M406" s="100"/>
      <c r="N406" s="96"/>
      <c r="O406" s="97"/>
      <c r="P406" s="98"/>
      <c r="Q406" s="101"/>
      <c r="R406" s="78" t="str">
        <f t="shared" si="38"/>
        <v/>
      </c>
    </row>
    <row r="407" spans="2:18" x14ac:dyDescent="0.2">
      <c r="B407" s="2" t="str">
        <f t="shared" si="39"/>
        <v/>
      </c>
      <c r="C407" s="2" t="str">
        <f t="shared" si="40"/>
        <v/>
      </c>
      <c r="D407" s="2" t="str">
        <f t="shared" si="41"/>
        <v>Y</v>
      </c>
      <c r="E407" s="2">
        <f t="shared" si="42"/>
        <v>0</v>
      </c>
      <c r="F407" s="2" t="str">
        <f t="shared" si="43"/>
        <v/>
      </c>
      <c r="H407" s="121" t="s">
        <v>404</v>
      </c>
      <c r="I407" s="92"/>
      <c r="J407" s="93"/>
      <c r="K407" s="93"/>
      <c r="L407" s="94"/>
      <c r="M407" s="100"/>
      <c r="N407" s="96"/>
      <c r="O407" s="97"/>
      <c r="P407" s="98"/>
      <c r="Q407" s="101"/>
      <c r="R407" s="78" t="str">
        <f t="shared" si="38"/>
        <v/>
      </c>
    </row>
    <row r="408" spans="2:18" x14ac:dyDescent="0.2">
      <c r="B408" s="2" t="str">
        <f t="shared" si="39"/>
        <v/>
      </c>
      <c r="C408" s="2" t="str">
        <f t="shared" si="40"/>
        <v/>
      </c>
      <c r="D408" s="2" t="str">
        <f t="shared" si="41"/>
        <v>Y</v>
      </c>
      <c r="E408" s="2">
        <f t="shared" si="42"/>
        <v>0</v>
      </c>
      <c r="F408" s="2" t="str">
        <f t="shared" si="43"/>
        <v/>
      </c>
      <c r="H408" s="121" t="s">
        <v>405</v>
      </c>
      <c r="I408" s="92"/>
      <c r="J408" s="93"/>
      <c r="K408" s="93"/>
      <c r="L408" s="94"/>
      <c r="M408" s="100"/>
      <c r="N408" s="96"/>
      <c r="O408" s="97"/>
      <c r="P408" s="98"/>
      <c r="Q408" s="101"/>
      <c r="R408" s="78" t="str">
        <f t="shared" si="38"/>
        <v/>
      </c>
    </row>
    <row r="409" spans="2:18" x14ac:dyDescent="0.2">
      <c r="B409" s="2" t="str">
        <f t="shared" si="39"/>
        <v/>
      </c>
      <c r="C409" s="2" t="str">
        <f t="shared" si="40"/>
        <v/>
      </c>
      <c r="D409" s="2" t="str">
        <f t="shared" si="41"/>
        <v>Y</v>
      </c>
      <c r="E409" s="2">
        <f t="shared" si="42"/>
        <v>0</v>
      </c>
      <c r="F409" s="2" t="str">
        <f t="shared" si="43"/>
        <v/>
      </c>
      <c r="H409" s="121" t="s">
        <v>406</v>
      </c>
      <c r="I409" s="92"/>
      <c r="J409" s="93"/>
      <c r="K409" s="93"/>
      <c r="L409" s="94"/>
      <c r="M409" s="100"/>
      <c r="N409" s="96"/>
      <c r="O409" s="97"/>
      <c r="P409" s="98"/>
      <c r="Q409" s="101"/>
      <c r="R409" s="78" t="str">
        <f t="shared" si="38"/>
        <v/>
      </c>
    </row>
    <row r="410" spans="2:18" x14ac:dyDescent="0.2">
      <c r="B410" s="2" t="str">
        <f t="shared" si="39"/>
        <v/>
      </c>
      <c r="C410" s="2" t="str">
        <f t="shared" si="40"/>
        <v/>
      </c>
      <c r="D410" s="2" t="str">
        <f t="shared" si="41"/>
        <v>Y</v>
      </c>
      <c r="E410" s="2">
        <f t="shared" si="42"/>
        <v>0</v>
      </c>
      <c r="F410" s="2" t="str">
        <f t="shared" si="43"/>
        <v/>
      </c>
      <c r="H410" s="121" t="s">
        <v>407</v>
      </c>
      <c r="I410" s="92"/>
      <c r="J410" s="93"/>
      <c r="K410" s="93"/>
      <c r="L410" s="94"/>
      <c r="M410" s="100"/>
      <c r="N410" s="96"/>
      <c r="O410" s="97"/>
      <c r="P410" s="98"/>
      <c r="Q410" s="101"/>
      <c r="R410" s="78" t="str">
        <f t="shared" si="38"/>
        <v/>
      </c>
    </row>
    <row r="411" spans="2:18" x14ac:dyDescent="0.2">
      <c r="B411" s="2" t="str">
        <f t="shared" si="39"/>
        <v/>
      </c>
      <c r="C411" s="2" t="str">
        <f t="shared" si="40"/>
        <v/>
      </c>
      <c r="D411" s="2" t="str">
        <f t="shared" si="41"/>
        <v>Y</v>
      </c>
      <c r="E411" s="2">
        <f t="shared" si="42"/>
        <v>0</v>
      </c>
      <c r="F411" s="2" t="str">
        <f t="shared" si="43"/>
        <v/>
      </c>
      <c r="H411" s="121" t="s">
        <v>408</v>
      </c>
      <c r="I411" s="92"/>
      <c r="J411" s="93"/>
      <c r="K411" s="93"/>
      <c r="L411" s="94"/>
      <c r="M411" s="100"/>
      <c r="N411" s="96"/>
      <c r="O411" s="97"/>
      <c r="P411" s="98"/>
      <c r="Q411" s="101"/>
      <c r="R411" s="78" t="str">
        <f t="shared" si="38"/>
        <v/>
      </c>
    </row>
    <row r="412" spans="2:18" x14ac:dyDescent="0.2">
      <c r="B412" s="2" t="str">
        <f t="shared" si="39"/>
        <v/>
      </c>
      <c r="C412" s="2" t="str">
        <f t="shared" si="40"/>
        <v/>
      </c>
      <c r="D412" s="2" t="str">
        <f t="shared" si="41"/>
        <v>Y</v>
      </c>
      <c r="E412" s="2">
        <f t="shared" si="42"/>
        <v>0</v>
      </c>
      <c r="F412" s="2" t="str">
        <f t="shared" si="43"/>
        <v/>
      </c>
      <c r="H412" s="121" t="s">
        <v>409</v>
      </c>
      <c r="I412" s="92"/>
      <c r="J412" s="93"/>
      <c r="K412" s="93"/>
      <c r="L412" s="94"/>
      <c r="M412" s="100"/>
      <c r="N412" s="96"/>
      <c r="O412" s="97"/>
      <c r="P412" s="98"/>
      <c r="Q412" s="101"/>
      <c r="R412" s="78" t="str">
        <f t="shared" si="38"/>
        <v/>
      </c>
    </row>
    <row r="413" spans="2:18" x14ac:dyDescent="0.2">
      <c r="B413" s="2" t="str">
        <f t="shared" si="39"/>
        <v/>
      </c>
      <c r="C413" s="2" t="str">
        <f t="shared" si="40"/>
        <v/>
      </c>
      <c r="D413" s="2" t="str">
        <f t="shared" si="41"/>
        <v>Y</v>
      </c>
      <c r="E413" s="2">
        <f t="shared" si="42"/>
        <v>0</v>
      </c>
      <c r="F413" s="2" t="str">
        <f t="shared" si="43"/>
        <v/>
      </c>
      <c r="H413" s="121" t="s">
        <v>410</v>
      </c>
      <c r="I413" s="92"/>
      <c r="J413" s="93"/>
      <c r="K413" s="93"/>
      <c r="L413" s="94"/>
      <c r="M413" s="100"/>
      <c r="N413" s="96"/>
      <c r="O413" s="97"/>
      <c r="P413" s="98"/>
      <c r="Q413" s="101"/>
      <c r="R413" s="78" t="str">
        <f t="shared" si="38"/>
        <v/>
      </c>
    </row>
    <row r="414" spans="2:18" x14ac:dyDescent="0.2">
      <c r="B414" s="2" t="str">
        <f t="shared" si="39"/>
        <v/>
      </c>
      <c r="C414" s="2" t="str">
        <f t="shared" si="40"/>
        <v/>
      </c>
      <c r="D414" s="2" t="str">
        <f t="shared" si="41"/>
        <v>Y</v>
      </c>
      <c r="E414" s="2">
        <f t="shared" si="42"/>
        <v>0</v>
      </c>
      <c r="F414" s="2" t="str">
        <f t="shared" si="43"/>
        <v/>
      </c>
      <c r="H414" s="121" t="s">
        <v>411</v>
      </c>
      <c r="I414" s="92"/>
      <c r="J414" s="93"/>
      <c r="K414" s="93"/>
      <c r="L414" s="94"/>
      <c r="M414" s="100"/>
      <c r="N414" s="96"/>
      <c r="O414" s="97"/>
      <c r="P414" s="98"/>
      <c r="Q414" s="101"/>
      <c r="R414" s="78" t="str">
        <f t="shared" si="38"/>
        <v/>
      </c>
    </row>
    <row r="415" spans="2:18" x14ac:dyDescent="0.2">
      <c r="B415" s="2" t="str">
        <f t="shared" si="39"/>
        <v/>
      </c>
      <c r="C415" s="2" t="str">
        <f t="shared" si="40"/>
        <v/>
      </c>
      <c r="D415" s="2" t="str">
        <f t="shared" si="41"/>
        <v>Y</v>
      </c>
      <c r="E415" s="2">
        <f t="shared" si="42"/>
        <v>0</v>
      </c>
      <c r="F415" s="2" t="str">
        <f t="shared" si="43"/>
        <v/>
      </c>
      <c r="H415" s="121" t="s">
        <v>412</v>
      </c>
      <c r="I415" s="92"/>
      <c r="J415" s="93"/>
      <c r="K415" s="93"/>
      <c r="L415" s="94"/>
      <c r="M415" s="100"/>
      <c r="N415" s="96"/>
      <c r="O415" s="97"/>
      <c r="P415" s="98"/>
      <c r="Q415" s="101"/>
      <c r="R415" s="78" t="str">
        <f t="shared" si="38"/>
        <v/>
      </c>
    </row>
    <row r="416" spans="2:18" x14ac:dyDescent="0.2">
      <c r="B416" s="2" t="str">
        <f t="shared" si="39"/>
        <v/>
      </c>
      <c r="C416" s="2" t="str">
        <f t="shared" si="40"/>
        <v/>
      </c>
      <c r="D416" s="2" t="str">
        <f t="shared" si="41"/>
        <v>Y</v>
      </c>
      <c r="E416" s="2">
        <f t="shared" si="42"/>
        <v>0</v>
      </c>
      <c r="F416" s="2" t="str">
        <f t="shared" si="43"/>
        <v/>
      </c>
      <c r="H416" s="121" t="s">
        <v>413</v>
      </c>
      <c r="I416" s="92"/>
      <c r="J416" s="93"/>
      <c r="K416" s="93"/>
      <c r="L416" s="94"/>
      <c r="M416" s="100"/>
      <c r="N416" s="96"/>
      <c r="O416" s="97"/>
      <c r="P416" s="98"/>
      <c r="Q416" s="101"/>
      <c r="R416" s="78" t="str">
        <f t="shared" si="38"/>
        <v/>
      </c>
    </row>
    <row r="417" spans="2:18" x14ac:dyDescent="0.2">
      <c r="B417" s="2" t="str">
        <f t="shared" si="39"/>
        <v/>
      </c>
      <c r="C417" s="2" t="str">
        <f t="shared" si="40"/>
        <v/>
      </c>
      <c r="D417" s="2" t="str">
        <f t="shared" si="41"/>
        <v>Y</v>
      </c>
      <c r="E417" s="2">
        <f t="shared" si="42"/>
        <v>0</v>
      </c>
      <c r="F417" s="2" t="str">
        <f t="shared" si="43"/>
        <v/>
      </c>
      <c r="H417" s="121" t="s">
        <v>414</v>
      </c>
      <c r="I417" s="92"/>
      <c r="J417" s="93"/>
      <c r="K417" s="93"/>
      <c r="L417" s="94"/>
      <c r="M417" s="100"/>
      <c r="N417" s="96"/>
      <c r="O417" s="97"/>
      <c r="P417" s="98"/>
      <c r="Q417" s="101"/>
      <c r="R417" s="78" t="str">
        <f t="shared" si="38"/>
        <v/>
      </c>
    </row>
    <row r="418" spans="2:18" x14ac:dyDescent="0.2">
      <c r="B418" s="2" t="str">
        <f t="shared" si="39"/>
        <v/>
      </c>
      <c r="C418" s="2" t="str">
        <f t="shared" si="40"/>
        <v/>
      </c>
      <c r="D418" s="2" t="str">
        <f t="shared" si="41"/>
        <v>Y</v>
      </c>
      <c r="E418" s="2">
        <f t="shared" si="42"/>
        <v>0</v>
      </c>
      <c r="F418" s="2" t="str">
        <f t="shared" si="43"/>
        <v/>
      </c>
      <c r="H418" s="121" t="s">
        <v>415</v>
      </c>
      <c r="I418" s="92"/>
      <c r="J418" s="93"/>
      <c r="K418" s="93"/>
      <c r="L418" s="94"/>
      <c r="M418" s="100"/>
      <c r="N418" s="96"/>
      <c r="O418" s="97"/>
      <c r="P418" s="98"/>
      <c r="Q418" s="101"/>
      <c r="R418" s="78" t="str">
        <f t="shared" si="38"/>
        <v/>
      </c>
    </row>
    <row r="419" spans="2:18" x14ac:dyDescent="0.2">
      <c r="B419" s="2" t="str">
        <f t="shared" si="39"/>
        <v/>
      </c>
      <c r="C419" s="2" t="str">
        <f t="shared" si="40"/>
        <v/>
      </c>
      <c r="D419" s="2" t="str">
        <f t="shared" si="41"/>
        <v>Y</v>
      </c>
      <c r="E419" s="2">
        <f t="shared" si="42"/>
        <v>0</v>
      </c>
      <c r="F419" s="2" t="str">
        <f t="shared" si="43"/>
        <v/>
      </c>
      <c r="H419" s="121" t="s">
        <v>416</v>
      </c>
      <c r="I419" s="92"/>
      <c r="J419" s="93"/>
      <c r="K419" s="93"/>
      <c r="L419" s="94"/>
      <c r="M419" s="100"/>
      <c r="N419" s="96"/>
      <c r="O419" s="97"/>
      <c r="P419" s="98"/>
      <c r="Q419" s="101"/>
      <c r="R419" s="78" t="str">
        <f t="shared" si="38"/>
        <v/>
      </c>
    </row>
    <row r="420" spans="2:18" x14ac:dyDescent="0.2">
      <c r="B420" s="2" t="str">
        <f t="shared" si="39"/>
        <v/>
      </c>
      <c r="C420" s="2" t="str">
        <f t="shared" si="40"/>
        <v/>
      </c>
      <c r="D420" s="2" t="str">
        <f t="shared" si="41"/>
        <v>Y</v>
      </c>
      <c r="E420" s="2">
        <f t="shared" si="42"/>
        <v>0</v>
      </c>
      <c r="F420" s="2" t="str">
        <f t="shared" si="43"/>
        <v/>
      </c>
      <c r="H420" s="121" t="s">
        <v>417</v>
      </c>
      <c r="I420" s="92"/>
      <c r="J420" s="93"/>
      <c r="K420" s="93"/>
      <c r="L420" s="94"/>
      <c r="M420" s="100"/>
      <c r="N420" s="96"/>
      <c r="O420" s="97"/>
      <c r="P420" s="98"/>
      <c r="Q420" s="101"/>
      <c r="R420" s="78" t="str">
        <f t="shared" si="38"/>
        <v/>
      </c>
    </row>
    <row r="421" spans="2:18" x14ac:dyDescent="0.2">
      <c r="B421" s="2" t="str">
        <f t="shared" si="39"/>
        <v/>
      </c>
      <c r="C421" s="2" t="str">
        <f t="shared" si="40"/>
        <v/>
      </c>
      <c r="D421" s="2" t="str">
        <f t="shared" si="41"/>
        <v>Y</v>
      </c>
      <c r="E421" s="2">
        <f t="shared" si="42"/>
        <v>0</v>
      </c>
      <c r="F421" s="2" t="str">
        <f t="shared" si="43"/>
        <v/>
      </c>
      <c r="H421" s="121" t="s">
        <v>418</v>
      </c>
      <c r="I421" s="92"/>
      <c r="J421" s="93"/>
      <c r="K421" s="93"/>
      <c r="L421" s="94"/>
      <c r="M421" s="100"/>
      <c r="N421" s="96"/>
      <c r="O421" s="97"/>
      <c r="P421" s="98"/>
      <c r="Q421" s="101"/>
      <c r="R421" s="78" t="str">
        <f t="shared" si="38"/>
        <v/>
      </c>
    </row>
    <row r="422" spans="2:18" x14ac:dyDescent="0.2">
      <c r="B422" s="2" t="str">
        <f t="shared" si="39"/>
        <v/>
      </c>
      <c r="C422" s="2" t="str">
        <f t="shared" si="40"/>
        <v/>
      </c>
      <c r="D422" s="2" t="str">
        <f t="shared" si="41"/>
        <v>Y</v>
      </c>
      <c r="E422" s="2">
        <f t="shared" si="42"/>
        <v>0</v>
      </c>
      <c r="F422" s="2" t="str">
        <f t="shared" si="43"/>
        <v/>
      </c>
      <c r="H422" s="121" t="s">
        <v>419</v>
      </c>
      <c r="I422" s="92"/>
      <c r="J422" s="93"/>
      <c r="K422" s="93"/>
      <c r="L422" s="94"/>
      <c r="M422" s="100"/>
      <c r="N422" s="96"/>
      <c r="O422" s="97"/>
      <c r="P422" s="98"/>
      <c r="Q422" s="101"/>
      <c r="R422" s="78" t="str">
        <f t="shared" si="38"/>
        <v/>
      </c>
    </row>
    <row r="423" spans="2:18" x14ac:dyDescent="0.2">
      <c r="B423" s="2" t="str">
        <f t="shared" si="39"/>
        <v/>
      </c>
      <c r="C423" s="2" t="str">
        <f t="shared" si="40"/>
        <v/>
      </c>
      <c r="D423" s="2" t="str">
        <f t="shared" si="41"/>
        <v>Y</v>
      </c>
      <c r="E423" s="2">
        <f t="shared" si="42"/>
        <v>0</v>
      </c>
      <c r="F423" s="2" t="str">
        <f t="shared" si="43"/>
        <v/>
      </c>
      <c r="H423" s="121" t="s">
        <v>420</v>
      </c>
      <c r="I423" s="92"/>
      <c r="J423" s="93"/>
      <c r="K423" s="93"/>
      <c r="L423" s="94"/>
      <c r="M423" s="100"/>
      <c r="N423" s="96"/>
      <c r="O423" s="97"/>
      <c r="P423" s="98"/>
      <c r="Q423" s="101"/>
      <c r="R423" s="78" t="str">
        <f t="shared" si="38"/>
        <v/>
      </c>
    </row>
    <row r="424" spans="2:18" x14ac:dyDescent="0.2">
      <c r="B424" s="2" t="str">
        <f t="shared" si="39"/>
        <v/>
      </c>
      <c r="C424" s="2" t="str">
        <f t="shared" si="40"/>
        <v/>
      </c>
      <c r="D424" s="2" t="str">
        <f t="shared" si="41"/>
        <v>Y</v>
      </c>
      <c r="E424" s="2">
        <f t="shared" si="42"/>
        <v>0</v>
      </c>
      <c r="F424" s="2" t="str">
        <f t="shared" si="43"/>
        <v/>
      </c>
      <c r="H424" s="121" t="s">
        <v>421</v>
      </c>
      <c r="I424" s="92"/>
      <c r="J424" s="93"/>
      <c r="K424" s="93"/>
      <c r="L424" s="94"/>
      <c r="M424" s="100"/>
      <c r="N424" s="96"/>
      <c r="O424" s="97"/>
      <c r="P424" s="98"/>
      <c r="Q424" s="101"/>
      <c r="R424" s="78" t="str">
        <f t="shared" si="38"/>
        <v/>
      </c>
    </row>
    <row r="425" spans="2:18" x14ac:dyDescent="0.2">
      <c r="B425" s="2" t="str">
        <f t="shared" si="39"/>
        <v/>
      </c>
      <c r="C425" s="2" t="str">
        <f t="shared" si="40"/>
        <v/>
      </c>
      <c r="D425" s="2" t="str">
        <f t="shared" si="41"/>
        <v>Y</v>
      </c>
      <c r="E425" s="2">
        <f t="shared" si="42"/>
        <v>0</v>
      </c>
      <c r="F425" s="2" t="str">
        <f t="shared" si="43"/>
        <v/>
      </c>
      <c r="H425" s="121" t="s">
        <v>422</v>
      </c>
      <c r="I425" s="92"/>
      <c r="J425" s="93"/>
      <c r="K425" s="93"/>
      <c r="L425" s="94"/>
      <c r="M425" s="100"/>
      <c r="N425" s="96"/>
      <c r="O425" s="97"/>
      <c r="P425" s="98"/>
      <c r="Q425" s="101"/>
      <c r="R425" s="78" t="str">
        <f t="shared" si="38"/>
        <v/>
      </c>
    </row>
    <row r="426" spans="2:18" x14ac:dyDescent="0.2">
      <c r="B426" s="2" t="str">
        <f t="shared" si="39"/>
        <v/>
      </c>
      <c r="C426" s="2" t="str">
        <f t="shared" si="40"/>
        <v/>
      </c>
      <c r="D426" s="2" t="str">
        <f t="shared" si="41"/>
        <v>Y</v>
      </c>
      <c r="E426" s="2">
        <f t="shared" si="42"/>
        <v>0</v>
      </c>
      <c r="F426" s="2" t="str">
        <f t="shared" si="43"/>
        <v/>
      </c>
      <c r="H426" s="121" t="s">
        <v>423</v>
      </c>
      <c r="I426" s="92"/>
      <c r="J426" s="93"/>
      <c r="K426" s="93"/>
      <c r="L426" s="94"/>
      <c r="M426" s="100"/>
      <c r="N426" s="96"/>
      <c r="O426" s="97"/>
      <c r="P426" s="98"/>
      <c r="Q426" s="101"/>
      <c r="R426" s="78" t="str">
        <f t="shared" si="38"/>
        <v/>
      </c>
    </row>
    <row r="427" spans="2:18" x14ac:dyDescent="0.2">
      <c r="B427" s="2" t="str">
        <f t="shared" si="39"/>
        <v/>
      </c>
      <c r="C427" s="2" t="str">
        <f t="shared" si="40"/>
        <v/>
      </c>
      <c r="D427" s="2" t="str">
        <f t="shared" si="41"/>
        <v>Y</v>
      </c>
      <c r="E427" s="2">
        <f t="shared" si="42"/>
        <v>0</v>
      </c>
      <c r="F427" s="2" t="str">
        <f t="shared" si="43"/>
        <v/>
      </c>
      <c r="H427" s="121" t="s">
        <v>424</v>
      </c>
      <c r="I427" s="92"/>
      <c r="J427" s="93"/>
      <c r="K427" s="93"/>
      <c r="L427" s="94"/>
      <c r="M427" s="100"/>
      <c r="N427" s="96"/>
      <c r="O427" s="97"/>
      <c r="P427" s="98"/>
      <c r="Q427" s="101"/>
      <c r="R427" s="78" t="str">
        <f t="shared" si="38"/>
        <v/>
      </c>
    </row>
    <row r="428" spans="2:18" x14ac:dyDescent="0.2">
      <c r="B428" s="2" t="str">
        <f t="shared" si="39"/>
        <v/>
      </c>
      <c r="C428" s="2" t="str">
        <f t="shared" si="40"/>
        <v/>
      </c>
      <c r="D428" s="2" t="str">
        <f t="shared" si="41"/>
        <v>Y</v>
      </c>
      <c r="E428" s="2">
        <f t="shared" si="42"/>
        <v>0</v>
      </c>
      <c r="F428" s="2" t="str">
        <f t="shared" si="43"/>
        <v/>
      </c>
      <c r="H428" s="121" t="s">
        <v>425</v>
      </c>
      <c r="I428" s="92"/>
      <c r="J428" s="93"/>
      <c r="K428" s="93"/>
      <c r="L428" s="94"/>
      <c r="M428" s="100"/>
      <c r="N428" s="96"/>
      <c r="O428" s="97"/>
      <c r="P428" s="98"/>
      <c r="Q428" s="101"/>
      <c r="R428" s="78" t="str">
        <f t="shared" si="38"/>
        <v/>
      </c>
    </row>
    <row r="429" spans="2:18" x14ac:dyDescent="0.2">
      <c r="B429" s="2" t="str">
        <f t="shared" si="39"/>
        <v/>
      </c>
      <c r="C429" s="2" t="str">
        <f t="shared" si="40"/>
        <v/>
      </c>
      <c r="D429" s="2" t="str">
        <f t="shared" si="41"/>
        <v>Y</v>
      </c>
      <c r="E429" s="2">
        <f t="shared" si="42"/>
        <v>0</v>
      </c>
      <c r="F429" s="2" t="str">
        <f t="shared" si="43"/>
        <v/>
      </c>
      <c r="H429" s="121" t="s">
        <v>426</v>
      </c>
      <c r="I429" s="92"/>
      <c r="J429" s="93"/>
      <c r="K429" s="93"/>
      <c r="L429" s="94"/>
      <c r="M429" s="100"/>
      <c r="N429" s="96"/>
      <c r="O429" s="97"/>
      <c r="P429" s="98"/>
      <c r="Q429" s="101"/>
      <c r="R429" s="78" t="str">
        <f t="shared" si="38"/>
        <v/>
      </c>
    </row>
    <row r="430" spans="2:18" x14ac:dyDescent="0.2">
      <c r="B430" s="2" t="str">
        <f t="shared" si="39"/>
        <v/>
      </c>
      <c r="C430" s="2" t="str">
        <f t="shared" si="40"/>
        <v/>
      </c>
      <c r="D430" s="2" t="str">
        <f t="shared" si="41"/>
        <v>Y</v>
      </c>
      <c r="E430" s="2">
        <f t="shared" si="42"/>
        <v>0</v>
      </c>
      <c r="F430" s="2" t="str">
        <f t="shared" si="43"/>
        <v/>
      </c>
      <c r="H430" s="121" t="s">
        <v>427</v>
      </c>
      <c r="I430" s="92"/>
      <c r="J430" s="93"/>
      <c r="K430" s="93"/>
      <c r="L430" s="94"/>
      <c r="M430" s="100"/>
      <c r="N430" s="96"/>
      <c r="O430" s="97"/>
      <c r="P430" s="98"/>
      <c r="Q430" s="101"/>
      <c r="R430" s="78" t="str">
        <f t="shared" si="38"/>
        <v/>
      </c>
    </row>
    <row r="431" spans="2:18" x14ac:dyDescent="0.2">
      <c r="B431" s="2" t="str">
        <f t="shared" si="39"/>
        <v/>
      </c>
      <c r="C431" s="2" t="str">
        <f t="shared" si="40"/>
        <v/>
      </c>
      <c r="D431" s="2" t="str">
        <f t="shared" si="41"/>
        <v>Y</v>
      </c>
      <c r="E431" s="2">
        <f t="shared" si="42"/>
        <v>0</v>
      </c>
      <c r="F431" s="2" t="str">
        <f t="shared" si="43"/>
        <v/>
      </c>
      <c r="H431" s="121" t="s">
        <v>428</v>
      </c>
      <c r="I431" s="92"/>
      <c r="J431" s="93"/>
      <c r="K431" s="93"/>
      <c r="L431" s="94"/>
      <c r="M431" s="100"/>
      <c r="N431" s="96"/>
      <c r="O431" s="97"/>
      <c r="P431" s="98"/>
      <c r="Q431" s="101"/>
      <c r="R431" s="78" t="str">
        <f t="shared" si="38"/>
        <v/>
      </c>
    </row>
    <row r="432" spans="2:18" x14ac:dyDescent="0.2">
      <c r="B432" s="2" t="str">
        <f t="shared" si="39"/>
        <v/>
      </c>
      <c r="C432" s="2" t="str">
        <f t="shared" si="40"/>
        <v/>
      </c>
      <c r="D432" s="2" t="str">
        <f t="shared" si="41"/>
        <v>Y</v>
      </c>
      <c r="E432" s="2">
        <f t="shared" si="42"/>
        <v>0</v>
      </c>
      <c r="F432" s="2" t="str">
        <f t="shared" si="43"/>
        <v/>
      </c>
      <c r="H432" s="121" t="s">
        <v>429</v>
      </c>
      <c r="I432" s="92"/>
      <c r="J432" s="93"/>
      <c r="K432" s="93"/>
      <c r="L432" s="94"/>
      <c r="M432" s="100"/>
      <c r="N432" s="96"/>
      <c r="O432" s="97"/>
      <c r="P432" s="98"/>
      <c r="Q432" s="101"/>
      <c r="R432" s="78" t="str">
        <f t="shared" si="38"/>
        <v/>
      </c>
    </row>
    <row r="433" spans="2:18" x14ac:dyDescent="0.2">
      <c r="B433" s="2" t="str">
        <f t="shared" si="39"/>
        <v/>
      </c>
      <c r="C433" s="2" t="str">
        <f t="shared" si="40"/>
        <v/>
      </c>
      <c r="D433" s="2" t="str">
        <f t="shared" si="41"/>
        <v>Y</v>
      </c>
      <c r="E433" s="2">
        <f t="shared" si="42"/>
        <v>0</v>
      </c>
      <c r="F433" s="2" t="str">
        <f t="shared" si="43"/>
        <v/>
      </c>
      <c r="H433" s="121" t="s">
        <v>430</v>
      </c>
      <c r="I433" s="92"/>
      <c r="J433" s="93"/>
      <c r="K433" s="93"/>
      <c r="L433" s="94"/>
      <c r="M433" s="100"/>
      <c r="N433" s="96"/>
      <c r="O433" s="97"/>
      <c r="P433" s="98"/>
      <c r="Q433" s="101"/>
      <c r="R433" s="78" t="str">
        <f t="shared" si="38"/>
        <v/>
      </c>
    </row>
    <row r="434" spans="2:18" x14ac:dyDescent="0.2">
      <c r="B434" s="2" t="str">
        <f t="shared" si="39"/>
        <v/>
      </c>
      <c r="C434" s="2" t="str">
        <f t="shared" si="40"/>
        <v/>
      </c>
      <c r="D434" s="2" t="str">
        <f t="shared" si="41"/>
        <v>Y</v>
      </c>
      <c r="E434" s="2">
        <f t="shared" si="42"/>
        <v>0</v>
      </c>
      <c r="F434" s="2" t="str">
        <f t="shared" si="43"/>
        <v/>
      </c>
      <c r="H434" s="121" t="s">
        <v>431</v>
      </c>
      <c r="I434" s="92"/>
      <c r="J434" s="93"/>
      <c r="K434" s="93"/>
      <c r="L434" s="94"/>
      <c r="M434" s="100"/>
      <c r="N434" s="96"/>
      <c r="O434" s="97"/>
      <c r="P434" s="98"/>
      <c r="Q434" s="101"/>
      <c r="R434" s="78" t="str">
        <f t="shared" si="38"/>
        <v/>
      </c>
    </row>
    <row r="435" spans="2:18" x14ac:dyDescent="0.2">
      <c r="B435" s="2" t="str">
        <f t="shared" si="39"/>
        <v/>
      </c>
      <c r="C435" s="2" t="str">
        <f t="shared" si="40"/>
        <v/>
      </c>
      <c r="D435" s="2" t="str">
        <f t="shared" si="41"/>
        <v>Y</v>
      </c>
      <c r="E435" s="2">
        <f t="shared" si="42"/>
        <v>0</v>
      </c>
      <c r="F435" s="2" t="str">
        <f t="shared" si="43"/>
        <v/>
      </c>
      <c r="H435" s="121" t="s">
        <v>432</v>
      </c>
      <c r="I435" s="92"/>
      <c r="J435" s="93"/>
      <c r="K435" s="93"/>
      <c r="L435" s="94"/>
      <c r="M435" s="100"/>
      <c r="N435" s="96"/>
      <c r="O435" s="97"/>
      <c r="P435" s="98"/>
      <c r="Q435" s="101"/>
      <c r="R435" s="78" t="str">
        <f t="shared" si="38"/>
        <v/>
      </c>
    </row>
    <row r="436" spans="2:18" x14ac:dyDescent="0.2">
      <c r="B436" s="2" t="str">
        <f t="shared" si="39"/>
        <v/>
      </c>
      <c r="C436" s="2" t="str">
        <f t="shared" si="40"/>
        <v/>
      </c>
      <c r="D436" s="2" t="str">
        <f t="shared" si="41"/>
        <v>Y</v>
      </c>
      <c r="E436" s="2">
        <f t="shared" si="42"/>
        <v>0</v>
      </c>
      <c r="F436" s="2" t="str">
        <f t="shared" si="43"/>
        <v/>
      </c>
      <c r="H436" s="121" t="s">
        <v>433</v>
      </c>
      <c r="I436" s="92"/>
      <c r="J436" s="93"/>
      <c r="K436" s="93"/>
      <c r="L436" s="94"/>
      <c r="M436" s="100"/>
      <c r="N436" s="96"/>
      <c r="O436" s="97"/>
      <c r="P436" s="98"/>
      <c r="Q436" s="101"/>
      <c r="R436" s="78" t="str">
        <f t="shared" si="38"/>
        <v/>
      </c>
    </row>
    <row r="437" spans="2:18" x14ac:dyDescent="0.2">
      <c r="B437" s="2" t="str">
        <f t="shared" si="39"/>
        <v/>
      </c>
      <c r="C437" s="2" t="str">
        <f t="shared" si="40"/>
        <v/>
      </c>
      <c r="D437" s="2" t="str">
        <f t="shared" si="41"/>
        <v>Y</v>
      </c>
      <c r="E437" s="2">
        <f t="shared" si="42"/>
        <v>0</v>
      </c>
      <c r="F437" s="2" t="str">
        <f t="shared" si="43"/>
        <v/>
      </c>
      <c r="H437" s="121" t="s">
        <v>434</v>
      </c>
      <c r="I437" s="92"/>
      <c r="J437" s="93"/>
      <c r="K437" s="93"/>
      <c r="L437" s="94"/>
      <c r="M437" s="100"/>
      <c r="N437" s="96"/>
      <c r="O437" s="97"/>
      <c r="P437" s="98"/>
      <c r="Q437" s="101"/>
      <c r="R437" s="78" t="str">
        <f t="shared" si="38"/>
        <v/>
      </c>
    </row>
    <row r="438" spans="2:18" x14ac:dyDescent="0.2">
      <c r="B438" s="2" t="str">
        <f t="shared" si="39"/>
        <v/>
      </c>
      <c r="C438" s="2" t="str">
        <f t="shared" si="40"/>
        <v/>
      </c>
      <c r="D438" s="2" t="str">
        <f t="shared" si="41"/>
        <v>Y</v>
      </c>
      <c r="E438" s="2">
        <f t="shared" si="42"/>
        <v>0</v>
      </c>
      <c r="F438" s="2" t="str">
        <f t="shared" si="43"/>
        <v/>
      </c>
      <c r="H438" s="121" t="s">
        <v>435</v>
      </c>
      <c r="I438" s="92"/>
      <c r="J438" s="93"/>
      <c r="K438" s="93"/>
      <c r="L438" s="94"/>
      <c r="M438" s="100"/>
      <c r="N438" s="96"/>
      <c r="O438" s="97"/>
      <c r="P438" s="98"/>
      <c r="Q438" s="101"/>
      <c r="R438" s="78" t="str">
        <f t="shared" si="38"/>
        <v/>
      </c>
    </row>
    <row r="439" spans="2:18" x14ac:dyDescent="0.2">
      <c r="B439" s="2" t="str">
        <f t="shared" si="39"/>
        <v/>
      </c>
      <c r="C439" s="2" t="str">
        <f t="shared" si="40"/>
        <v/>
      </c>
      <c r="D439" s="2" t="str">
        <f t="shared" si="41"/>
        <v>Y</v>
      </c>
      <c r="E439" s="2">
        <f t="shared" si="42"/>
        <v>0</v>
      </c>
      <c r="F439" s="2" t="str">
        <f t="shared" si="43"/>
        <v/>
      </c>
      <c r="H439" s="121" t="s">
        <v>436</v>
      </c>
      <c r="I439" s="92"/>
      <c r="J439" s="93"/>
      <c r="K439" s="93"/>
      <c r="L439" s="94"/>
      <c r="M439" s="100"/>
      <c r="N439" s="96"/>
      <c r="O439" s="97"/>
      <c r="P439" s="98"/>
      <c r="Q439" s="101"/>
      <c r="R439" s="78" t="str">
        <f t="shared" si="38"/>
        <v/>
      </c>
    </row>
    <row r="440" spans="2:18" x14ac:dyDescent="0.2">
      <c r="B440" s="2" t="str">
        <f t="shared" si="39"/>
        <v/>
      </c>
      <c r="C440" s="2" t="str">
        <f t="shared" si="40"/>
        <v/>
      </c>
      <c r="D440" s="2" t="str">
        <f t="shared" si="41"/>
        <v>Y</v>
      </c>
      <c r="E440" s="2">
        <f t="shared" si="42"/>
        <v>0</v>
      </c>
      <c r="F440" s="2" t="str">
        <f t="shared" si="43"/>
        <v/>
      </c>
      <c r="H440" s="121" t="s">
        <v>437</v>
      </c>
      <c r="I440" s="92"/>
      <c r="J440" s="93"/>
      <c r="K440" s="93"/>
      <c r="L440" s="94"/>
      <c r="M440" s="100"/>
      <c r="N440" s="96"/>
      <c r="O440" s="97"/>
      <c r="P440" s="98"/>
      <c r="Q440" s="101"/>
      <c r="R440" s="78" t="str">
        <f t="shared" si="38"/>
        <v/>
      </c>
    </row>
    <row r="441" spans="2:18" x14ac:dyDescent="0.2">
      <c r="B441" s="2" t="str">
        <f t="shared" si="39"/>
        <v/>
      </c>
      <c r="C441" s="2" t="str">
        <f t="shared" si="40"/>
        <v/>
      </c>
      <c r="D441" s="2" t="str">
        <f t="shared" si="41"/>
        <v>Y</v>
      </c>
      <c r="E441" s="2">
        <f t="shared" si="42"/>
        <v>0</v>
      </c>
      <c r="F441" s="2" t="str">
        <f t="shared" si="43"/>
        <v/>
      </c>
      <c r="H441" s="121" t="s">
        <v>438</v>
      </c>
      <c r="I441" s="92"/>
      <c r="J441" s="93"/>
      <c r="K441" s="93"/>
      <c r="L441" s="94"/>
      <c r="M441" s="100"/>
      <c r="N441" s="96"/>
      <c r="O441" s="97"/>
      <c r="P441" s="98"/>
      <c r="Q441" s="101"/>
      <c r="R441" s="78" t="str">
        <f t="shared" si="38"/>
        <v/>
      </c>
    </row>
    <row r="442" spans="2:18" x14ac:dyDescent="0.2">
      <c r="B442" s="2" t="str">
        <f t="shared" si="39"/>
        <v/>
      </c>
      <c r="C442" s="2" t="str">
        <f t="shared" si="40"/>
        <v/>
      </c>
      <c r="D442" s="2" t="str">
        <f t="shared" si="41"/>
        <v>Y</v>
      </c>
      <c r="E442" s="2">
        <f t="shared" si="42"/>
        <v>0</v>
      </c>
      <c r="F442" s="2" t="str">
        <f t="shared" si="43"/>
        <v/>
      </c>
      <c r="H442" s="121" t="s">
        <v>439</v>
      </c>
      <c r="I442" s="92"/>
      <c r="J442" s="93"/>
      <c r="K442" s="93"/>
      <c r="L442" s="94"/>
      <c r="M442" s="100"/>
      <c r="N442" s="96"/>
      <c r="O442" s="97"/>
      <c r="P442" s="98"/>
      <c r="Q442" s="101"/>
      <c r="R442" s="78" t="str">
        <f t="shared" si="38"/>
        <v/>
      </c>
    </row>
    <row r="443" spans="2:18" x14ac:dyDescent="0.2">
      <c r="B443" s="2" t="str">
        <f t="shared" si="39"/>
        <v/>
      </c>
      <c r="C443" s="2" t="str">
        <f t="shared" si="40"/>
        <v/>
      </c>
      <c r="D443" s="2" t="str">
        <f t="shared" si="41"/>
        <v>Y</v>
      </c>
      <c r="E443" s="2">
        <f t="shared" si="42"/>
        <v>0</v>
      </c>
      <c r="F443" s="2" t="str">
        <f t="shared" si="43"/>
        <v/>
      </c>
      <c r="H443" s="121" t="s">
        <v>440</v>
      </c>
      <c r="I443" s="92"/>
      <c r="J443" s="93"/>
      <c r="K443" s="93"/>
      <c r="L443" s="94"/>
      <c r="M443" s="100"/>
      <c r="N443" s="96"/>
      <c r="O443" s="97"/>
      <c r="P443" s="98"/>
      <c r="Q443" s="101"/>
      <c r="R443" s="78" t="str">
        <f t="shared" si="38"/>
        <v/>
      </c>
    </row>
    <row r="444" spans="2:18" x14ac:dyDescent="0.2">
      <c r="B444" s="2" t="str">
        <f t="shared" si="39"/>
        <v/>
      </c>
      <c r="C444" s="2" t="str">
        <f t="shared" si="40"/>
        <v/>
      </c>
      <c r="D444" s="2" t="str">
        <f t="shared" si="41"/>
        <v>Y</v>
      </c>
      <c r="E444" s="2">
        <f t="shared" si="42"/>
        <v>0</v>
      </c>
      <c r="F444" s="2" t="str">
        <f t="shared" si="43"/>
        <v/>
      </c>
      <c r="H444" s="121" t="s">
        <v>441</v>
      </c>
      <c r="I444" s="92"/>
      <c r="J444" s="93"/>
      <c r="K444" s="93"/>
      <c r="L444" s="94"/>
      <c r="M444" s="100"/>
      <c r="N444" s="96"/>
      <c r="O444" s="97"/>
      <c r="P444" s="98"/>
      <c r="Q444" s="101"/>
      <c r="R444" s="78" t="str">
        <f t="shared" si="38"/>
        <v/>
      </c>
    </row>
    <row r="445" spans="2:18" x14ac:dyDescent="0.2">
      <c r="B445" s="2" t="str">
        <f t="shared" si="39"/>
        <v/>
      </c>
      <c r="C445" s="2" t="str">
        <f t="shared" si="40"/>
        <v/>
      </c>
      <c r="D445" s="2" t="str">
        <f t="shared" si="41"/>
        <v>Y</v>
      </c>
      <c r="E445" s="2">
        <f t="shared" si="42"/>
        <v>0</v>
      </c>
      <c r="F445" s="2" t="str">
        <f t="shared" si="43"/>
        <v/>
      </c>
      <c r="H445" s="121" t="s">
        <v>442</v>
      </c>
      <c r="I445" s="92"/>
      <c r="J445" s="93"/>
      <c r="K445" s="93"/>
      <c r="L445" s="94"/>
      <c r="M445" s="100"/>
      <c r="N445" s="96"/>
      <c r="O445" s="97"/>
      <c r="P445" s="98"/>
      <c r="Q445" s="101"/>
      <c r="R445" s="78" t="str">
        <f t="shared" si="38"/>
        <v/>
      </c>
    </row>
    <row r="446" spans="2:18" x14ac:dyDescent="0.2">
      <c r="B446" s="2" t="str">
        <f t="shared" si="39"/>
        <v/>
      </c>
      <c r="C446" s="2" t="str">
        <f t="shared" si="40"/>
        <v/>
      </c>
      <c r="D446" s="2" t="str">
        <f t="shared" si="41"/>
        <v>Y</v>
      </c>
      <c r="E446" s="2">
        <f t="shared" si="42"/>
        <v>0</v>
      </c>
      <c r="F446" s="2" t="str">
        <f t="shared" si="43"/>
        <v/>
      </c>
      <c r="H446" s="121" t="s">
        <v>443</v>
      </c>
      <c r="I446" s="92"/>
      <c r="J446" s="93"/>
      <c r="K446" s="93"/>
      <c r="L446" s="94"/>
      <c r="M446" s="100"/>
      <c r="N446" s="96"/>
      <c r="O446" s="97"/>
      <c r="P446" s="98"/>
      <c r="Q446" s="101"/>
      <c r="R446" s="78" t="str">
        <f t="shared" si="38"/>
        <v/>
      </c>
    </row>
    <row r="447" spans="2:18" x14ac:dyDescent="0.2">
      <c r="B447" s="2" t="str">
        <f t="shared" si="39"/>
        <v/>
      </c>
      <c r="C447" s="2" t="str">
        <f t="shared" si="40"/>
        <v/>
      </c>
      <c r="D447" s="2" t="str">
        <f t="shared" si="41"/>
        <v>Y</v>
      </c>
      <c r="E447" s="2">
        <f t="shared" si="42"/>
        <v>0</v>
      </c>
      <c r="F447" s="2" t="str">
        <f t="shared" si="43"/>
        <v/>
      </c>
      <c r="H447" s="121" t="s">
        <v>444</v>
      </c>
      <c r="I447" s="92"/>
      <c r="J447" s="93"/>
      <c r="K447" s="93"/>
      <c r="L447" s="94"/>
      <c r="M447" s="100"/>
      <c r="N447" s="96"/>
      <c r="O447" s="97"/>
      <c r="P447" s="98"/>
      <c r="Q447" s="101"/>
      <c r="R447" s="78" t="str">
        <f t="shared" si="38"/>
        <v/>
      </c>
    </row>
    <row r="448" spans="2:18" x14ac:dyDescent="0.2">
      <c r="B448" s="2" t="str">
        <f t="shared" si="39"/>
        <v/>
      </c>
      <c r="C448" s="2" t="str">
        <f t="shared" si="40"/>
        <v/>
      </c>
      <c r="D448" s="2" t="str">
        <f t="shared" si="41"/>
        <v>Y</v>
      </c>
      <c r="E448" s="2">
        <f t="shared" si="42"/>
        <v>0</v>
      </c>
      <c r="F448" s="2" t="str">
        <f t="shared" si="43"/>
        <v/>
      </c>
      <c r="H448" s="121" t="s">
        <v>445</v>
      </c>
      <c r="I448" s="92"/>
      <c r="J448" s="93"/>
      <c r="K448" s="93"/>
      <c r="L448" s="94"/>
      <c r="M448" s="100"/>
      <c r="N448" s="96"/>
      <c r="O448" s="97"/>
      <c r="P448" s="98"/>
      <c r="Q448" s="101"/>
      <c r="R448" s="78" t="str">
        <f t="shared" si="38"/>
        <v/>
      </c>
    </row>
    <row r="449" spans="2:18" x14ac:dyDescent="0.2">
      <c r="B449" s="2" t="str">
        <f t="shared" si="39"/>
        <v/>
      </c>
      <c r="C449" s="2" t="str">
        <f t="shared" si="40"/>
        <v/>
      </c>
      <c r="D449" s="2" t="str">
        <f t="shared" si="41"/>
        <v>Y</v>
      </c>
      <c r="E449" s="2">
        <f t="shared" si="42"/>
        <v>0</v>
      </c>
      <c r="F449" s="2" t="str">
        <f t="shared" si="43"/>
        <v/>
      </c>
      <c r="H449" s="121" t="s">
        <v>446</v>
      </c>
      <c r="I449" s="92"/>
      <c r="J449" s="93"/>
      <c r="K449" s="93"/>
      <c r="L449" s="94"/>
      <c r="M449" s="100"/>
      <c r="N449" s="96"/>
      <c r="O449" s="97"/>
      <c r="P449" s="98"/>
      <c r="Q449" s="101"/>
      <c r="R449" s="78" t="str">
        <f t="shared" si="38"/>
        <v/>
      </c>
    </row>
    <row r="450" spans="2:18" x14ac:dyDescent="0.2">
      <c r="B450" s="2" t="str">
        <f t="shared" si="39"/>
        <v/>
      </c>
      <c r="C450" s="2" t="str">
        <f t="shared" si="40"/>
        <v/>
      </c>
      <c r="D450" s="2" t="str">
        <f t="shared" si="41"/>
        <v>Y</v>
      </c>
      <c r="E450" s="2">
        <f t="shared" si="42"/>
        <v>0</v>
      </c>
      <c r="F450" s="2" t="str">
        <f t="shared" si="43"/>
        <v/>
      </c>
      <c r="H450" s="121" t="s">
        <v>447</v>
      </c>
      <c r="I450" s="92"/>
      <c r="J450" s="93"/>
      <c r="K450" s="93"/>
      <c r="L450" s="94"/>
      <c r="M450" s="100"/>
      <c r="N450" s="96"/>
      <c r="O450" s="97"/>
      <c r="P450" s="98"/>
      <c r="Q450" s="101"/>
      <c r="R450" s="78" t="str">
        <f t="shared" si="38"/>
        <v/>
      </c>
    </row>
    <row r="451" spans="2:18" x14ac:dyDescent="0.2">
      <c r="B451" s="2" t="str">
        <f t="shared" si="39"/>
        <v/>
      </c>
      <c r="C451" s="2" t="str">
        <f t="shared" si="40"/>
        <v/>
      </c>
      <c r="D451" s="2" t="str">
        <f t="shared" si="41"/>
        <v>Y</v>
      </c>
      <c r="E451" s="2">
        <f t="shared" si="42"/>
        <v>0</v>
      </c>
      <c r="F451" s="2" t="str">
        <f t="shared" si="43"/>
        <v/>
      </c>
      <c r="H451" s="121" t="s">
        <v>448</v>
      </c>
      <c r="I451" s="92"/>
      <c r="J451" s="93"/>
      <c r="K451" s="93"/>
      <c r="L451" s="94"/>
      <c r="M451" s="100"/>
      <c r="N451" s="96"/>
      <c r="O451" s="97"/>
      <c r="P451" s="98"/>
      <c r="Q451" s="101"/>
      <c r="R451" s="78" t="str">
        <f t="shared" si="38"/>
        <v/>
      </c>
    </row>
    <row r="452" spans="2:18" x14ac:dyDescent="0.2">
      <c r="B452" s="2" t="str">
        <f t="shared" si="39"/>
        <v/>
      </c>
      <c r="C452" s="2" t="str">
        <f t="shared" si="40"/>
        <v/>
      </c>
      <c r="D452" s="2" t="str">
        <f t="shared" si="41"/>
        <v>Y</v>
      </c>
      <c r="E452" s="2">
        <f t="shared" si="42"/>
        <v>0</v>
      </c>
      <c r="F452" s="2" t="str">
        <f t="shared" si="43"/>
        <v/>
      </c>
      <c r="H452" s="121" t="s">
        <v>449</v>
      </c>
      <c r="I452" s="92"/>
      <c r="J452" s="93"/>
      <c r="K452" s="93"/>
      <c r="L452" s="94"/>
      <c r="M452" s="100"/>
      <c r="N452" s="96"/>
      <c r="O452" s="97"/>
      <c r="P452" s="98"/>
      <c r="Q452" s="101"/>
      <c r="R452" s="78" t="str">
        <f t="shared" si="38"/>
        <v/>
      </c>
    </row>
    <row r="453" spans="2:18" x14ac:dyDescent="0.2">
      <c r="B453" s="2" t="str">
        <f t="shared" si="39"/>
        <v/>
      </c>
      <c r="C453" s="2" t="str">
        <f t="shared" si="40"/>
        <v/>
      </c>
      <c r="D453" s="2" t="str">
        <f t="shared" si="41"/>
        <v>Y</v>
      </c>
      <c r="E453" s="2">
        <f t="shared" si="42"/>
        <v>0</v>
      </c>
      <c r="F453" s="2" t="str">
        <f t="shared" si="43"/>
        <v/>
      </c>
      <c r="H453" s="121" t="s">
        <v>450</v>
      </c>
      <c r="I453" s="92"/>
      <c r="J453" s="93"/>
      <c r="K453" s="93"/>
      <c r="L453" s="94"/>
      <c r="M453" s="100"/>
      <c r="N453" s="96"/>
      <c r="O453" s="97"/>
      <c r="P453" s="98"/>
      <c r="Q453" s="101"/>
      <c r="R453" s="78" t="str">
        <f t="shared" si="38"/>
        <v/>
      </c>
    </row>
    <row r="454" spans="2:18" x14ac:dyDescent="0.2">
      <c r="B454" s="2" t="str">
        <f t="shared" si="39"/>
        <v/>
      </c>
      <c r="C454" s="2" t="str">
        <f t="shared" si="40"/>
        <v/>
      </c>
      <c r="D454" s="2" t="str">
        <f t="shared" si="41"/>
        <v>Y</v>
      </c>
      <c r="E454" s="2">
        <f t="shared" si="42"/>
        <v>0</v>
      </c>
      <c r="F454" s="2" t="str">
        <f t="shared" si="43"/>
        <v/>
      </c>
      <c r="H454" s="121" t="s">
        <v>451</v>
      </c>
      <c r="I454" s="92"/>
      <c r="J454" s="93"/>
      <c r="K454" s="93"/>
      <c r="L454" s="94"/>
      <c r="M454" s="100"/>
      <c r="N454" s="96"/>
      <c r="O454" s="97"/>
      <c r="P454" s="98"/>
      <c r="Q454" s="101"/>
      <c r="R454" s="78" t="str">
        <f t="shared" si="38"/>
        <v/>
      </c>
    </row>
    <row r="455" spans="2:18" x14ac:dyDescent="0.2">
      <c r="B455" s="2" t="str">
        <f t="shared" si="39"/>
        <v/>
      </c>
      <c r="C455" s="2" t="str">
        <f t="shared" si="40"/>
        <v/>
      </c>
      <c r="D455" s="2" t="str">
        <f t="shared" si="41"/>
        <v>Y</v>
      </c>
      <c r="E455" s="2">
        <f t="shared" si="42"/>
        <v>0</v>
      </c>
      <c r="F455" s="2" t="str">
        <f t="shared" si="43"/>
        <v/>
      </c>
      <c r="H455" s="121" t="s">
        <v>452</v>
      </c>
      <c r="I455" s="92"/>
      <c r="J455" s="93"/>
      <c r="K455" s="93"/>
      <c r="L455" s="94"/>
      <c r="M455" s="100"/>
      <c r="N455" s="96"/>
      <c r="O455" s="97"/>
      <c r="P455" s="98"/>
      <c r="Q455" s="101"/>
      <c r="R455" s="78" t="str">
        <f t="shared" si="38"/>
        <v/>
      </c>
    </row>
    <row r="456" spans="2:18" x14ac:dyDescent="0.2">
      <c r="B456" s="2" t="str">
        <f t="shared" si="39"/>
        <v/>
      </c>
      <c r="C456" s="2" t="str">
        <f t="shared" si="40"/>
        <v/>
      </c>
      <c r="D456" s="2" t="str">
        <f t="shared" si="41"/>
        <v>Y</v>
      </c>
      <c r="E456" s="2">
        <f t="shared" si="42"/>
        <v>0</v>
      </c>
      <c r="F456" s="2" t="str">
        <f t="shared" si="43"/>
        <v/>
      </c>
      <c r="H456" s="121" t="s">
        <v>453</v>
      </c>
      <c r="I456" s="92"/>
      <c r="J456" s="93"/>
      <c r="K456" s="93"/>
      <c r="L456" s="94"/>
      <c r="M456" s="100"/>
      <c r="N456" s="96"/>
      <c r="O456" s="97"/>
      <c r="P456" s="98"/>
      <c r="Q456" s="101"/>
      <c r="R456" s="78" t="str">
        <f t="shared" si="38"/>
        <v/>
      </c>
    </row>
    <row r="457" spans="2:18" x14ac:dyDescent="0.2">
      <c r="B457" s="2" t="str">
        <f t="shared" si="39"/>
        <v/>
      </c>
      <c r="C457" s="2" t="str">
        <f t="shared" si="40"/>
        <v/>
      </c>
      <c r="D457" s="2" t="str">
        <f t="shared" si="41"/>
        <v>Y</v>
      </c>
      <c r="E457" s="2">
        <f t="shared" si="42"/>
        <v>0</v>
      </c>
      <c r="F457" s="2" t="str">
        <f t="shared" si="43"/>
        <v/>
      </c>
      <c r="H457" s="121" t="s">
        <v>454</v>
      </c>
      <c r="I457" s="92"/>
      <c r="J457" s="93"/>
      <c r="K457" s="93"/>
      <c r="L457" s="94"/>
      <c r="M457" s="100"/>
      <c r="N457" s="96"/>
      <c r="O457" s="97"/>
      <c r="P457" s="98"/>
      <c r="Q457" s="101"/>
      <c r="R457" s="78" t="str">
        <f t="shared" si="38"/>
        <v/>
      </c>
    </row>
    <row r="458" spans="2:18" x14ac:dyDescent="0.2">
      <c r="B458" s="2" t="str">
        <f t="shared" si="39"/>
        <v/>
      </c>
      <c r="C458" s="2" t="str">
        <f t="shared" si="40"/>
        <v/>
      </c>
      <c r="D458" s="2" t="str">
        <f t="shared" si="41"/>
        <v>Y</v>
      </c>
      <c r="E458" s="2">
        <f t="shared" si="42"/>
        <v>0</v>
      </c>
      <c r="F458" s="2" t="str">
        <f t="shared" si="43"/>
        <v/>
      </c>
      <c r="H458" s="121" t="s">
        <v>455</v>
      </c>
      <c r="I458" s="92"/>
      <c r="J458" s="93"/>
      <c r="K458" s="93"/>
      <c r="L458" s="94"/>
      <c r="M458" s="100"/>
      <c r="N458" s="96"/>
      <c r="O458" s="97"/>
      <c r="P458" s="98"/>
      <c r="Q458" s="101"/>
      <c r="R458" s="78" t="str">
        <f t="shared" si="38"/>
        <v/>
      </c>
    </row>
    <row r="459" spans="2:18" x14ac:dyDescent="0.2">
      <c r="B459" s="2" t="str">
        <f t="shared" si="39"/>
        <v/>
      </c>
      <c r="C459" s="2" t="str">
        <f t="shared" si="40"/>
        <v/>
      </c>
      <c r="D459" s="2" t="str">
        <f t="shared" si="41"/>
        <v>Y</v>
      </c>
      <c r="E459" s="2">
        <f t="shared" si="42"/>
        <v>0</v>
      </c>
      <c r="F459" s="2" t="str">
        <f t="shared" si="43"/>
        <v/>
      </c>
      <c r="H459" s="121" t="s">
        <v>456</v>
      </c>
      <c r="I459" s="92"/>
      <c r="J459" s="93"/>
      <c r="K459" s="93"/>
      <c r="L459" s="94"/>
      <c r="M459" s="100"/>
      <c r="N459" s="96"/>
      <c r="O459" s="97"/>
      <c r="P459" s="98"/>
      <c r="Q459" s="101"/>
      <c r="R459" s="78" t="str">
        <f t="shared" ref="R459:R522" si="44">IF(ISERROR(VLOOKUP(K459,LB_PROJECTS,2,FALSE)),"",VLOOKUP(K459,LB_PROJECTS,2,FALSE))</f>
        <v/>
      </c>
    </row>
    <row r="460" spans="2:18" x14ac:dyDescent="0.2">
      <c r="B460" s="2" t="str">
        <f t="shared" ref="B460:B523" si="45">IF(M460="","",IF(WEEKNUM(M460)&lt;10,VALUE(CONCATENATE(YEAR(M460),"0",WEEKNUM(M460))),VALUE(CONCATENATE(YEAR(M460),WEEKNUM(M460)))))</f>
        <v/>
      </c>
      <c r="C460" s="2" t="str">
        <f t="shared" ref="C460:C523" si="46">IF(P460="","",IF(WEEKNUM(P460)&lt;10,VALUE(CONCATENATE(YEAR(P460),"0",WEEKNUM(P460))),VALUE(CONCATENATE(YEAR(P460),WEEKNUM(P460)))))</f>
        <v/>
      </c>
      <c r="D460" s="2" t="str">
        <f t="shared" ref="D460:D523" si="47">IF(OR(O460="Not started",O460="In progress"),"N",IF(OR(O460="N/A",O460="Suspended",O460="Canceled"),"","Y"))</f>
        <v>Y</v>
      </c>
      <c r="E460" s="2">
        <f t="shared" ref="E460:E523" si="48">IF(OR(O460="Not started",O460="In progress",O460="Applied",O460="Closed"),1,0)</f>
        <v>0</v>
      </c>
      <c r="F460" s="2" t="str">
        <f t="shared" si="43"/>
        <v/>
      </c>
      <c r="H460" s="121" t="s">
        <v>457</v>
      </c>
      <c r="I460" s="92"/>
      <c r="J460" s="93"/>
      <c r="K460" s="93"/>
      <c r="L460" s="94"/>
      <c r="M460" s="100"/>
      <c r="N460" s="96"/>
      <c r="O460" s="97"/>
      <c r="P460" s="98"/>
      <c r="Q460" s="101"/>
      <c r="R460" s="78" t="str">
        <f t="shared" si="44"/>
        <v/>
      </c>
    </row>
    <row r="461" spans="2:18" x14ac:dyDescent="0.2">
      <c r="B461" s="2" t="str">
        <f t="shared" si="45"/>
        <v/>
      </c>
      <c r="C461" s="2" t="str">
        <f t="shared" si="46"/>
        <v/>
      </c>
      <c r="D461" s="2" t="str">
        <f t="shared" si="47"/>
        <v>Y</v>
      </c>
      <c r="E461" s="2">
        <f t="shared" si="48"/>
        <v>0</v>
      </c>
      <c r="F461" s="2" t="str">
        <f t="shared" si="43"/>
        <v/>
      </c>
      <c r="H461" s="121" t="s">
        <v>458</v>
      </c>
      <c r="I461" s="92"/>
      <c r="J461" s="93"/>
      <c r="K461" s="93"/>
      <c r="L461" s="94"/>
      <c r="M461" s="100"/>
      <c r="N461" s="96"/>
      <c r="O461" s="97"/>
      <c r="P461" s="98"/>
      <c r="Q461" s="101"/>
      <c r="R461" s="78" t="str">
        <f t="shared" si="44"/>
        <v/>
      </c>
    </row>
    <row r="462" spans="2:18" x14ac:dyDescent="0.2">
      <c r="B462" s="2" t="str">
        <f t="shared" si="45"/>
        <v/>
      </c>
      <c r="C462" s="2" t="str">
        <f t="shared" si="46"/>
        <v/>
      </c>
      <c r="D462" s="2" t="str">
        <f t="shared" si="47"/>
        <v>Y</v>
      </c>
      <c r="E462" s="2">
        <f t="shared" si="48"/>
        <v>0</v>
      </c>
      <c r="F462" s="2" t="str">
        <f t="shared" ref="F462:F525" si="49">IF(N462="",B462,IF(WEEKNUM(N462)&lt;10,VALUE(CONCATENATE(YEAR(N462),"0",WEEKNUM(N462))),VALUE(CONCATENATE(YEAR(N462),WEEKNUM(N462)))))</f>
        <v/>
      </c>
      <c r="H462" s="121" t="s">
        <v>459</v>
      </c>
      <c r="I462" s="92"/>
      <c r="J462" s="93"/>
      <c r="K462" s="93"/>
      <c r="L462" s="94"/>
      <c r="M462" s="100"/>
      <c r="N462" s="96"/>
      <c r="O462" s="97"/>
      <c r="P462" s="98"/>
      <c r="Q462" s="101"/>
      <c r="R462" s="78" t="str">
        <f t="shared" si="44"/>
        <v/>
      </c>
    </row>
    <row r="463" spans="2:18" x14ac:dyDescent="0.2">
      <c r="B463" s="2" t="str">
        <f t="shared" si="45"/>
        <v/>
      </c>
      <c r="C463" s="2" t="str">
        <f t="shared" si="46"/>
        <v/>
      </c>
      <c r="D463" s="2" t="str">
        <f t="shared" si="47"/>
        <v>Y</v>
      </c>
      <c r="E463" s="2">
        <f t="shared" si="48"/>
        <v>0</v>
      </c>
      <c r="F463" s="2" t="str">
        <f t="shared" si="49"/>
        <v/>
      </c>
      <c r="H463" s="121" t="s">
        <v>460</v>
      </c>
      <c r="I463" s="92"/>
      <c r="J463" s="93"/>
      <c r="K463" s="93"/>
      <c r="L463" s="94"/>
      <c r="M463" s="100"/>
      <c r="N463" s="96"/>
      <c r="O463" s="97"/>
      <c r="P463" s="98"/>
      <c r="Q463" s="101"/>
      <c r="R463" s="78" t="str">
        <f t="shared" si="44"/>
        <v/>
      </c>
    </row>
    <row r="464" spans="2:18" x14ac:dyDescent="0.2">
      <c r="B464" s="2" t="str">
        <f t="shared" si="45"/>
        <v/>
      </c>
      <c r="C464" s="2" t="str">
        <f t="shared" si="46"/>
        <v/>
      </c>
      <c r="D464" s="2" t="str">
        <f t="shared" si="47"/>
        <v>Y</v>
      </c>
      <c r="E464" s="2">
        <f t="shared" si="48"/>
        <v>0</v>
      </c>
      <c r="F464" s="2" t="str">
        <f t="shared" si="49"/>
        <v/>
      </c>
      <c r="H464" s="121" t="s">
        <v>461</v>
      </c>
      <c r="I464" s="92"/>
      <c r="J464" s="93"/>
      <c r="K464" s="93"/>
      <c r="L464" s="94"/>
      <c r="M464" s="100"/>
      <c r="N464" s="96"/>
      <c r="O464" s="97"/>
      <c r="P464" s="98"/>
      <c r="Q464" s="101"/>
      <c r="R464" s="78" t="str">
        <f t="shared" si="44"/>
        <v/>
      </c>
    </row>
    <row r="465" spans="2:18" x14ac:dyDescent="0.2">
      <c r="B465" s="2" t="str">
        <f t="shared" si="45"/>
        <v/>
      </c>
      <c r="C465" s="2" t="str">
        <f t="shared" si="46"/>
        <v/>
      </c>
      <c r="D465" s="2" t="str">
        <f t="shared" si="47"/>
        <v>Y</v>
      </c>
      <c r="E465" s="2">
        <f t="shared" si="48"/>
        <v>0</v>
      </c>
      <c r="F465" s="2" t="str">
        <f t="shared" si="49"/>
        <v/>
      </c>
      <c r="H465" s="121" t="s">
        <v>462</v>
      </c>
      <c r="I465" s="92"/>
      <c r="J465" s="93"/>
      <c r="K465" s="93"/>
      <c r="L465" s="94"/>
      <c r="M465" s="100"/>
      <c r="N465" s="96"/>
      <c r="O465" s="97"/>
      <c r="P465" s="98"/>
      <c r="Q465" s="101"/>
      <c r="R465" s="78" t="str">
        <f t="shared" si="44"/>
        <v/>
      </c>
    </row>
    <row r="466" spans="2:18" x14ac:dyDescent="0.2">
      <c r="B466" s="2" t="str">
        <f t="shared" si="45"/>
        <v/>
      </c>
      <c r="C466" s="2" t="str">
        <f t="shared" si="46"/>
        <v/>
      </c>
      <c r="D466" s="2" t="str">
        <f t="shared" si="47"/>
        <v>Y</v>
      </c>
      <c r="E466" s="2">
        <f t="shared" si="48"/>
        <v>0</v>
      </c>
      <c r="F466" s="2" t="str">
        <f t="shared" si="49"/>
        <v/>
      </c>
      <c r="H466" s="121" t="s">
        <v>463</v>
      </c>
      <c r="I466" s="92"/>
      <c r="J466" s="93"/>
      <c r="K466" s="93"/>
      <c r="L466" s="94"/>
      <c r="M466" s="100"/>
      <c r="N466" s="96"/>
      <c r="O466" s="97"/>
      <c r="P466" s="98"/>
      <c r="Q466" s="101"/>
      <c r="R466" s="78" t="str">
        <f t="shared" si="44"/>
        <v/>
      </c>
    </row>
    <row r="467" spans="2:18" x14ac:dyDescent="0.2">
      <c r="B467" s="2" t="str">
        <f t="shared" si="45"/>
        <v/>
      </c>
      <c r="C467" s="2" t="str">
        <f t="shared" si="46"/>
        <v/>
      </c>
      <c r="D467" s="2" t="str">
        <f t="shared" si="47"/>
        <v>Y</v>
      </c>
      <c r="E467" s="2">
        <f t="shared" si="48"/>
        <v>0</v>
      </c>
      <c r="F467" s="2" t="str">
        <f t="shared" si="49"/>
        <v/>
      </c>
      <c r="H467" s="121" t="s">
        <v>464</v>
      </c>
      <c r="I467" s="92"/>
      <c r="J467" s="93"/>
      <c r="K467" s="93"/>
      <c r="L467" s="94"/>
      <c r="M467" s="100"/>
      <c r="N467" s="96"/>
      <c r="O467" s="97"/>
      <c r="P467" s="98"/>
      <c r="Q467" s="101"/>
      <c r="R467" s="78" t="str">
        <f t="shared" si="44"/>
        <v/>
      </c>
    </row>
    <row r="468" spans="2:18" x14ac:dyDescent="0.2">
      <c r="B468" s="2" t="str">
        <f t="shared" si="45"/>
        <v/>
      </c>
      <c r="C468" s="2" t="str">
        <f t="shared" si="46"/>
        <v/>
      </c>
      <c r="D468" s="2" t="str">
        <f t="shared" si="47"/>
        <v>Y</v>
      </c>
      <c r="E468" s="2">
        <f t="shared" si="48"/>
        <v>0</v>
      </c>
      <c r="F468" s="2" t="str">
        <f t="shared" si="49"/>
        <v/>
      </c>
      <c r="H468" s="121" t="s">
        <v>465</v>
      </c>
      <c r="I468" s="92"/>
      <c r="J468" s="93"/>
      <c r="K468" s="93"/>
      <c r="L468" s="94"/>
      <c r="M468" s="100"/>
      <c r="N468" s="96"/>
      <c r="O468" s="97"/>
      <c r="P468" s="98"/>
      <c r="Q468" s="101"/>
      <c r="R468" s="78" t="str">
        <f t="shared" si="44"/>
        <v/>
      </c>
    </row>
    <row r="469" spans="2:18" x14ac:dyDescent="0.2">
      <c r="B469" s="2" t="str">
        <f t="shared" si="45"/>
        <v/>
      </c>
      <c r="C469" s="2" t="str">
        <f t="shared" si="46"/>
        <v/>
      </c>
      <c r="D469" s="2" t="str">
        <f t="shared" si="47"/>
        <v>Y</v>
      </c>
      <c r="E469" s="2">
        <f t="shared" si="48"/>
        <v>0</v>
      </c>
      <c r="F469" s="2" t="str">
        <f t="shared" si="49"/>
        <v/>
      </c>
      <c r="H469" s="121" t="s">
        <v>466</v>
      </c>
      <c r="I469" s="92"/>
      <c r="J469" s="93"/>
      <c r="K469" s="93"/>
      <c r="L469" s="94"/>
      <c r="M469" s="100"/>
      <c r="N469" s="96"/>
      <c r="O469" s="97"/>
      <c r="P469" s="98"/>
      <c r="Q469" s="101"/>
      <c r="R469" s="78" t="str">
        <f t="shared" si="44"/>
        <v/>
      </c>
    </row>
    <row r="470" spans="2:18" x14ac:dyDescent="0.2">
      <c r="B470" s="2" t="str">
        <f t="shared" si="45"/>
        <v/>
      </c>
      <c r="C470" s="2" t="str">
        <f t="shared" si="46"/>
        <v/>
      </c>
      <c r="D470" s="2" t="str">
        <f t="shared" si="47"/>
        <v>Y</v>
      </c>
      <c r="E470" s="2">
        <f t="shared" si="48"/>
        <v>0</v>
      </c>
      <c r="F470" s="2" t="str">
        <f t="shared" si="49"/>
        <v/>
      </c>
      <c r="H470" s="121" t="s">
        <v>467</v>
      </c>
      <c r="I470" s="92"/>
      <c r="J470" s="93"/>
      <c r="K470" s="93"/>
      <c r="L470" s="94"/>
      <c r="M470" s="100"/>
      <c r="N470" s="96"/>
      <c r="O470" s="97"/>
      <c r="P470" s="98"/>
      <c r="Q470" s="101"/>
      <c r="R470" s="78" t="str">
        <f t="shared" si="44"/>
        <v/>
      </c>
    </row>
    <row r="471" spans="2:18" x14ac:dyDescent="0.2">
      <c r="B471" s="2" t="str">
        <f t="shared" si="45"/>
        <v/>
      </c>
      <c r="C471" s="2" t="str">
        <f t="shared" si="46"/>
        <v/>
      </c>
      <c r="D471" s="2" t="str">
        <f t="shared" si="47"/>
        <v>Y</v>
      </c>
      <c r="E471" s="2">
        <f t="shared" si="48"/>
        <v>0</v>
      </c>
      <c r="F471" s="2" t="str">
        <f t="shared" si="49"/>
        <v/>
      </c>
      <c r="H471" s="121" t="s">
        <v>468</v>
      </c>
      <c r="I471" s="92"/>
      <c r="J471" s="93"/>
      <c r="K471" s="93"/>
      <c r="L471" s="94"/>
      <c r="M471" s="100"/>
      <c r="N471" s="96"/>
      <c r="O471" s="97"/>
      <c r="P471" s="98"/>
      <c r="Q471" s="101"/>
      <c r="R471" s="78" t="str">
        <f t="shared" si="44"/>
        <v/>
      </c>
    </row>
    <row r="472" spans="2:18" x14ac:dyDescent="0.2">
      <c r="B472" s="2" t="str">
        <f t="shared" si="45"/>
        <v/>
      </c>
      <c r="C472" s="2" t="str">
        <f t="shared" si="46"/>
        <v/>
      </c>
      <c r="D472" s="2" t="str">
        <f t="shared" si="47"/>
        <v>Y</v>
      </c>
      <c r="E472" s="2">
        <f t="shared" si="48"/>
        <v>0</v>
      </c>
      <c r="F472" s="2" t="str">
        <f t="shared" si="49"/>
        <v/>
      </c>
      <c r="H472" s="121" t="s">
        <v>469</v>
      </c>
      <c r="I472" s="92"/>
      <c r="J472" s="93"/>
      <c r="K472" s="93"/>
      <c r="L472" s="94"/>
      <c r="M472" s="100"/>
      <c r="N472" s="96"/>
      <c r="O472" s="97"/>
      <c r="P472" s="98"/>
      <c r="Q472" s="101"/>
      <c r="R472" s="78" t="str">
        <f t="shared" si="44"/>
        <v/>
      </c>
    </row>
    <row r="473" spans="2:18" x14ac:dyDescent="0.2">
      <c r="B473" s="2" t="str">
        <f t="shared" si="45"/>
        <v/>
      </c>
      <c r="C473" s="2" t="str">
        <f t="shared" si="46"/>
        <v/>
      </c>
      <c r="D473" s="2" t="str">
        <f t="shared" si="47"/>
        <v>Y</v>
      </c>
      <c r="E473" s="2">
        <f t="shared" si="48"/>
        <v>0</v>
      </c>
      <c r="F473" s="2" t="str">
        <f t="shared" si="49"/>
        <v/>
      </c>
      <c r="H473" s="121" t="s">
        <v>470</v>
      </c>
      <c r="I473" s="92"/>
      <c r="J473" s="93"/>
      <c r="K473" s="93"/>
      <c r="L473" s="94"/>
      <c r="M473" s="100"/>
      <c r="N473" s="96"/>
      <c r="O473" s="97"/>
      <c r="P473" s="98"/>
      <c r="Q473" s="101"/>
      <c r="R473" s="78" t="str">
        <f t="shared" si="44"/>
        <v/>
      </c>
    </row>
    <row r="474" spans="2:18" x14ac:dyDescent="0.2">
      <c r="B474" s="2" t="str">
        <f t="shared" si="45"/>
        <v/>
      </c>
      <c r="C474" s="2" t="str">
        <f t="shared" si="46"/>
        <v/>
      </c>
      <c r="D474" s="2" t="str">
        <f t="shared" si="47"/>
        <v>Y</v>
      </c>
      <c r="E474" s="2">
        <f t="shared" si="48"/>
        <v>0</v>
      </c>
      <c r="F474" s="2" t="str">
        <f t="shared" si="49"/>
        <v/>
      </c>
      <c r="H474" s="121" t="s">
        <v>471</v>
      </c>
      <c r="I474" s="92"/>
      <c r="J474" s="93"/>
      <c r="K474" s="93"/>
      <c r="L474" s="94"/>
      <c r="M474" s="100"/>
      <c r="N474" s="96"/>
      <c r="O474" s="97"/>
      <c r="P474" s="98"/>
      <c r="Q474" s="101"/>
      <c r="R474" s="78" t="str">
        <f t="shared" si="44"/>
        <v/>
      </c>
    </row>
    <row r="475" spans="2:18" x14ac:dyDescent="0.2">
      <c r="B475" s="2" t="str">
        <f t="shared" si="45"/>
        <v/>
      </c>
      <c r="C475" s="2" t="str">
        <f t="shared" si="46"/>
        <v/>
      </c>
      <c r="D475" s="2" t="str">
        <f t="shared" si="47"/>
        <v>Y</v>
      </c>
      <c r="E475" s="2">
        <f t="shared" si="48"/>
        <v>0</v>
      </c>
      <c r="F475" s="2" t="str">
        <f t="shared" si="49"/>
        <v/>
      </c>
      <c r="H475" s="121" t="s">
        <v>472</v>
      </c>
      <c r="I475" s="92"/>
      <c r="J475" s="93"/>
      <c r="K475" s="93"/>
      <c r="L475" s="94"/>
      <c r="M475" s="100"/>
      <c r="N475" s="96"/>
      <c r="O475" s="97"/>
      <c r="P475" s="98"/>
      <c r="Q475" s="101"/>
      <c r="R475" s="78" t="str">
        <f t="shared" si="44"/>
        <v/>
      </c>
    </row>
    <row r="476" spans="2:18" x14ac:dyDescent="0.2">
      <c r="B476" s="2" t="str">
        <f t="shared" si="45"/>
        <v/>
      </c>
      <c r="C476" s="2" t="str">
        <f t="shared" si="46"/>
        <v/>
      </c>
      <c r="D476" s="2" t="str">
        <f t="shared" si="47"/>
        <v>Y</v>
      </c>
      <c r="E476" s="2">
        <f t="shared" si="48"/>
        <v>0</v>
      </c>
      <c r="F476" s="2" t="str">
        <f t="shared" si="49"/>
        <v/>
      </c>
      <c r="H476" s="121" t="s">
        <v>473</v>
      </c>
      <c r="I476" s="92"/>
      <c r="J476" s="93"/>
      <c r="K476" s="93"/>
      <c r="L476" s="94"/>
      <c r="M476" s="100"/>
      <c r="N476" s="96"/>
      <c r="O476" s="97"/>
      <c r="P476" s="98"/>
      <c r="Q476" s="101"/>
      <c r="R476" s="78" t="str">
        <f t="shared" si="44"/>
        <v/>
      </c>
    </row>
    <row r="477" spans="2:18" x14ac:dyDescent="0.2">
      <c r="B477" s="2" t="str">
        <f t="shared" si="45"/>
        <v/>
      </c>
      <c r="C477" s="2" t="str">
        <f t="shared" si="46"/>
        <v/>
      </c>
      <c r="D477" s="2" t="str">
        <f t="shared" si="47"/>
        <v>Y</v>
      </c>
      <c r="E477" s="2">
        <f t="shared" si="48"/>
        <v>0</v>
      </c>
      <c r="F477" s="2" t="str">
        <f t="shared" si="49"/>
        <v/>
      </c>
      <c r="H477" s="121" t="s">
        <v>474</v>
      </c>
      <c r="I477" s="92"/>
      <c r="J477" s="93"/>
      <c r="K477" s="93"/>
      <c r="L477" s="94"/>
      <c r="M477" s="100"/>
      <c r="N477" s="96"/>
      <c r="O477" s="97"/>
      <c r="P477" s="98"/>
      <c r="Q477" s="101"/>
      <c r="R477" s="78" t="str">
        <f t="shared" si="44"/>
        <v/>
      </c>
    </row>
    <row r="478" spans="2:18" x14ac:dyDescent="0.2">
      <c r="B478" s="2" t="str">
        <f t="shared" si="45"/>
        <v/>
      </c>
      <c r="C478" s="2" t="str">
        <f t="shared" si="46"/>
        <v/>
      </c>
      <c r="D478" s="2" t="str">
        <f t="shared" si="47"/>
        <v>Y</v>
      </c>
      <c r="E478" s="2">
        <f t="shared" si="48"/>
        <v>0</v>
      </c>
      <c r="F478" s="2" t="str">
        <f t="shared" si="49"/>
        <v/>
      </c>
      <c r="H478" s="121" t="s">
        <v>475</v>
      </c>
      <c r="I478" s="92"/>
      <c r="J478" s="93"/>
      <c r="K478" s="93"/>
      <c r="L478" s="94"/>
      <c r="M478" s="100"/>
      <c r="N478" s="96"/>
      <c r="O478" s="97"/>
      <c r="P478" s="98"/>
      <c r="Q478" s="101"/>
      <c r="R478" s="78" t="str">
        <f t="shared" si="44"/>
        <v/>
      </c>
    </row>
    <row r="479" spans="2:18" x14ac:dyDescent="0.2">
      <c r="B479" s="2" t="str">
        <f t="shared" si="45"/>
        <v/>
      </c>
      <c r="C479" s="2" t="str">
        <f t="shared" si="46"/>
        <v/>
      </c>
      <c r="D479" s="2" t="str">
        <f t="shared" si="47"/>
        <v>Y</v>
      </c>
      <c r="E479" s="2">
        <f t="shared" si="48"/>
        <v>0</v>
      </c>
      <c r="F479" s="2" t="str">
        <f t="shared" si="49"/>
        <v/>
      </c>
      <c r="H479" s="121" t="s">
        <v>476</v>
      </c>
      <c r="I479" s="92"/>
      <c r="J479" s="93"/>
      <c r="K479" s="93"/>
      <c r="L479" s="94"/>
      <c r="M479" s="100"/>
      <c r="N479" s="96"/>
      <c r="O479" s="97"/>
      <c r="P479" s="98"/>
      <c r="Q479" s="101"/>
      <c r="R479" s="78" t="str">
        <f t="shared" si="44"/>
        <v/>
      </c>
    </row>
    <row r="480" spans="2:18" x14ac:dyDescent="0.2">
      <c r="B480" s="2" t="str">
        <f t="shared" si="45"/>
        <v/>
      </c>
      <c r="C480" s="2" t="str">
        <f t="shared" si="46"/>
        <v/>
      </c>
      <c r="D480" s="2" t="str">
        <f t="shared" si="47"/>
        <v>Y</v>
      </c>
      <c r="E480" s="2">
        <f t="shared" si="48"/>
        <v>0</v>
      </c>
      <c r="F480" s="2" t="str">
        <f t="shared" si="49"/>
        <v/>
      </c>
      <c r="H480" s="121" t="s">
        <v>477</v>
      </c>
      <c r="I480" s="92"/>
      <c r="J480" s="93"/>
      <c r="K480" s="93"/>
      <c r="L480" s="94"/>
      <c r="M480" s="100"/>
      <c r="N480" s="96"/>
      <c r="O480" s="97"/>
      <c r="P480" s="98"/>
      <c r="Q480" s="101"/>
      <c r="R480" s="78" t="str">
        <f t="shared" si="44"/>
        <v/>
      </c>
    </row>
    <row r="481" spans="2:18" x14ac:dyDescent="0.2">
      <c r="B481" s="2" t="str">
        <f t="shared" si="45"/>
        <v/>
      </c>
      <c r="C481" s="2" t="str">
        <f t="shared" si="46"/>
        <v/>
      </c>
      <c r="D481" s="2" t="str">
        <f t="shared" si="47"/>
        <v>Y</v>
      </c>
      <c r="E481" s="2">
        <f t="shared" si="48"/>
        <v>0</v>
      </c>
      <c r="F481" s="2" t="str">
        <f t="shared" si="49"/>
        <v/>
      </c>
      <c r="H481" s="121" t="s">
        <v>478</v>
      </c>
      <c r="I481" s="92"/>
      <c r="J481" s="93"/>
      <c r="K481" s="93"/>
      <c r="L481" s="94"/>
      <c r="M481" s="100"/>
      <c r="N481" s="96"/>
      <c r="O481" s="97"/>
      <c r="P481" s="98"/>
      <c r="Q481" s="101"/>
      <c r="R481" s="78" t="str">
        <f t="shared" si="44"/>
        <v/>
      </c>
    </row>
    <row r="482" spans="2:18" x14ac:dyDescent="0.2">
      <c r="B482" s="2" t="str">
        <f t="shared" si="45"/>
        <v/>
      </c>
      <c r="C482" s="2" t="str">
        <f t="shared" si="46"/>
        <v/>
      </c>
      <c r="D482" s="2" t="str">
        <f t="shared" si="47"/>
        <v>Y</v>
      </c>
      <c r="E482" s="2">
        <f t="shared" si="48"/>
        <v>0</v>
      </c>
      <c r="F482" s="2" t="str">
        <f t="shared" si="49"/>
        <v/>
      </c>
      <c r="H482" s="121" t="s">
        <v>479</v>
      </c>
      <c r="I482" s="92"/>
      <c r="J482" s="93"/>
      <c r="K482" s="93"/>
      <c r="L482" s="94"/>
      <c r="M482" s="100"/>
      <c r="N482" s="96"/>
      <c r="O482" s="97"/>
      <c r="P482" s="98"/>
      <c r="Q482" s="101"/>
      <c r="R482" s="78" t="str">
        <f t="shared" si="44"/>
        <v/>
      </c>
    </row>
    <row r="483" spans="2:18" x14ac:dyDescent="0.2">
      <c r="B483" s="2" t="str">
        <f t="shared" si="45"/>
        <v/>
      </c>
      <c r="C483" s="2" t="str">
        <f t="shared" si="46"/>
        <v/>
      </c>
      <c r="D483" s="2" t="str">
        <f t="shared" si="47"/>
        <v>Y</v>
      </c>
      <c r="E483" s="2">
        <f t="shared" si="48"/>
        <v>0</v>
      </c>
      <c r="F483" s="2" t="str">
        <f t="shared" si="49"/>
        <v/>
      </c>
      <c r="H483" s="121" t="s">
        <v>480</v>
      </c>
      <c r="I483" s="92"/>
      <c r="J483" s="93"/>
      <c r="K483" s="93"/>
      <c r="L483" s="94"/>
      <c r="M483" s="100"/>
      <c r="N483" s="96"/>
      <c r="O483" s="97"/>
      <c r="P483" s="98"/>
      <c r="Q483" s="101"/>
      <c r="R483" s="78" t="str">
        <f t="shared" si="44"/>
        <v/>
      </c>
    </row>
    <row r="484" spans="2:18" x14ac:dyDescent="0.2">
      <c r="B484" s="2" t="str">
        <f t="shared" si="45"/>
        <v/>
      </c>
      <c r="C484" s="2" t="str">
        <f t="shared" si="46"/>
        <v/>
      </c>
      <c r="D484" s="2" t="str">
        <f t="shared" si="47"/>
        <v>Y</v>
      </c>
      <c r="E484" s="2">
        <f t="shared" si="48"/>
        <v>0</v>
      </c>
      <c r="F484" s="2" t="str">
        <f t="shared" si="49"/>
        <v/>
      </c>
      <c r="H484" s="121" t="s">
        <v>481</v>
      </c>
      <c r="I484" s="92"/>
      <c r="J484" s="93"/>
      <c r="K484" s="93"/>
      <c r="L484" s="94"/>
      <c r="M484" s="100"/>
      <c r="N484" s="96"/>
      <c r="O484" s="97"/>
      <c r="P484" s="98"/>
      <c r="Q484" s="101"/>
      <c r="R484" s="78" t="str">
        <f t="shared" si="44"/>
        <v/>
      </c>
    </row>
    <row r="485" spans="2:18" x14ac:dyDescent="0.2">
      <c r="B485" s="2" t="str">
        <f t="shared" si="45"/>
        <v/>
      </c>
      <c r="C485" s="2" t="str">
        <f t="shared" si="46"/>
        <v/>
      </c>
      <c r="D485" s="2" t="str">
        <f t="shared" si="47"/>
        <v>Y</v>
      </c>
      <c r="E485" s="2">
        <f t="shared" si="48"/>
        <v>0</v>
      </c>
      <c r="F485" s="2" t="str">
        <f t="shared" si="49"/>
        <v/>
      </c>
      <c r="H485" s="121" t="s">
        <v>482</v>
      </c>
      <c r="I485" s="92"/>
      <c r="J485" s="93"/>
      <c r="K485" s="93"/>
      <c r="L485" s="94"/>
      <c r="M485" s="100"/>
      <c r="N485" s="96"/>
      <c r="O485" s="97"/>
      <c r="P485" s="98"/>
      <c r="Q485" s="101"/>
      <c r="R485" s="78" t="str">
        <f t="shared" si="44"/>
        <v/>
      </c>
    </row>
    <row r="486" spans="2:18" x14ac:dyDescent="0.2">
      <c r="B486" s="2" t="str">
        <f t="shared" si="45"/>
        <v/>
      </c>
      <c r="C486" s="2" t="str">
        <f t="shared" si="46"/>
        <v/>
      </c>
      <c r="D486" s="2" t="str">
        <f t="shared" si="47"/>
        <v>Y</v>
      </c>
      <c r="E486" s="2">
        <f t="shared" si="48"/>
        <v>0</v>
      </c>
      <c r="F486" s="2" t="str">
        <f t="shared" si="49"/>
        <v/>
      </c>
      <c r="H486" s="121" t="s">
        <v>483</v>
      </c>
      <c r="I486" s="92"/>
      <c r="J486" s="93"/>
      <c r="K486" s="93"/>
      <c r="L486" s="94"/>
      <c r="M486" s="100"/>
      <c r="N486" s="96"/>
      <c r="O486" s="97"/>
      <c r="P486" s="98"/>
      <c r="Q486" s="101"/>
      <c r="R486" s="78" t="str">
        <f t="shared" si="44"/>
        <v/>
      </c>
    </row>
    <row r="487" spans="2:18" x14ac:dyDescent="0.2">
      <c r="B487" s="2" t="str">
        <f t="shared" si="45"/>
        <v/>
      </c>
      <c r="C487" s="2" t="str">
        <f t="shared" si="46"/>
        <v/>
      </c>
      <c r="D487" s="2" t="str">
        <f t="shared" si="47"/>
        <v>Y</v>
      </c>
      <c r="E487" s="2">
        <f t="shared" si="48"/>
        <v>0</v>
      </c>
      <c r="F487" s="2" t="str">
        <f t="shared" si="49"/>
        <v/>
      </c>
      <c r="H487" s="121" t="s">
        <v>484</v>
      </c>
      <c r="I487" s="92"/>
      <c r="J487" s="93"/>
      <c r="K487" s="93"/>
      <c r="L487" s="94"/>
      <c r="M487" s="100"/>
      <c r="N487" s="96"/>
      <c r="O487" s="97"/>
      <c r="P487" s="98"/>
      <c r="Q487" s="101"/>
      <c r="R487" s="78" t="str">
        <f t="shared" si="44"/>
        <v/>
      </c>
    </row>
    <row r="488" spans="2:18" x14ac:dyDescent="0.2">
      <c r="B488" s="2" t="str">
        <f t="shared" si="45"/>
        <v/>
      </c>
      <c r="C488" s="2" t="str">
        <f t="shared" si="46"/>
        <v/>
      </c>
      <c r="D488" s="2" t="str">
        <f t="shared" si="47"/>
        <v>Y</v>
      </c>
      <c r="E488" s="2">
        <f t="shared" si="48"/>
        <v>0</v>
      </c>
      <c r="F488" s="2" t="str">
        <f t="shared" si="49"/>
        <v/>
      </c>
      <c r="H488" s="121" t="s">
        <v>485</v>
      </c>
      <c r="I488" s="92"/>
      <c r="J488" s="93"/>
      <c r="K488" s="93"/>
      <c r="L488" s="94"/>
      <c r="M488" s="100"/>
      <c r="N488" s="96"/>
      <c r="O488" s="97"/>
      <c r="P488" s="98"/>
      <c r="Q488" s="101"/>
      <c r="R488" s="78" t="str">
        <f t="shared" si="44"/>
        <v/>
      </c>
    </row>
    <row r="489" spans="2:18" x14ac:dyDescent="0.2">
      <c r="B489" s="2" t="str">
        <f t="shared" si="45"/>
        <v/>
      </c>
      <c r="C489" s="2" t="str">
        <f t="shared" si="46"/>
        <v/>
      </c>
      <c r="D489" s="2" t="str">
        <f t="shared" si="47"/>
        <v>Y</v>
      </c>
      <c r="E489" s="2">
        <f t="shared" si="48"/>
        <v>0</v>
      </c>
      <c r="F489" s="2" t="str">
        <f t="shared" si="49"/>
        <v/>
      </c>
      <c r="H489" s="121" t="s">
        <v>486</v>
      </c>
      <c r="I489" s="92"/>
      <c r="J489" s="93"/>
      <c r="K489" s="93"/>
      <c r="L489" s="94"/>
      <c r="M489" s="100"/>
      <c r="N489" s="96"/>
      <c r="O489" s="97"/>
      <c r="P489" s="98"/>
      <c r="Q489" s="101"/>
      <c r="R489" s="78" t="str">
        <f t="shared" si="44"/>
        <v/>
      </c>
    </row>
    <row r="490" spans="2:18" x14ac:dyDescent="0.2">
      <c r="B490" s="2" t="str">
        <f t="shared" si="45"/>
        <v/>
      </c>
      <c r="C490" s="2" t="str">
        <f t="shared" si="46"/>
        <v/>
      </c>
      <c r="D490" s="2" t="str">
        <f t="shared" si="47"/>
        <v>Y</v>
      </c>
      <c r="E490" s="2">
        <f t="shared" si="48"/>
        <v>0</v>
      </c>
      <c r="F490" s="2" t="str">
        <f t="shared" si="49"/>
        <v/>
      </c>
      <c r="H490" s="121" t="s">
        <v>487</v>
      </c>
      <c r="I490" s="92"/>
      <c r="J490" s="93"/>
      <c r="K490" s="93"/>
      <c r="L490" s="94"/>
      <c r="M490" s="100"/>
      <c r="N490" s="96"/>
      <c r="O490" s="97"/>
      <c r="P490" s="98"/>
      <c r="Q490" s="101"/>
      <c r="R490" s="78" t="str">
        <f t="shared" si="44"/>
        <v/>
      </c>
    </row>
    <row r="491" spans="2:18" x14ac:dyDescent="0.2">
      <c r="B491" s="2" t="str">
        <f t="shared" si="45"/>
        <v/>
      </c>
      <c r="C491" s="2" t="str">
        <f t="shared" si="46"/>
        <v/>
      </c>
      <c r="D491" s="2" t="str">
        <f t="shared" si="47"/>
        <v>Y</v>
      </c>
      <c r="E491" s="2">
        <f t="shared" si="48"/>
        <v>0</v>
      </c>
      <c r="F491" s="2" t="str">
        <f t="shared" si="49"/>
        <v/>
      </c>
      <c r="H491" s="121" t="s">
        <v>488</v>
      </c>
      <c r="I491" s="92"/>
      <c r="J491" s="93"/>
      <c r="K491" s="93"/>
      <c r="L491" s="94"/>
      <c r="M491" s="100"/>
      <c r="N491" s="96"/>
      <c r="O491" s="97"/>
      <c r="P491" s="98"/>
      <c r="Q491" s="101"/>
      <c r="R491" s="78" t="str">
        <f t="shared" si="44"/>
        <v/>
      </c>
    </row>
    <row r="492" spans="2:18" x14ac:dyDescent="0.2">
      <c r="B492" s="2" t="str">
        <f t="shared" si="45"/>
        <v/>
      </c>
      <c r="C492" s="2" t="str">
        <f t="shared" si="46"/>
        <v/>
      </c>
      <c r="D492" s="2" t="str">
        <f t="shared" si="47"/>
        <v>Y</v>
      </c>
      <c r="E492" s="2">
        <f t="shared" si="48"/>
        <v>0</v>
      </c>
      <c r="F492" s="2" t="str">
        <f t="shared" si="49"/>
        <v/>
      </c>
      <c r="H492" s="121" t="s">
        <v>489</v>
      </c>
      <c r="I492" s="92"/>
      <c r="J492" s="93"/>
      <c r="K492" s="93"/>
      <c r="L492" s="94"/>
      <c r="M492" s="100"/>
      <c r="N492" s="96"/>
      <c r="O492" s="97"/>
      <c r="P492" s="98"/>
      <c r="Q492" s="101"/>
      <c r="R492" s="78" t="str">
        <f t="shared" si="44"/>
        <v/>
      </c>
    </row>
    <row r="493" spans="2:18" x14ac:dyDescent="0.2">
      <c r="B493" s="2" t="str">
        <f t="shared" si="45"/>
        <v/>
      </c>
      <c r="C493" s="2" t="str">
        <f t="shared" si="46"/>
        <v/>
      </c>
      <c r="D493" s="2" t="str">
        <f t="shared" si="47"/>
        <v>Y</v>
      </c>
      <c r="E493" s="2">
        <f t="shared" si="48"/>
        <v>0</v>
      </c>
      <c r="F493" s="2" t="str">
        <f t="shared" si="49"/>
        <v/>
      </c>
      <c r="H493" s="121" t="s">
        <v>490</v>
      </c>
      <c r="I493" s="92"/>
      <c r="J493" s="93"/>
      <c r="K493" s="93"/>
      <c r="L493" s="94"/>
      <c r="M493" s="100"/>
      <c r="N493" s="96"/>
      <c r="O493" s="97"/>
      <c r="P493" s="98"/>
      <c r="Q493" s="101"/>
      <c r="R493" s="78" t="str">
        <f t="shared" si="44"/>
        <v/>
      </c>
    </row>
    <row r="494" spans="2:18" x14ac:dyDescent="0.2">
      <c r="B494" s="2" t="str">
        <f t="shared" si="45"/>
        <v/>
      </c>
      <c r="C494" s="2" t="str">
        <f t="shared" si="46"/>
        <v/>
      </c>
      <c r="D494" s="2" t="str">
        <f t="shared" si="47"/>
        <v>Y</v>
      </c>
      <c r="E494" s="2">
        <f t="shared" si="48"/>
        <v>0</v>
      </c>
      <c r="F494" s="2" t="str">
        <f t="shared" si="49"/>
        <v/>
      </c>
      <c r="H494" s="121" t="s">
        <v>491</v>
      </c>
      <c r="I494" s="92"/>
      <c r="J494" s="93"/>
      <c r="K494" s="93"/>
      <c r="L494" s="94"/>
      <c r="M494" s="100"/>
      <c r="N494" s="96"/>
      <c r="O494" s="97"/>
      <c r="P494" s="98"/>
      <c r="Q494" s="101"/>
      <c r="R494" s="78" t="str">
        <f t="shared" si="44"/>
        <v/>
      </c>
    </row>
    <row r="495" spans="2:18" x14ac:dyDescent="0.2">
      <c r="B495" s="2" t="str">
        <f t="shared" si="45"/>
        <v/>
      </c>
      <c r="C495" s="2" t="str">
        <f t="shared" si="46"/>
        <v/>
      </c>
      <c r="D495" s="2" t="str">
        <f t="shared" si="47"/>
        <v>Y</v>
      </c>
      <c r="E495" s="2">
        <f t="shared" si="48"/>
        <v>0</v>
      </c>
      <c r="F495" s="2" t="str">
        <f t="shared" si="49"/>
        <v/>
      </c>
      <c r="H495" s="121" t="s">
        <v>492</v>
      </c>
      <c r="I495" s="92"/>
      <c r="J495" s="93"/>
      <c r="K495" s="93"/>
      <c r="L495" s="94"/>
      <c r="M495" s="100"/>
      <c r="N495" s="96"/>
      <c r="O495" s="97"/>
      <c r="P495" s="98"/>
      <c r="Q495" s="101"/>
      <c r="R495" s="78" t="str">
        <f t="shared" si="44"/>
        <v/>
      </c>
    </row>
    <row r="496" spans="2:18" x14ac:dyDescent="0.2">
      <c r="B496" s="2" t="str">
        <f t="shared" si="45"/>
        <v/>
      </c>
      <c r="C496" s="2" t="str">
        <f t="shared" si="46"/>
        <v/>
      </c>
      <c r="D496" s="2" t="str">
        <f t="shared" si="47"/>
        <v>Y</v>
      </c>
      <c r="E496" s="2">
        <f t="shared" si="48"/>
        <v>0</v>
      </c>
      <c r="F496" s="2" t="str">
        <f t="shared" si="49"/>
        <v/>
      </c>
      <c r="H496" s="121" t="s">
        <v>493</v>
      </c>
      <c r="I496" s="92"/>
      <c r="J496" s="93"/>
      <c r="K496" s="93"/>
      <c r="L496" s="94"/>
      <c r="M496" s="100"/>
      <c r="N496" s="96"/>
      <c r="O496" s="97"/>
      <c r="P496" s="98"/>
      <c r="Q496" s="101"/>
      <c r="R496" s="78" t="str">
        <f t="shared" si="44"/>
        <v/>
      </c>
    </row>
    <row r="497" spans="2:18" x14ac:dyDescent="0.2">
      <c r="B497" s="2" t="str">
        <f t="shared" si="45"/>
        <v/>
      </c>
      <c r="C497" s="2" t="str">
        <f t="shared" si="46"/>
        <v/>
      </c>
      <c r="D497" s="2" t="str">
        <f t="shared" si="47"/>
        <v>Y</v>
      </c>
      <c r="E497" s="2">
        <f t="shared" si="48"/>
        <v>0</v>
      </c>
      <c r="F497" s="2" t="str">
        <f t="shared" si="49"/>
        <v/>
      </c>
      <c r="H497" s="121" t="s">
        <v>494</v>
      </c>
      <c r="I497" s="92"/>
      <c r="J497" s="93"/>
      <c r="K497" s="93"/>
      <c r="L497" s="94"/>
      <c r="M497" s="100"/>
      <c r="N497" s="96"/>
      <c r="O497" s="97"/>
      <c r="P497" s="98"/>
      <c r="Q497" s="101"/>
      <c r="R497" s="78" t="str">
        <f t="shared" si="44"/>
        <v/>
      </c>
    </row>
    <row r="498" spans="2:18" x14ac:dyDescent="0.2">
      <c r="B498" s="2" t="str">
        <f t="shared" si="45"/>
        <v/>
      </c>
      <c r="C498" s="2" t="str">
        <f t="shared" si="46"/>
        <v/>
      </c>
      <c r="D498" s="2" t="str">
        <f t="shared" si="47"/>
        <v>Y</v>
      </c>
      <c r="E498" s="2">
        <f t="shared" si="48"/>
        <v>0</v>
      </c>
      <c r="F498" s="2" t="str">
        <f t="shared" si="49"/>
        <v/>
      </c>
      <c r="H498" s="121" t="s">
        <v>495</v>
      </c>
      <c r="I498" s="92"/>
      <c r="J498" s="93"/>
      <c r="K498" s="93"/>
      <c r="L498" s="94"/>
      <c r="M498" s="100"/>
      <c r="N498" s="96"/>
      <c r="O498" s="97"/>
      <c r="P498" s="98"/>
      <c r="Q498" s="101"/>
      <c r="R498" s="78" t="str">
        <f t="shared" si="44"/>
        <v/>
      </c>
    </row>
    <row r="499" spans="2:18" x14ac:dyDescent="0.2">
      <c r="B499" s="2" t="str">
        <f t="shared" si="45"/>
        <v/>
      </c>
      <c r="C499" s="2" t="str">
        <f t="shared" si="46"/>
        <v/>
      </c>
      <c r="D499" s="2" t="str">
        <f t="shared" si="47"/>
        <v>Y</v>
      </c>
      <c r="E499" s="2">
        <f t="shared" si="48"/>
        <v>0</v>
      </c>
      <c r="F499" s="2" t="str">
        <f t="shared" si="49"/>
        <v/>
      </c>
      <c r="H499" s="121" t="s">
        <v>496</v>
      </c>
      <c r="I499" s="92"/>
      <c r="J499" s="93"/>
      <c r="K499" s="93"/>
      <c r="L499" s="94"/>
      <c r="M499" s="100"/>
      <c r="N499" s="96"/>
      <c r="O499" s="97"/>
      <c r="P499" s="98"/>
      <c r="Q499" s="101"/>
      <c r="R499" s="78" t="str">
        <f t="shared" si="44"/>
        <v/>
      </c>
    </row>
    <row r="500" spans="2:18" x14ac:dyDescent="0.2">
      <c r="B500" s="2" t="str">
        <f t="shared" si="45"/>
        <v/>
      </c>
      <c r="C500" s="2" t="str">
        <f t="shared" si="46"/>
        <v/>
      </c>
      <c r="D500" s="2" t="str">
        <f t="shared" si="47"/>
        <v>Y</v>
      </c>
      <c r="E500" s="2">
        <f t="shared" si="48"/>
        <v>0</v>
      </c>
      <c r="F500" s="2" t="str">
        <f t="shared" si="49"/>
        <v/>
      </c>
      <c r="H500" s="121" t="s">
        <v>497</v>
      </c>
      <c r="I500" s="92"/>
      <c r="J500" s="93"/>
      <c r="K500" s="93"/>
      <c r="L500" s="94"/>
      <c r="M500" s="100"/>
      <c r="N500" s="96"/>
      <c r="O500" s="97"/>
      <c r="P500" s="98"/>
      <c r="Q500" s="101"/>
      <c r="R500" s="78" t="str">
        <f t="shared" si="44"/>
        <v/>
      </c>
    </row>
    <row r="501" spans="2:18" x14ac:dyDescent="0.2">
      <c r="B501" s="2" t="str">
        <f t="shared" si="45"/>
        <v/>
      </c>
      <c r="C501" s="2" t="str">
        <f t="shared" si="46"/>
        <v/>
      </c>
      <c r="D501" s="2" t="str">
        <f t="shared" si="47"/>
        <v>Y</v>
      </c>
      <c r="E501" s="2">
        <f t="shared" si="48"/>
        <v>0</v>
      </c>
      <c r="F501" s="2" t="str">
        <f t="shared" si="49"/>
        <v/>
      </c>
      <c r="H501" s="121" t="s">
        <v>498</v>
      </c>
      <c r="I501" s="92"/>
      <c r="J501" s="93"/>
      <c r="K501" s="93"/>
      <c r="L501" s="94"/>
      <c r="M501" s="100"/>
      <c r="N501" s="96"/>
      <c r="O501" s="97"/>
      <c r="P501" s="98"/>
      <c r="Q501" s="101"/>
      <c r="R501" s="78" t="str">
        <f t="shared" si="44"/>
        <v/>
      </c>
    </row>
    <row r="502" spans="2:18" x14ac:dyDescent="0.2">
      <c r="B502" s="2" t="str">
        <f t="shared" si="45"/>
        <v/>
      </c>
      <c r="C502" s="2" t="str">
        <f t="shared" si="46"/>
        <v/>
      </c>
      <c r="D502" s="2" t="str">
        <f t="shared" si="47"/>
        <v>Y</v>
      </c>
      <c r="E502" s="2">
        <f t="shared" si="48"/>
        <v>0</v>
      </c>
      <c r="F502" s="2" t="str">
        <f t="shared" si="49"/>
        <v/>
      </c>
      <c r="H502" s="121" t="s">
        <v>499</v>
      </c>
      <c r="I502" s="92"/>
      <c r="J502" s="93"/>
      <c r="K502" s="93"/>
      <c r="L502" s="94"/>
      <c r="M502" s="100"/>
      <c r="N502" s="96"/>
      <c r="O502" s="97"/>
      <c r="P502" s="98"/>
      <c r="Q502" s="101"/>
      <c r="R502" s="78" t="str">
        <f t="shared" si="44"/>
        <v/>
      </c>
    </row>
    <row r="503" spans="2:18" x14ac:dyDescent="0.2">
      <c r="B503" s="2" t="str">
        <f t="shared" si="45"/>
        <v/>
      </c>
      <c r="C503" s="2" t="str">
        <f t="shared" si="46"/>
        <v/>
      </c>
      <c r="D503" s="2" t="str">
        <f t="shared" si="47"/>
        <v>Y</v>
      </c>
      <c r="E503" s="2">
        <f t="shared" si="48"/>
        <v>0</v>
      </c>
      <c r="F503" s="2" t="str">
        <f t="shared" si="49"/>
        <v/>
      </c>
      <c r="H503" s="121" t="s">
        <v>500</v>
      </c>
      <c r="I503" s="92"/>
      <c r="J503" s="93"/>
      <c r="K503" s="93"/>
      <c r="L503" s="94"/>
      <c r="M503" s="100"/>
      <c r="N503" s="96"/>
      <c r="O503" s="97"/>
      <c r="P503" s="98"/>
      <c r="Q503" s="101"/>
      <c r="R503" s="78" t="str">
        <f t="shared" si="44"/>
        <v/>
      </c>
    </row>
    <row r="504" spans="2:18" x14ac:dyDescent="0.2">
      <c r="B504" s="2" t="str">
        <f t="shared" si="45"/>
        <v/>
      </c>
      <c r="C504" s="2" t="str">
        <f t="shared" si="46"/>
        <v/>
      </c>
      <c r="D504" s="2" t="str">
        <f t="shared" si="47"/>
        <v>Y</v>
      </c>
      <c r="E504" s="2">
        <f t="shared" si="48"/>
        <v>0</v>
      </c>
      <c r="F504" s="2" t="str">
        <f t="shared" si="49"/>
        <v/>
      </c>
      <c r="H504" s="121" t="s">
        <v>501</v>
      </c>
      <c r="I504" s="92"/>
      <c r="J504" s="93"/>
      <c r="K504" s="93"/>
      <c r="L504" s="94"/>
      <c r="M504" s="100"/>
      <c r="N504" s="96"/>
      <c r="O504" s="97"/>
      <c r="P504" s="98"/>
      <c r="Q504" s="101"/>
      <c r="R504" s="78" t="str">
        <f t="shared" si="44"/>
        <v/>
      </c>
    </row>
    <row r="505" spans="2:18" x14ac:dyDescent="0.2">
      <c r="B505" s="2" t="str">
        <f t="shared" si="45"/>
        <v/>
      </c>
      <c r="C505" s="2" t="str">
        <f t="shared" si="46"/>
        <v/>
      </c>
      <c r="D505" s="2" t="str">
        <f t="shared" si="47"/>
        <v>Y</v>
      </c>
      <c r="E505" s="2">
        <f t="shared" si="48"/>
        <v>0</v>
      </c>
      <c r="F505" s="2" t="str">
        <f t="shared" si="49"/>
        <v/>
      </c>
      <c r="H505" s="121" t="s">
        <v>502</v>
      </c>
      <c r="I505" s="92"/>
      <c r="J505" s="93"/>
      <c r="K505" s="93"/>
      <c r="L505" s="94"/>
      <c r="M505" s="100"/>
      <c r="N505" s="96"/>
      <c r="O505" s="97"/>
      <c r="P505" s="98"/>
      <c r="Q505" s="101"/>
      <c r="R505" s="78" t="str">
        <f t="shared" si="44"/>
        <v/>
      </c>
    </row>
    <row r="506" spans="2:18" x14ac:dyDescent="0.2">
      <c r="B506" s="2" t="str">
        <f t="shared" si="45"/>
        <v/>
      </c>
      <c r="C506" s="2" t="str">
        <f t="shared" si="46"/>
        <v/>
      </c>
      <c r="D506" s="2" t="str">
        <f t="shared" si="47"/>
        <v>Y</v>
      </c>
      <c r="E506" s="2">
        <f t="shared" si="48"/>
        <v>0</v>
      </c>
      <c r="F506" s="2" t="str">
        <f t="shared" si="49"/>
        <v/>
      </c>
      <c r="H506" s="121" t="s">
        <v>503</v>
      </c>
      <c r="I506" s="92"/>
      <c r="J506" s="93"/>
      <c r="K506" s="93"/>
      <c r="L506" s="94"/>
      <c r="M506" s="100"/>
      <c r="N506" s="96"/>
      <c r="O506" s="97"/>
      <c r="P506" s="98"/>
      <c r="Q506" s="101"/>
      <c r="R506" s="78" t="str">
        <f t="shared" si="44"/>
        <v/>
      </c>
    </row>
    <row r="507" spans="2:18" x14ac:dyDescent="0.2">
      <c r="B507" s="2" t="str">
        <f t="shared" si="45"/>
        <v/>
      </c>
      <c r="C507" s="2" t="str">
        <f t="shared" si="46"/>
        <v/>
      </c>
      <c r="D507" s="2" t="str">
        <f t="shared" si="47"/>
        <v>Y</v>
      </c>
      <c r="E507" s="2">
        <f t="shared" si="48"/>
        <v>0</v>
      </c>
      <c r="F507" s="2" t="str">
        <f t="shared" si="49"/>
        <v/>
      </c>
      <c r="H507" s="121" t="s">
        <v>504</v>
      </c>
      <c r="I507" s="92"/>
      <c r="J507" s="93"/>
      <c r="K507" s="93"/>
      <c r="L507" s="94"/>
      <c r="M507" s="100"/>
      <c r="N507" s="96"/>
      <c r="O507" s="97"/>
      <c r="P507" s="98"/>
      <c r="Q507" s="101"/>
      <c r="R507" s="78" t="str">
        <f t="shared" si="44"/>
        <v/>
      </c>
    </row>
    <row r="508" spans="2:18" x14ac:dyDescent="0.2">
      <c r="B508" s="2" t="str">
        <f t="shared" si="45"/>
        <v/>
      </c>
      <c r="C508" s="2" t="str">
        <f t="shared" si="46"/>
        <v/>
      </c>
      <c r="D508" s="2" t="str">
        <f t="shared" si="47"/>
        <v>Y</v>
      </c>
      <c r="E508" s="2">
        <f t="shared" si="48"/>
        <v>0</v>
      </c>
      <c r="F508" s="2" t="str">
        <f t="shared" si="49"/>
        <v/>
      </c>
      <c r="H508" s="121" t="s">
        <v>505</v>
      </c>
      <c r="I508" s="92"/>
      <c r="J508" s="93"/>
      <c r="K508" s="93"/>
      <c r="L508" s="94"/>
      <c r="M508" s="100"/>
      <c r="N508" s="96"/>
      <c r="O508" s="97"/>
      <c r="P508" s="98"/>
      <c r="Q508" s="101"/>
      <c r="R508" s="78" t="str">
        <f t="shared" si="44"/>
        <v/>
      </c>
    </row>
    <row r="509" spans="2:18" x14ac:dyDescent="0.2">
      <c r="B509" s="2" t="str">
        <f t="shared" si="45"/>
        <v/>
      </c>
      <c r="C509" s="2" t="str">
        <f t="shared" si="46"/>
        <v/>
      </c>
      <c r="D509" s="2" t="str">
        <f t="shared" si="47"/>
        <v>Y</v>
      </c>
      <c r="E509" s="2">
        <f t="shared" si="48"/>
        <v>0</v>
      </c>
      <c r="F509" s="2" t="str">
        <f t="shared" si="49"/>
        <v/>
      </c>
      <c r="H509" s="121" t="s">
        <v>506</v>
      </c>
      <c r="I509" s="92"/>
      <c r="J509" s="93"/>
      <c r="K509" s="93"/>
      <c r="L509" s="94"/>
      <c r="M509" s="100"/>
      <c r="N509" s="96"/>
      <c r="O509" s="97"/>
      <c r="P509" s="98"/>
      <c r="Q509" s="101"/>
      <c r="R509" s="78" t="str">
        <f t="shared" si="44"/>
        <v/>
      </c>
    </row>
    <row r="510" spans="2:18" x14ac:dyDescent="0.2">
      <c r="B510" s="2" t="str">
        <f t="shared" si="45"/>
        <v/>
      </c>
      <c r="C510" s="2" t="str">
        <f t="shared" si="46"/>
        <v/>
      </c>
      <c r="D510" s="2" t="str">
        <f t="shared" si="47"/>
        <v>Y</v>
      </c>
      <c r="E510" s="2">
        <f t="shared" si="48"/>
        <v>0</v>
      </c>
      <c r="F510" s="2" t="str">
        <f t="shared" si="49"/>
        <v/>
      </c>
      <c r="H510" s="121" t="s">
        <v>507</v>
      </c>
      <c r="I510" s="92"/>
      <c r="J510" s="93"/>
      <c r="K510" s="93"/>
      <c r="L510" s="94"/>
      <c r="M510" s="100"/>
      <c r="N510" s="96"/>
      <c r="O510" s="97"/>
      <c r="P510" s="98"/>
      <c r="Q510" s="101"/>
      <c r="R510" s="78" t="str">
        <f t="shared" si="44"/>
        <v/>
      </c>
    </row>
    <row r="511" spans="2:18" x14ac:dyDescent="0.2">
      <c r="B511" s="2" t="str">
        <f t="shared" si="45"/>
        <v/>
      </c>
      <c r="C511" s="2" t="str">
        <f t="shared" si="46"/>
        <v/>
      </c>
      <c r="D511" s="2" t="str">
        <f t="shared" si="47"/>
        <v>Y</v>
      </c>
      <c r="E511" s="2">
        <f t="shared" si="48"/>
        <v>0</v>
      </c>
      <c r="F511" s="2" t="str">
        <f t="shared" si="49"/>
        <v/>
      </c>
      <c r="H511" s="121" t="s">
        <v>508</v>
      </c>
      <c r="I511" s="92"/>
      <c r="J511" s="93"/>
      <c r="K511" s="93"/>
      <c r="L511" s="94"/>
      <c r="M511" s="100"/>
      <c r="N511" s="96"/>
      <c r="O511" s="97"/>
      <c r="P511" s="98"/>
      <c r="Q511" s="101"/>
      <c r="R511" s="78" t="str">
        <f t="shared" si="44"/>
        <v/>
      </c>
    </row>
    <row r="512" spans="2:18" x14ac:dyDescent="0.2">
      <c r="B512" s="2" t="str">
        <f t="shared" si="45"/>
        <v/>
      </c>
      <c r="C512" s="2" t="str">
        <f t="shared" si="46"/>
        <v/>
      </c>
      <c r="D512" s="2" t="str">
        <f t="shared" si="47"/>
        <v>Y</v>
      </c>
      <c r="E512" s="2">
        <f t="shared" si="48"/>
        <v>0</v>
      </c>
      <c r="F512" s="2" t="str">
        <f t="shared" si="49"/>
        <v/>
      </c>
      <c r="H512" s="121" t="s">
        <v>509</v>
      </c>
      <c r="I512" s="92"/>
      <c r="J512" s="93"/>
      <c r="K512" s="93"/>
      <c r="L512" s="94"/>
      <c r="M512" s="100"/>
      <c r="N512" s="96"/>
      <c r="O512" s="97"/>
      <c r="P512" s="98"/>
      <c r="Q512" s="101"/>
      <c r="R512" s="78" t="str">
        <f t="shared" si="44"/>
        <v/>
      </c>
    </row>
    <row r="513" spans="2:18" x14ac:dyDescent="0.2">
      <c r="B513" s="2" t="str">
        <f t="shared" si="45"/>
        <v/>
      </c>
      <c r="C513" s="2" t="str">
        <f t="shared" si="46"/>
        <v/>
      </c>
      <c r="D513" s="2" t="str">
        <f t="shared" si="47"/>
        <v>Y</v>
      </c>
      <c r="E513" s="2">
        <f t="shared" si="48"/>
        <v>0</v>
      </c>
      <c r="F513" s="2" t="str">
        <f t="shared" si="49"/>
        <v/>
      </c>
      <c r="H513" s="121" t="s">
        <v>510</v>
      </c>
      <c r="I513" s="92"/>
      <c r="J513" s="93"/>
      <c r="K513" s="93"/>
      <c r="L513" s="94"/>
      <c r="M513" s="100"/>
      <c r="N513" s="96"/>
      <c r="O513" s="97"/>
      <c r="P513" s="98"/>
      <c r="Q513" s="101"/>
      <c r="R513" s="78" t="str">
        <f t="shared" si="44"/>
        <v/>
      </c>
    </row>
    <row r="514" spans="2:18" x14ac:dyDescent="0.2">
      <c r="B514" s="2" t="str">
        <f t="shared" si="45"/>
        <v/>
      </c>
      <c r="C514" s="2" t="str">
        <f t="shared" si="46"/>
        <v/>
      </c>
      <c r="D514" s="2" t="str">
        <f t="shared" si="47"/>
        <v>Y</v>
      </c>
      <c r="E514" s="2">
        <f t="shared" si="48"/>
        <v>0</v>
      </c>
      <c r="F514" s="2" t="str">
        <f t="shared" si="49"/>
        <v/>
      </c>
      <c r="H514" s="121" t="s">
        <v>511</v>
      </c>
      <c r="I514" s="92"/>
      <c r="J514" s="93"/>
      <c r="K514" s="93"/>
      <c r="L514" s="94"/>
      <c r="M514" s="100"/>
      <c r="N514" s="96"/>
      <c r="O514" s="97"/>
      <c r="P514" s="98"/>
      <c r="Q514" s="101"/>
      <c r="R514" s="78" t="str">
        <f t="shared" si="44"/>
        <v/>
      </c>
    </row>
    <row r="515" spans="2:18" x14ac:dyDescent="0.2">
      <c r="B515" s="2" t="str">
        <f t="shared" si="45"/>
        <v/>
      </c>
      <c r="C515" s="2" t="str">
        <f t="shared" si="46"/>
        <v/>
      </c>
      <c r="D515" s="2" t="str">
        <f t="shared" si="47"/>
        <v>Y</v>
      </c>
      <c r="E515" s="2">
        <f t="shared" si="48"/>
        <v>0</v>
      </c>
      <c r="F515" s="2" t="str">
        <f t="shared" si="49"/>
        <v/>
      </c>
      <c r="H515" s="121" t="s">
        <v>512</v>
      </c>
      <c r="I515" s="92"/>
      <c r="J515" s="93"/>
      <c r="K515" s="93"/>
      <c r="L515" s="94"/>
      <c r="M515" s="100"/>
      <c r="N515" s="96"/>
      <c r="O515" s="97"/>
      <c r="P515" s="98"/>
      <c r="Q515" s="101"/>
      <c r="R515" s="78" t="str">
        <f t="shared" si="44"/>
        <v/>
      </c>
    </row>
    <row r="516" spans="2:18" x14ac:dyDescent="0.2">
      <c r="B516" s="2" t="str">
        <f t="shared" si="45"/>
        <v/>
      </c>
      <c r="C516" s="2" t="str">
        <f t="shared" si="46"/>
        <v/>
      </c>
      <c r="D516" s="2" t="str">
        <f t="shared" si="47"/>
        <v>Y</v>
      </c>
      <c r="E516" s="2">
        <f t="shared" si="48"/>
        <v>0</v>
      </c>
      <c r="F516" s="2" t="str">
        <f t="shared" si="49"/>
        <v/>
      </c>
      <c r="H516" s="121" t="s">
        <v>513</v>
      </c>
      <c r="I516" s="92"/>
      <c r="J516" s="93"/>
      <c r="K516" s="93"/>
      <c r="L516" s="94"/>
      <c r="M516" s="100"/>
      <c r="N516" s="96"/>
      <c r="O516" s="97"/>
      <c r="P516" s="98"/>
      <c r="Q516" s="101"/>
      <c r="R516" s="78" t="str">
        <f t="shared" si="44"/>
        <v/>
      </c>
    </row>
    <row r="517" spans="2:18" x14ac:dyDescent="0.2">
      <c r="B517" s="2" t="str">
        <f t="shared" si="45"/>
        <v/>
      </c>
      <c r="C517" s="2" t="str">
        <f t="shared" si="46"/>
        <v/>
      </c>
      <c r="D517" s="2" t="str">
        <f t="shared" si="47"/>
        <v>Y</v>
      </c>
      <c r="E517" s="2">
        <f t="shared" si="48"/>
        <v>0</v>
      </c>
      <c r="F517" s="2" t="str">
        <f t="shared" si="49"/>
        <v/>
      </c>
      <c r="H517" s="121" t="s">
        <v>514</v>
      </c>
      <c r="I517" s="92"/>
      <c r="J517" s="93"/>
      <c r="K517" s="93"/>
      <c r="L517" s="94"/>
      <c r="M517" s="100"/>
      <c r="N517" s="96"/>
      <c r="O517" s="97"/>
      <c r="P517" s="98"/>
      <c r="Q517" s="101"/>
      <c r="R517" s="78" t="str">
        <f t="shared" si="44"/>
        <v/>
      </c>
    </row>
    <row r="518" spans="2:18" x14ac:dyDescent="0.2">
      <c r="B518" s="2" t="str">
        <f t="shared" si="45"/>
        <v/>
      </c>
      <c r="C518" s="2" t="str">
        <f t="shared" si="46"/>
        <v/>
      </c>
      <c r="D518" s="2" t="str">
        <f t="shared" si="47"/>
        <v>Y</v>
      </c>
      <c r="E518" s="2">
        <f t="shared" si="48"/>
        <v>0</v>
      </c>
      <c r="F518" s="2" t="str">
        <f t="shared" si="49"/>
        <v/>
      </c>
      <c r="H518" s="121" t="s">
        <v>515</v>
      </c>
      <c r="I518" s="92"/>
      <c r="J518" s="93"/>
      <c r="K518" s="93"/>
      <c r="L518" s="94"/>
      <c r="M518" s="100"/>
      <c r="N518" s="96"/>
      <c r="O518" s="97"/>
      <c r="P518" s="98"/>
      <c r="Q518" s="101"/>
      <c r="R518" s="78" t="str">
        <f t="shared" si="44"/>
        <v/>
      </c>
    </row>
    <row r="519" spans="2:18" x14ac:dyDescent="0.2">
      <c r="B519" s="2" t="str">
        <f t="shared" si="45"/>
        <v/>
      </c>
      <c r="C519" s="2" t="str">
        <f t="shared" si="46"/>
        <v/>
      </c>
      <c r="D519" s="2" t="str">
        <f t="shared" si="47"/>
        <v>Y</v>
      </c>
      <c r="E519" s="2">
        <f t="shared" si="48"/>
        <v>0</v>
      </c>
      <c r="F519" s="2" t="str">
        <f t="shared" si="49"/>
        <v/>
      </c>
      <c r="H519" s="121" t="s">
        <v>516</v>
      </c>
      <c r="I519" s="92"/>
      <c r="J519" s="93"/>
      <c r="K519" s="93"/>
      <c r="L519" s="94"/>
      <c r="M519" s="100"/>
      <c r="N519" s="96"/>
      <c r="O519" s="97"/>
      <c r="P519" s="98"/>
      <c r="Q519" s="101"/>
      <c r="R519" s="78" t="str">
        <f t="shared" si="44"/>
        <v/>
      </c>
    </row>
    <row r="520" spans="2:18" x14ac:dyDescent="0.2">
      <c r="B520" s="2" t="str">
        <f t="shared" si="45"/>
        <v/>
      </c>
      <c r="C520" s="2" t="str">
        <f t="shared" si="46"/>
        <v/>
      </c>
      <c r="D520" s="2" t="str">
        <f t="shared" si="47"/>
        <v>Y</v>
      </c>
      <c r="E520" s="2">
        <f t="shared" si="48"/>
        <v>0</v>
      </c>
      <c r="F520" s="2" t="str">
        <f t="shared" si="49"/>
        <v/>
      </c>
      <c r="H520" s="121" t="s">
        <v>517</v>
      </c>
      <c r="I520" s="92"/>
      <c r="J520" s="93"/>
      <c r="K520" s="93"/>
      <c r="L520" s="94"/>
      <c r="M520" s="100"/>
      <c r="N520" s="96"/>
      <c r="O520" s="97"/>
      <c r="P520" s="98"/>
      <c r="Q520" s="101"/>
      <c r="R520" s="78" t="str">
        <f t="shared" si="44"/>
        <v/>
      </c>
    </row>
    <row r="521" spans="2:18" x14ac:dyDescent="0.2">
      <c r="B521" s="2" t="str">
        <f t="shared" si="45"/>
        <v/>
      </c>
      <c r="C521" s="2" t="str">
        <f t="shared" si="46"/>
        <v/>
      </c>
      <c r="D521" s="2" t="str">
        <f t="shared" si="47"/>
        <v>Y</v>
      </c>
      <c r="E521" s="2">
        <f t="shared" si="48"/>
        <v>0</v>
      </c>
      <c r="F521" s="2" t="str">
        <f t="shared" si="49"/>
        <v/>
      </c>
      <c r="H521" s="121" t="s">
        <v>518</v>
      </c>
      <c r="I521" s="92"/>
      <c r="J521" s="93"/>
      <c r="K521" s="93"/>
      <c r="L521" s="94"/>
      <c r="M521" s="100"/>
      <c r="N521" s="96"/>
      <c r="O521" s="97"/>
      <c r="P521" s="98"/>
      <c r="Q521" s="101"/>
      <c r="R521" s="78" t="str">
        <f t="shared" si="44"/>
        <v/>
      </c>
    </row>
    <row r="522" spans="2:18" x14ac:dyDescent="0.2">
      <c r="B522" s="2" t="str">
        <f t="shared" si="45"/>
        <v/>
      </c>
      <c r="C522" s="2" t="str">
        <f t="shared" si="46"/>
        <v/>
      </c>
      <c r="D522" s="2" t="str">
        <f t="shared" si="47"/>
        <v>Y</v>
      </c>
      <c r="E522" s="2">
        <f t="shared" si="48"/>
        <v>0</v>
      </c>
      <c r="F522" s="2" t="str">
        <f t="shared" si="49"/>
        <v/>
      </c>
      <c r="H522" s="121" t="s">
        <v>519</v>
      </c>
      <c r="I522" s="92"/>
      <c r="J522" s="93"/>
      <c r="K522" s="93"/>
      <c r="L522" s="94"/>
      <c r="M522" s="100"/>
      <c r="N522" s="96"/>
      <c r="O522" s="97"/>
      <c r="P522" s="98"/>
      <c r="Q522" s="101"/>
      <c r="R522" s="78" t="str">
        <f t="shared" si="44"/>
        <v/>
      </c>
    </row>
    <row r="523" spans="2:18" x14ac:dyDescent="0.2">
      <c r="B523" s="2" t="str">
        <f t="shared" si="45"/>
        <v/>
      </c>
      <c r="C523" s="2" t="str">
        <f t="shared" si="46"/>
        <v/>
      </c>
      <c r="D523" s="2" t="str">
        <f t="shared" si="47"/>
        <v>Y</v>
      </c>
      <c r="E523" s="2">
        <f t="shared" si="48"/>
        <v>0</v>
      </c>
      <c r="F523" s="2" t="str">
        <f t="shared" si="49"/>
        <v/>
      </c>
      <c r="H523" s="121" t="s">
        <v>520</v>
      </c>
      <c r="I523" s="92"/>
      <c r="J523" s="93"/>
      <c r="K523" s="93"/>
      <c r="L523" s="94"/>
      <c r="M523" s="100"/>
      <c r="N523" s="96"/>
      <c r="O523" s="97"/>
      <c r="P523" s="98"/>
      <c r="Q523" s="101"/>
      <c r="R523" s="78" t="str">
        <f t="shared" ref="R523:R586" si="50">IF(ISERROR(VLOOKUP(K523,LB_PROJECTS,2,FALSE)),"",VLOOKUP(K523,LB_PROJECTS,2,FALSE))</f>
        <v/>
      </c>
    </row>
    <row r="524" spans="2:18" x14ac:dyDescent="0.2">
      <c r="B524" s="2" t="str">
        <f t="shared" ref="B524:B587" si="51">IF(M524="","",IF(WEEKNUM(M524)&lt;10,VALUE(CONCATENATE(YEAR(M524),"0",WEEKNUM(M524))),VALUE(CONCATENATE(YEAR(M524),WEEKNUM(M524)))))</f>
        <v/>
      </c>
      <c r="C524" s="2" t="str">
        <f t="shared" ref="C524:C587" si="52">IF(P524="","",IF(WEEKNUM(P524)&lt;10,VALUE(CONCATENATE(YEAR(P524),"0",WEEKNUM(P524))),VALUE(CONCATENATE(YEAR(P524),WEEKNUM(P524)))))</f>
        <v/>
      </c>
      <c r="D524" s="2" t="str">
        <f t="shared" ref="D524:D587" si="53">IF(OR(O524="Not started",O524="In progress"),"N",IF(OR(O524="N/A",O524="Suspended",O524="Canceled"),"","Y"))</f>
        <v>Y</v>
      </c>
      <c r="E524" s="2">
        <f t="shared" ref="E524:E587" si="54">IF(OR(O524="Not started",O524="In progress",O524="Applied",O524="Closed"),1,0)</f>
        <v>0</v>
      </c>
      <c r="F524" s="2" t="str">
        <f t="shared" si="49"/>
        <v/>
      </c>
      <c r="H524" s="121" t="s">
        <v>521</v>
      </c>
      <c r="I524" s="92"/>
      <c r="J524" s="93"/>
      <c r="K524" s="93"/>
      <c r="L524" s="94"/>
      <c r="M524" s="100"/>
      <c r="N524" s="96"/>
      <c r="O524" s="97"/>
      <c r="P524" s="98"/>
      <c r="Q524" s="101"/>
      <c r="R524" s="78" t="str">
        <f t="shared" si="50"/>
        <v/>
      </c>
    </row>
    <row r="525" spans="2:18" x14ac:dyDescent="0.2">
      <c r="B525" s="2" t="str">
        <f t="shared" si="51"/>
        <v/>
      </c>
      <c r="C525" s="2" t="str">
        <f t="shared" si="52"/>
        <v/>
      </c>
      <c r="D525" s="2" t="str">
        <f t="shared" si="53"/>
        <v>Y</v>
      </c>
      <c r="E525" s="2">
        <f t="shared" si="54"/>
        <v>0</v>
      </c>
      <c r="F525" s="2" t="str">
        <f t="shared" si="49"/>
        <v/>
      </c>
      <c r="H525" s="121" t="s">
        <v>522</v>
      </c>
      <c r="I525" s="92"/>
      <c r="J525" s="93"/>
      <c r="K525" s="93"/>
      <c r="L525" s="94"/>
      <c r="M525" s="100"/>
      <c r="N525" s="96"/>
      <c r="O525" s="97"/>
      <c r="P525" s="98"/>
      <c r="Q525" s="101"/>
      <c r="R525" s="78" t="str">
        <f t="shared" si="50"/>
        <v/>
      </c>
    </row>
    <row r="526" spans="2:18" x14ac:dyDescent="0.2">
      <c r="B526" s="2" t="str">
        <f t="shared" si="51"/>
        <v/>
      </c>
      <c r="C526" s="2" t="str">
        <f t="shared" si="52"/>
        <v/>
      </c>
      <c r="D526" s="2" t="str">
        <f t="shared" si="53"/>
        <v>Y</v>
      </c>
      <c r="E526" s="2">
        <f t="shared" si="54"/>
        <v>0</v>
      </c>
      <c r="F526" s="2" t="str">
        <f t="shared" ref="F526:F589" si="55">IF(N526="",B526,IF(WEEKNUM(N526)&lt;10,VALUE(CONCATENATE(YEAR(N526),"0",WEEKNUM(N526))),VALUE(CONCATENATE(YEAR(N526),WEEKNUM(N526)))))</f>
        <v/>
      </c>
      <c r="H526" s="121" t="s">
        <v>523</v>
      </c>
      <c r="I526" s="92"/>
      <c r="J526" s="93"/>
      <c r="K526" s="93"/>
      <c r="L526" s="94"/>
      <c r="M526" s="100"/>
      <c r="N526" s="96"/>
      <c r="O526" s="97"/>
      <c r="P526" s="98"/>
      <c r="Q526" s="101"/>
      <c r="R526" s="78" t="str">
        <f t="shared" si="50"/>
        <v/>
      </c>
    </row>
    <row r="527" spans="2:18" x14ac:dyDescent="0.2">
      <c r="B527" s="2" t="str">
        <f t="shared" si="51"/>
        <v/>
      </c>
      <c r="C527" s="2" t="str">
        <f t="shared" si="52"/>
        <v/>
      </c>
      <c r="D527" s="2" t="str">
        <f t="shared" si="53"/>
        <v>Y</v>
      </c>
      <c r="E527" s="2">
        <f t="shared" si="54"/>
        <v>0</v>
      </c>
      <c r="F527" s="2" t="str">
        <f t="shared" si="55"/>
        <v/>
      </c>
      <c r="H527" s="121" t="s">
        <v>524</v>
      </c>
      <c r="I527" s="92"/>
      <c r="J527" s="93"/>
      <c r="K527" s="93"/>
      <c r="L527" s="94"/>
      <c r="M527" s="100"/>
      <c r="N527" s="96"/>
      <c r="O527" s="97"/>
      <c r="P527" s="98"/>
      <c r="Q527" s="101"/>
      <c r="R527" s="78" t="str">
        <f t="shared" si="50"/>
        <v/>
      </c>
    </row>
    <row r="528" spans="2:18" x14ac:dyDescent="0.2">
      <c r="B528" s="2" t="str">
        <f t="shared" si="51"/>
        <v/>
      </c>
      <c r="C528" s="2" t="str">
        <f t="shared" si="52"/>
        <v/>
      </c>
      <c r="D528" s="2" t="str">
        <f t="shared" si="53"/>
        <v>Y</v>
      </c>
      <c r="E528" s="2">
        <f t="shared" si="54"/>
        <v>0</v>
      </c>
      <c r="F528" s="2" t="str">
        <f t="shared" si="55"/>
        <v/>
      </c>
      <c r="H528" s="121" t="s">
        <v>525</v>
      </c>
      <c r="I528" s="92"/>
      <c r="J528" s="93"/>
      <c r="K528" s="93"/>
      <c r="L528" s="94"/>
      <c r="M528" s="100"/>
      <c r="N528" s="96"/>
      <c r="O528" s="97"/>
      <c r="P528" s="98"/>
      <c r="Q528" s="101"/>
      <c r="R528" s="78" t="str">
        <f t="shared" si="50"/>
        <v/>
      </c>
    </row>
    <row r="529" spans="2:18" x14ac:dyDescent="0.2">
      <c r="B529" s="2" t="str">
        <f t="shared" si="51"/>
        <v/>
      </c>
      <c r="C529" s="2" t="str">
        <f t="shared" si="52"/>
        <v/>
      </c>
      <c r="D529" s="2" t="str">
        <f t="shared" si="53"/>
        <v>Y</v>
      </c>
      <c r="E529" s="2">
        <f t="shared" si="54"/>
        <v>0</v>
      </c>
      <c r="F529" s="2" t="str">
        <f t="shared" si="55"/>
        <v/>
      </c>
      <c r="H529" s="121" t="s">
        <v>526</v>
      </c>
      <c r="I529" s="92"/>
      <c r="J529" s="93"/>
      <c r="K529" s="93"/>
      <c r="L529" s="94"/>
      <c r="M529" s="100"/>
      <c r="N529" s="96"/>
      <c r="O529" s="97"/>
      <c r="P529" s="98"/>
      <c r="Q529" s="101"/>
      <c r="R529" s="78" t="str">
        <f t="shared" si="50"/>
        <v/>
      </c>
    </row>
    <row r="530" spans="2:18" x14ac:dyDescent="0.2">
      <c r="B530" s="2" t="str">
        <f t="shared" si="51"/>
        <v/>
      </c>
      <c r="C530" s="2" t="str">
        <f t="shared" si="52"/>
        <v/>
      </c>
      <c r="D530" s="2" t="str">
        <f t="shared" si="53"/>
        <v>Y</v>
      </c>
      <c r="E530" s="2">
        <f t="shared" si="54"/>
        <v>0</v>
      </c>
      <c r="F530" s="2" t="str">
        <f t="shared" si="55"/>
        <v/>
      </c>
      <c r="H530" s="121" t="s">
        <v>527</v>
      </c>
      <c r="I530" s="92"/>
      <c r="J530" s="93"/>
      <c r="K530" s="93"/>
      <c r="L530" s="94"/>
      <c r="M530" s="100"/>
      <c r="N530" s="96"/>
      <c r="O530" s="97"/>
      <c r="P530" s="98"/>
      <c r="Q530" s="101"/>
      <c r="R530" s="78" t="str">
        <f t="shared" si="50"/>
        <v/>
      </c>
    </row>
    <row r="531" spans="2:18" x14ac:dyDescent="0.2">
      <c r="B531" s="2" t="str">
        <f t="shared" si="51"/>
        <v/>
      </c>
      <c r="C531" s="2" t="str">
        <f t="shared" si="52"/>
        <v/>
      </c>
      <c r="D531" s="2" t="str">
        <f t="shared" si="53"/>
        <v>Y</v>
      </c>
      <c r="E531" s="2">
        <f t="shared" si="54"/>
        <v>0</v>
      </c>
      <c r="F531" s="2" t="str">
        <f t="shared" si="55"/>
        <v/>
      </c>
      <c r="H531" s="121" t="s">
        <v>528</v>
      </c>
      <c r="I531" s="92"/>
      <c r="J531" s="93"/>
      <c r="K531" s="93"/>
      <c r="L531" s="94"/>
      <c r="M531" s="100"/>
      <c r="N531" s="96"/>
      <c r="O531" s="97"/>
      <c r="P531" s="98"/>
      <c r="Q531" s="101"/>
      <c r="R531" s="78" t="str">
        <f t="shared" si="50"/>
        <v/>
      </c>
    </row>
    <row r="532" spans="2:18" x14ac:dyDescent="0.2">
      <c r="B532" s="2" t="str">
        <f t="shared" si="51"/>
        <v/>
      </c>
      <c r="C532" s="2" t="str">
        <f t="shared" si="52"/>
        <v/>
      </c>
      <c r="D532" s="2" t="str">
        <f t="shared" si="53"/>
        <v>Y</v>
      </c>
      <c r="E532" s="2">
        <f t="shared" si="54"/>
        <v>0</v>
      </c>
      <c r="F532" s="2" t="str">
        <f t="shared" si="55"/>
        <v/>
      </c>
      <c r="H532" s="121" t="s">
        <v>529</v>
      </c>
      <c r="I532" s="92"/>
      <c r="J532" s="93"/>
      <c r="K532" s="93"/>
      <c r="L532" s="94"/>
      <c r="M532" s="100"/>
      <c r="N532" s="96"/>
      <c r="O532" s="97"/>
      <c r="P532" s="98"/>
      <c r="Q532" s="101"/>
      <c r="R532" s="78" t="str">
        <f t="shared" si="50"/>
        <v/>
      </c>
    </row>
    <row r="533" spans="2:18" x14ac:dyDescent="0.2">
      <c r="B533" s="2" t="str">
        <f t="shared" si="51"/>
        <v/>
      </c>
      <c r="C533" s="2" t="str">
        <f t="shared" si="52"/>
        <v/>
      </c>
      <c r="D533" s="2" t="str">
        <f t="shared" si="53"/>
        <v>Y</v>
      </c>
      <c r="E533" s="2">
        <f t="shared" si="54"/>
        <v>0</v>
      </c>
      <c r="F533" s="2" t="str">
        <f t="shared" si="55"/>
        <v/>
      </c>
      <c r="H533" s="121" t="s">
        <v>530</v>
      </c>
      <c r="I533" s="92"/>
      <c r="J533" s="93"/>
      <c r="K533" s="93"/>
      <c r="L533" s="94"/>
      <c r="M533" s="100"/>
      <c r="N533" s="96"/>
      <c r="O533" s="97"/>
      <c r="P533" s="98"/>
      <c r="Q533" s="101"/>
      <c r="R533" s="78" t="str">
        <f t="shared" si="50"/>
        <v/>
      </c>
    </row>
    <row r="534" spans="2:18" x14ac:dyDescent="0.2">
      <c r="B534" s="2" t="str">
        <f t="shared" si="51"/>
        <v/>
      </c>
      <c r="C534" s="2" t="str">
        <f t="shared" si="52"/>
        <v/>
      </c>
      <c r="D534" s="2" t="str">
        <f t="shared" si="53"/>
        <v>Y</v>
      </c>
      <c r="E534" s="2">
        <f t="shared" si="54"/>
        <v>0</v>
      </c>
      <c r="F534" s="2" t="str">
        <f t="shared" si="55"/>
        <v/>
      </c>
      <c r="H534" s="121" t="s">
        <v>531</v>
      </c>
      <c r="I534" s="92"/>
      <c r="J534" s="93"/>
      <c r="K534" s="93"/>
      <c r="L534" s="94"/>
      <c r="M534" s="100"/>
      <c r="N534" s="96"/>
      <c r="O534" s="97"/>
      <c r="P534" s="98"/>
      <c r="Q534" s="101"/>
      <c r="R534" s="78" t="str">
        <f t="shared" si="50"/>
        <v/>
      </c>
    </row>
    <row r="535" spans="2:18" x14ac:dyDescent="0.2">
      <c r="B535" s="2" t="str">
        <f t="shared" si="51"/>
        <v/>
      </c>
      <c r="C535" s="2" t="str">
        <f t="shared" si="52"/>
        <v/>
      </c>
      <c r="D535" s="2" t="str">
        <f t="shared" si="53"/>
        <v>Y</v>
      </c>
      <c r="E535" s="2">
        <f t="shared" si="54"/>
        <v>0</v>
      </c>
      <c r="F535" s="2" t="str">
        <f t="shared" si="55"/>
        <v/>
      </c>
      <c r="H535" s="121" t="s">
        <v>532</v>
      </c>
      <c r="I535" s="92"/>
      <c r="J535" s="93"/>
      <c r="K535" s="93"/>
      <c r="L535" s="94"/>
      <c r="M535" s="100"/>
      <c r="N535" s="96"/>
      <c r="O535" s="97"/>
      <c r="P535" s="98"/>
      <c r="Q535" s="101"/>
      <c r="R535" s="78" t="str">
        <f t="shared" si="50"/>
        <v/>
      </c>
    </row>
    <row r="536" spans="2:18" x14ac:dyDescent="0.2">
      <c r="B536" s="2" t="str">
        <f t="shared" si="51"/>
        <v/>
      </c>
      <c r="C536" s="2" t="str">
        <f t="shared" si="52"/>
        <v/>
      </c>
      <c r="D536" s="2" t="str">
        <f t="shared" si="53"/>
        <v>Y</v>
      </c>
      <c r="E536" s="2">
        <f t="shared" si="54"/>
        <v>0</v>
      </c>
      <c r="F536" s="2" t="str">
        <f t="shared" si="55"/>
        <v/>
      </c>
      <c r="H536" s="121" t="s">
        <v>533</v>
      </c>
      <c r="I536" s="92"/>
      <c r="J536" s="93"/>
      <c r="K536" s="93"/>
      <c r="L536" s="94"/>
      <c r="M536" s="100"/>
      <c r="N536" s="96"/>
      <c r="O536" s="97"/>
      <c r="P536" s="98"/>
      <c r="Q536" s="101"/>
      <c r="R536" s="78" t="str">
        <f t="shared" si="50"/>
        <v/>
      </c>
    </row>
    <row r="537" spans="2:18" x14ac:dyDescent="0.2">
      <c r="B537" s="2" t="str">
        <f t="shared" si="51"/>
        <v/>
      </c>
      <c r="C537" s="2" t="str">
        <f t="shared" si="52"/>
        <v/>
      </c>
      <c r="D537" s="2" t="str">
        <f t="shared" si="53"/>
        <v>Y</v>
      </c>
      <c r="E537" s="2">
        <f t="shared" si="54"/>
        <v>0</v>
      </c>
      <c r="F537" s="2" t="str">
        <f t="shared" si="55"/>
        <v/>
      </c>
      <c r="H537" s="121" t="s">
        <v>534</v>
      </c>
      <c r="I537" s="92"/>
      <c r="J537" s="93"/>
      <c r="K537" s="93"/>
      <c r="L537" s="94"/>
      <c r="M537" s="100"/>
      <c r="N537" s="96"/>
      <c r="O537" s="97"/>
      <c r="P537" s="98"/>
      <c r="Q537" s="101"/>
      <c r="R537" s="78" t="str">
        <f t="shared" si="50"/>
        <v/>
      </c>
    </row>
    <row r="538" spans="2:18" x14ac:dyDescent="0.2">
      <c r="B538" s="2" t="str">
        <f t="shared" si="51"/>
        <v/>
      </c>
      <c r="C538" s="2" t="str">
        <f t="shared" si="52"/>
        <v/>
      </c>
      <c r="D538" s="2" t="str">
        <f t="shared" si="53"/>
        <v>Y</v>
      </c>
      <c r="E538" s="2">
        <f t="shared" si="54"/>
        <v>0</v>
      </c>
      <c r="F538" s="2" t="str">
        <f t="shared" si="55"/>
        <v/>
      </c>
      <c r="H538" s="121" t="s">
        <v>535</v>
      </c>
      <c r="I538" s="92"/>
      <c r="J538" s="93"/>
      <c r="K538" s="93"/>
      <c r="L538" s="94"/>
      <c r="M538" s="100"/>
      <c r="N538" s="96"/>
      <c r="O538" s="97"/>
      <c r="P538" s="98"/>
      <c r="Q538" s="101"/>
      <c r="R538" s="78" t="str">
        <f t="shared" si="50"/>
        <v/>
      </c>
    </row>
    <row r="539" spans="2:18" x14ac:dyDescent="0.2">
      <c r="B539" s="2" t="str">
        <f t="shared" si="51"/>
        <v/>
      </c>
      <c r="C539" s="2" t="str">
        <f t="shared" si="52"/>
        <v/>
      </c>
      <c r="D539" s="2" t="str">
        <f t="shared" si="53"/>
        <v>Y</v>
      </c>
      <c r="E539" s="2">
        <f t="shared" si="54"/>
        <v>0</v>
      </c>
      <c r="F539" s="2" t="str">
        <f t="shared" si="55"/>
        <v/>
      </c>
      <c r="H539" s="121" t="s">
        <v>536</v>
      </c>
      <c r="I539" s="92"/>
      <c r="J539" s="93"/>
      <c r="K539" s="93"/>
      <c r="L539" s="94"/>
      <c r="M539" s="100"/>
      <c r="N539" s="96"/>
      <c r="O539" s="97"/>
      <c r="P539" s="98"/>
      <c r="Q539" s="101"/>
      <c r="R539" s="78" t="str">
        <f t="shared" si="50"/>
        <v/>
      </c>
    </row>
    <row r="540" spans="2:18" x14ac:dyDescent="0.2">
      <c r="B540" s="2" t="str">
        <f t="shared" si="51"/>
        <v/>
      </c>
      <c r="C540" s="2" t="str">
        <f t="shared" si="52"/>
        <v/>
      </c>
      <c r="D540" s="2" t="str">
        <f t="shared" si="53"/>
        <v>Y</v>
      </c>
      <c r="E540" s="2">
        <f t="shared" si="54"/>
        <v>0</v>
      </c>
      <c r="F540" s="2" t="str">
        <f t="shared" si="55"/>
        <v/>
      </c>
      <c r="H540" s="121" t="s">
        <v>537</v>
      </c>
      <c r="I540" s="92"/>
      <c r="J540" s="93"/>
      <c r="K540" s="93"/>
      <c r="L540" s="94"/>
      <c r="M540" s="100"/>
      <c r="N540" s="96"/>
      <c r="O540" s="97"/>
      <c r="P540" s="98"/>
      <c r="Q540" s="101"/>
      <c r="R540" s="78" t="str">
        <f t="shared" si="50"/>
        <v/>
      </c>
    </row>
    <row r="541" spans="2:18" x14ac:dyDescent="0.2">
      <c r="B541" s="2" t="str">
        <f t="shared" si="51"/>
        <v/>
      </c>
      <c r="C541" s="2" t="str">
        <f t="shared" si="52"/>
        <v/>
      </c>
      <c r="D541" s="2" t="str">
        <f t="shared" si="53"/>
        <v>Y</v>
      </c>
      <c r="E541" s="2">
        <f t="shared" si="54"/>
        <v>0</v>
      </c>
      <c r="F541" s="2" t="str">
        <f t="shared" si="55"/>
        <v/>
      </c>
      <c r="H541" s="121" t="s">
        <v>538</v>
      </c>
      <c r="I541" s="92"/>
      <c r="J541" s="93"/>
      <c r="K541" s="93"/>
      <c r="L541" s="94"/>
      <c r="M541" s="100"/>
      <c r="N541" s="96"/>
      <c r="O541" s="97"/>
      <c r="P541" s="98"/>
      <c r="Q541" s="101"/>
      <c r="R541" s="78" t="str">
        <f t="shared" si="50"/>
        <v/>
      </c>
    </row>
    <row r="542" spans="2:18" x14ac:dyDescent="0.2">
      <c r="B542" s="2" t="str">
        <f t="shared" si="51"/>
        <v/>
      </c>
      <c r="C542" s="2" t="str">
        <f t="shared" si="52"/>
        <v/>
      </c>
      <c r="D542" s="2" t="str">
        <f t="shared" si="53"/>
        <v>Y</v>
      </c>
      <c r="E542" s="2">
        <f t="shared" si="54"/>
        <v>0</v>
      </c>
      <c r="F542" s="2" t="str">
        <f t="shared" si="55"/>
        <v/>
      </c>
      <c r="H542" s="121" t="s">
        <v>539</v>
      </c>
      <c r="I542" s="92"/>
      <c r="J542" s="93"/>
      <c r="K542" s="93"/>
      <c r="L542" s="94"/>
      <c r="M542" s="100"/>
      <c r="N542" s="96"/>
      <c r="O542" s="97"/>
      <c r="P542" s="98"/>
      <c r="Q542" s="101"/>
      <c r="R542" s="78" t="str">
        <f t="shared" si="50"/>
        <v/>
      </c>
    </row>
    <row r="543" spans="2:18" x14ac:dyDescent="0.2">
      <c r="B543" s="2" t="str">
        <f t="shared" si="51"/>
        <v/>
      </c>
      <c r="C543" s="2" t="str">
        <f t="shared" si="52"/>
        <v/>
      </c>
      <c r="D543" s="2" t="str">
        <f t="shared" si="53"/>
        <v>Y</v>
      </c>
      <c r="E543" s="2">
        <f t="shared" si="54"/>
        <v>0</v>
      </c>
      <c r="F543" s="2" t="str">
        <f t="shared" si="55"/>
        <v/>
      </c>
      <c r="H543" s="121" t="s">
        <v>540</v>
      </c>
      <c r="I543" s="92"/>
      <c r="J543" s="93"/>
      <c r="K543" s="93"/>
      <c r="L543" s="94"/>
      <c r="M543" s="100"/>
      <c r="N543" s="96"/>
      <c r="O543" s="97"/>
      <c r="P543" s="98"/>
      <c r="Q543" s="101"/>
      <c r="R543" s="78" t="str">
        <f t="shared" si="50"/>
        <v/>
      </c>
    </row>
    <row r="544" spans="2:18" x14ac:dyDescent="0.2">
      <c r="B544" s="2" t="str">
        <f t="shared" si="51"/>
        <v/>
      </c>
      <c r="C544" s="2" t="str">
        <f t="shared" si="52"/>
        <v/>
      </c>
      <c r="D544" s="2" t="str">
        <f t="shared" si="53"/>
        <v>Y</v>
      </c>
      <c r="E544" s="2">
        <f t="shared" si="54"/>
        <v>0</v>
      </c>
      <c r="F544" s="2" t="str">
        <f t="shared" si="55"/>
        <v/>
      </c>
      <c r="H544" s="121" t="s">
        <v>541</v>
      </c>
      <c r="I544" s="92"/>
      <c r="J544" s="93"/>
      <c r="K544" s="93"/>
      <c r="L544" s="94"/>
      <c r="M544" s="100"/>
      <c r="N544" s="96"/>
      <c r="O544" s="97"/>
      <c r="P544" s="98"/>
      <c r="Q544" s="101"/>
      <c r="R544" s="78" t="str">
        <f t="shared" si="50"/>
        <v/>
      </c>
    </row>
    <row r="545" spans="2:18" x14ac:dyDescent="0.2">
      <c r="B545" s="2" t="str">
        <f t="shared" si="51"/>
        <v/>
      </c>
      <c r="C545" s="2" t="str">
        <f t="shared" si="52"/>
        <v/>
      </c>
      <c r="D545" s="2" t="str">
        <f t="shared" si="53"/>
        <v>Y</v>
      </c>
      <c r="E545" s="2">
        <f t="shared" si="54"/>
        <v>0</v>
      </c>
      <c r="F545" s="2" t="str">
        <f t="shared" si="55"/>
        <v/>
      </c>
      <c r="H545" s="121" t="s">
        <v>542</v>
      </c>
      <c r="I545" s="92"/>
      <c r="J545" s="93"/>
      <c r="K545" s="93"/>
      <c r="L545" s="94"/>
      <c r="M545" s="100"/>
      <c r="N545" s="96"/>
      <c r="O545" s="97"/>
      <c r="P545" s="98"/>
      <c r="Q545" s="101"/>
      <c r="R545" s="78" t="str">
        <f t="shared" si="50"/>
        <v/>
      </c>
    </row>
    <row r="546" spans="2:18" x14ac:dyDescent="0.2">
      <c r="B546" s="2" t="str">
        <f t="shared" si="51"/>
        <v/>
      </c>
      <c r="C546" s="2" t="str">
        <f t="shared" si="52"/>
        <v/>
      </c>
      <c r="D546" s="2" t="str">
        <f t="shared" si="53"/>
        <v>Y</v>
      </c>
      <c r="E546" s="2">
        <f t="shared" si="54"/>
        <v>0</v>
      </c>
      <c r="F546" s="2" t="str">
        <f t="shared" si="55"/>
        <v/>
      </c>
      <c r="H546" s="121" t="s">
        <v>543</v>
      </c>
      <c r="I546" s="92"/>
      <c r="J546" s="93"/>
      <c r="K546" s="93"/>
      <c r="L546" s="94"/>
      <c r="M546" s="100"/>
      <c r="N546" s="96"/>
      <c r="O546" s="97"/>
      <c r="P546" s="98"/>
      <c r="Q546" s="101"/>
      <c r="R546" s="78" t="str">
        <f t="shared" si="50"/>
        <v/>
      </c>
    </row>
    <row r="547" spans="2:18" x14ac:dyDescent="0.2">
      <c r="B547" s="2" t="str">
        <f t="shared" si="51"/>
        <v/>
      </c>
      <c r="C547" s="2" t="str">
        <f t="shared" si="52"/>
        <v/>
      </c>
      <c r="D547" s="2" t="str">
        <f t="shared" si="53"/>
        <v>Y</v>
      </c>
      <c r="E547" s="2">
        <f t="shared" si="54"/>
        <v>0</v>
      </c>
      <c r="F547" s="2" t="str">
        <f t="shared" si="55"/>
        <v/>
      </c>
      <c r="H547" s="121" t="s">
        <v>544</v>
      </c>
      <c r="I547" s="92"/>
      <c r="J547" s="93"/>
      <c r="K547" s="93"/>
      <c r="L547" s="94"/>
      <c r="M547" s="100"/>
      <c r="N547" s="96"/>
      <c r="O547" s="97"/>
      <c r="P547" s="98"/>
      <c r="Q547" s="101"/>
      <c r="R547" s="78" t="str">
        <f t="shared" si="50"/>
        <v/>
      </c>
    </row>
    <row r="548" spans="2:18" x14ac:dyDescent="0.2">
      <c r="B548" s="2" t="str">
        <f t="shared" si="51"/>
        <v/>
      </c>
      <c r="C548" s="2" t="str">
        <f t="shared" si="52"/>
        <v/>
      </c>
      <c r="D548" s="2" t="str">
        <f t="shared" si="53"/>
        <v>Y</v>
      </c>
      <c r="E548" s="2">
        <f t="shared" si="54"/>
        <v>0</v>
      </c>
      <c r="F548" s="2" t="str">
        <f t="shared" si="55"/>
        <v/>
      </c>
      <c r="H548" s="121" t="s">
        <v>545</v>
      </c>
      <c r="I548" s="92"/>
      <c r="J548" s="93"/>
      <c r="K548" s="93"/>
      <c r="L548" s="94"/>
      <c r="M548" s="100"/>
      <c r="N548" s="96"/>
      <c r="O548" s="97"/>
      <c r="P548" s="98"/>
      <c r="Q548" s="101"/>
      <c r="R548" s="78" t="str">
        <f t="shared" si="50"/>
        <v/>
      </c>
    </row>
    <row r="549" spans="2:18" x14ac:dyDescent="0.2">
      <c r="B549" s="2" t="str">
        <f t="shared" si="51"/>
        <v/>
      </c>
      <c r="C549" s="2" t="str">
        <f t="shared" si="52"/>
        <v/>
      </c>
      <c r="D549" s="2" t="str">
        <f t="shared" si="53"/>
        <v>Y</v>
      </c>
      <c r="E549" s="2">
        <f t="shared" si="54"/>
        <v>0</v>
      </c>
      <c r="F549" s="2" t="str">
        <f t="shared" si="55"/>
        <v/>
      </c>
      <c r="H549" s="121" t="s">
        <v>546</v>
      </c>
      <c r="I549" s="92"/>
      <c r="J549" s="93"/>
      <c r="K549" s="93"/>
      <c r="L549" s="94"/>
      <c r="M549" s="100"/>
      <c r="N549" s="96"/>
      <c r="O549" s="97"/>
      <c r="P549" s="98"/>
      <c r="Q549" s="101"/>
      <c r="R549" s="78" t="str">
        <f t="shared" si="50"/>
        <v/>
      </c>
    </row>
    <row r="550" spans="2:18" x14ac:dyDescent="0.2">
      <c r="B550" s="2" t="str">
        <f t="shared" si="51"/>
        <v/>
      </c>
      <c r="C550" s="2" t="str">
        <f t="shared" si="52"/>
        <v/>
      </c>
      <c r="D550" s="2" t="str">
        <f t="shared" si="53"/>
        <v>Y</v>
      </c>
      <c r="E550" s="2">
        <f t="shared" si="54"/>
        <v>0</v>
      </c>
      <c r="F550" s="2" t="str">
        <f t="shared" si="55"/>
        <v/>
      </c>
      <c r="H550" s="121" t="s">
        <v>547</v>
      </c>
      <c r="I550" s="92"/>
      <c r="J550" s="93"/>
      <c r="K550" s="93"/>
      <c r="L550" s="94"/>
      <c r="M550" s="100"/>
      <c r="N550" s="96"/>
      <c r="O550" s="97"/>
      <c r="P550" s="98"/>
      <c r="Q550" s="101"/>
      <c r="R550" s="78" t="str">
        <f t="shared" si="50"/>
        <v/>
      </c>
    </row>
    <row r="551" spans="2:18" x14ac:dyDescent="0.2">
      <c r="B551" s="2" t="str">
        <f t="shared" si="51"/>
        <v/>
      </c>
      <c r="C551" s="2" t="str">
        <f t="shared" si="52"/>
        <v/>
      </c>
      <c r="D551" s="2" t="str">
        <f t="shared" si="53"/>
        <v>Y</v>
      </c>
      <c r="E551" s="2">
        <f t="shared" si="54"/>
        <v>0</v>
      </c>
      <c r="F551" s="2" t="str">
        <f t="shared" si="55"/>
        <v/>
      </c>
      <c r="H551" s="121" t="s">
        <v>548</v>
      </c>
      <c r="I551" s="92"/>
      <c r="J551" s="93"/>
      <c r="K551" s="93"/>
      <c r="L551" s="94"/>
      <c r="M551" s="100"/>
      <c r="N551" s="96"/>
      <c r="O551" s="97"/>
      <c r="P551" s="98"/>
      <c r="Q551" s="101"/>
      <c r="R551" s="78" t="str">
        <f t="shared" si="50"/>
        <v/>
      </c>
    </row>
    <row r="552" spans="2:18" x14ac:dyDescent="0.2">
      <c r="B552" s="2" t="str">
        <f t="shared" si="51"/>
        <v/>
      </c>
      <c r="C552" s="2" t="str">
        <f t="shared" si="52"/>
        <v/>
      </c>
      <c r="D552" s="2" t="str">
        <f t="shared" si="53"/>
        <v>Y</v>
      </c>
      <c r="E552" s="2">
        <f t="shared" si="54"/>
        <v>0</v>
      </c>
      <c r="F552" s="2" t="str">
        <f t="shared" si="55"/>
        <v/>
      </c>
      <c r="H552" s="121" t="s">
        <v>549</v>
      </c>
      <c r="I552" s="92"/>
      <c r="J552" s="93"/>
      <c r="K552" s="93"/>
      <c r="L552" s="94"/>
      <c r="M552" s="100"/>
      <c r="N552" s="96"/>
      <c r="O552" s="97"/>
      <c r="P552" s="98"/>
      <c r="Q552" s="101"/>
      <c r="R552" s="78" t="str">
        <f t="shared" si="50"/>
        <v/>
      </c>
    </row>
    <row r="553" spans="2:18" x14ac:dyDescent="0.2">
      <c r="B553" s="2" t="str">
        <f t="shared" si="51"/>
        <v/>
      </c>
      <c r="C553" s="2" t="str">
        <f t="shared" si="52"/>
        <v/>
      </c>
      <c r="D553" s="2" t="str">
        <f t="shared" si="53"/>
        <v>Y</v>
      </c>
      <c r="E553" s="2">
        <f t="shared" si="54"/>
        <v>0</v>
      </c>
      <c r="F553" s="2" t="str">
        <f t="shared" si="55"/>
        <v/>
      </c>
      <c r="H553" s="121" t="s">
        <v>550</v>
      </c>
      <c r="I553" s="92"/>
      <c r="J553" s="93"/>
      <c r="K553" s="93"/>
      <c r="L553" s="94"/>
      <c r="M553" s="100"/>
      <c r="N553" s="96"/>
      <c r="O553" s="97"/>
      <c r="P553" s="98"/>
      <c r="Q553" s="101"/>
      <c r="R553" s="78" t="str">
        <f t="shared" si="50"/>
        <v/>
      </c>
    </row>
    <row r="554" spans="2:18" x14ac:dyDescent="0.2">
      <c r="B554" s="2" t="str">
        <f t="shared" si="51"/>
        <v/>
      </c>
      <c r="C554" s="2" t="str">
        <f t="shared" si="52"/>
        <v/>
      </c>
      <c r="D554" s="2" t="str">
        <f t="shared" si="53"/>
        <v>Y</v>
      </c>
      <c r="E554" s="2">
        <f t="shared" si="54"/>
        <v>0</v>
      </c>
      <c r="F554" s="2" t="str">
        <f t="shared" si="55"/>
        <v/>
      </c>
      <c r="H554" s="121" t="s">
        <v>551</v>
      </c>
      <c r="I554" s="92"/>
      <c r="J554" s="93"/>
      <c r="K554" s="93"/>
      <c r="L554" s="94"/>
      <c r="M554" s="100"/>
      <c r="N554" s="96"/>
      <c r="O554" s="97"/>
      <c r="P554" s="98"/>
      <c r="Q554" s="101"/>
      <c r="R554" s="78" t="str">
        <f t="shared" si="50"/>
        <v/>
      </c>
    </row>
    <row r="555" spans="2:18" x14ac:dyDescent="0.2">
      <c r="B555" s="2" t="str">
        <f t="shared" si="51"/>
        <v/>
      </c>
      <c r="C555" s="2" t="str">
        <f t="shared" si="52"/>
        <v/>
      </c>
      <c r="D555" s="2" t="str">
        <f t="shared" si="53"/>
        <v>Y</v>
      </c>
      <c r="E555" s="2">
        <f t="shared" si="54"/>
        <v>0</v>
      </c>
      <c r="F555" s="2" t="str">
        <f t="shared" si="55"/>
        <v/>
      </c>
      <c r="H555" s="121" t="s">
        <v>552</v>
      </c>
      <c r="I555" s="92"/>
      <c r="J555" s="93"/>
      <c r="K555" s="93"/>
      <c r="L555" s="94"/>
      <c r="M555" s="100"/>
      <c r="N555" s="96"/>
      <c r="O555" s="97"/>
      <c r="P555" s="98"/>
      <c r="Q555" s="101"/>
      <c r="R555" s="78" t="str">
        <f t="shared" si="50"/>
        <v/>
      </c>
    </row>
    <row r="556" spans="2:18" x14ac:dyDescent="0.2">
      <c r="B556" s="2" t="str">
        <f t="shared" si="51"/>
        <v/>
      </c>
      <c r="C556" s="2" t="str">
        <f t="shared" si="52"/>
        <v/>
      </c>
      <c r="D556" s="2" t="str">
        <f t="shared" si="53"/>
        <v>Y</v>
      </c>
      <c r="E556" s="2">
        <f t="shared" si="54"/>
        <v>0</v>
      </c>
      <c r="F556" s="2" t="str">
        <f t="shared" si="55"/>
        <v/>
      </c>
      <c r="H556" s="121" t="s">
        <v>553</v>
      </c>
      <c r="I556" s="92"/>
      <c r="J556" s="93"/>
      <c r="K556" s="93"/>
      <c r="L556" s="94"/>
      <c r="M556" s="100"/>
      <c r="N556" s="96"/>
      <c r="O556" s="97"/>
      <c r="P556" s="98"/>
      <c r="Q556" s="101"/>
      <c r="R556" s="78" t="str">
        <f t="shared" si="50"/>
        <v/>
      </c>
    </row>
    <row r="557" spans="2:18" x14ac:dyDescent="0.2">
      <c r="B557" s="2" t="str">
        <f t="shared" si="51"/>
        <v/>
      </c>
      <c r="C557" s="2" t="str">
        <f t="shared" si="52"/>
        <v/>
      </c>
      <c r="D557" s="2" t="str">
        <f t="shared" si="53"/>
        <v>Y</v>
      </c>
      <c r="E557" s="2">
        <f t="shared" si="54"/>
        <v>0</v>
      </c>
      <c r="F557" s="2" t="str">
        <f t="shared" si="55"/>
        <v/>
      </c>
      <c r="H557" s="121" t="s">
        <v>554</v>
      </c>
      <c r="I557" s="92"/>
      <c r="J557" s="93"/>
      <c r="K557" s="93"/>
      <c r="L557" s="94"/>
      <c r="M557" s="100"/>
      <c r="N557" s="96"/>
      <c r="O557" s="97"/>
      <c r="P557" s="98"/>
      <c r="Q557" s="101"/>
      <c r="R557" s="78" t="str">
        <f t="shared" si="50"/>
        <v/>
      </c>
    </row>
    <row r="558" spans="2:18" x14ac:dyDescent="0.2">
      <c r="B558" s="2" t="str">
        <f t="shared" si="51"/>
        <v/>
      </c>
      <c r="C558" s="2" t="str">
        <f t="shared" si="52"/>
        <v/>
      </c>
      <c r="D558" s="2" t="str">
        <f t="shared" si="53"/>
        <v>Y</v>
      </c>
      <c r="E558" s="2">
        <f t="shared" si="54"/>
        <v>0</v>
      </c>
      <c r="F558" s="2" t="str">
        <f t="shared" si="55"/>
        <v/>
      </c>
      <c r="H558" s="121" t="s">
        <v>555</v>
      </c>
      <c r="I558" s="92"/>
      <c r="J558" s="93"/>
      <c r="K558" s="93"/>
      <c r="L558" s="94"/>
      <c r="M558" s="100"/>
      <c r="N558" s="96"/>
      <c r="O558" s="97"/>
      <c r="P558" s="98"/>
      <c r="Q558" s="101"/>
      <c r="R558" s="78" t="str">
        <f t="shared" si="50"/>
        <v/>
      </c>
    </row>
    <row r="559" spans="2:18" x14ac:dyDescent="0.2">
      <c r="B559" s="2" t="str">
        <f t="shared" si="51"/>
        <v/>
      </c>
      <c r="C559" s="2" t="str">
        <f t="shared" si="52"/>
        <v/>
      </c>
      <c r="D559" s="2" t="str">
        <f t="shared" si="53"/>
        <v>Y</v>
      </c>
      <c r="E559" s="2">
        <f t="shared" si="54"/>
        <v>0</v>
      </c>
      <c r="F559" s="2" t="str">
        <f t="shared" si="55"/>
        <v/>
      </c>
      <c r="H559" s="121" t="s">
        <v>556</v>
      </c>
      <c r="I559" s="92"/>
      <c r="J559" s="93"/>
      <c r="K559" s="93"/>
      <c r="L559" s="94"/>
      <c r="M559" s="100"/>
      <c r="N559" s="96"/>
      <c r="O559" s="97"/>
      <c r="P559" s="98"/>
      <c r="Q559" s="101"/>
      <c r="R559" s="78" t="str">
        <f t="shared" si="50"/>
        <v/>
      </c>
    </row>
    <row r="560" spans="2:18" x14ac:dyDescent="0.2">
      <c r="B560" s="2" t="str">
        <f t="shared" si="51"/>
        <v/>
      </c>
      <c r="C560" s="2" t="str">
        <f t="shared" si="52"/>
        <v/>
      </c>
      <c r="D560" s="2" t="str">
        <f t="shared" si="53"/>
        <v>Y</v>
      </c>
      <c r="E560" s="2">
        <f t="shared" si="54"/>
        <v>0</v>
      </c>
      <c r="F560" s="2" t="str">
        <f t="shared" si="55"/>
        <v/>
      </c>
      <c r="H560" s="121" t="s">
        <v>557</v>
      </c>
      <c r="I560" s="92"/>
      <c r="J560" s="93"/>
      <c r="K560" s="93"/>
      <c r="L560" s="94"/>
      <c r="M560" s="100"/>
      <c r="N560" s="96"/>
      <c r="O560" s="97"/>
      <c r="P560" s="98"/>
      <c r="Q560" s="101"/>
      <c r="R560" s="78" t="str">
        <f t="shared" si="50"/>
        <v/>
      </c>
    </row>
    <row r="561" spans="2:18" x14ac:dyDescent="0.2">
      <c r="B561" s="2" t="str">
        <f t="shared" si="51"/>
        <v/>
      </c>
      <c r="C561" s="2" t="str">
        <f t="shared" si="52"/>
        <v/>
      </c>
      <c r="D561" s="2" t="str">
        <f t="shared" si="53"/>
        <v>Y</v>
      </c>
      <c r="E561" s="2">
        <f t="shared" si="54"/>
        <v>0</v>
      </c>
      <c r="F561" s="2" t="str">
        <f t="shared" si="55"/>
        <v/>
      </c>
      <c r="H561" s="121" t="s">
        <v>558</v>
      </c>
      <c r="I561" s="92"/>
      <c r="J561" s="93"/>
      <c r="K561" s="93"/>
      <c r="L561" s="94"/>
      <c r="M561" s="100"/>
      <c r="N561" s="96"/>
      <c r="O561" s="97"/>
      <c r="P561" s="98"/>
      <c r="Q561" s="101"/>
      <c r="R561" s="78" t="str">
        <f t="shared" si="50"/>
        <v/>
      </c>
    </row>
    <row r="562" spans="2:18" x14ac:dyDescent="0.2">
      <c r="B562" s="2" t="str">
        <f t="shared" si="51"/>
        <v/>
      </c>
      <c r="C562" s="2" t="str">
        <f t="shared" si="52"/>
        <v/>
      </c>
      <c r="D562" s="2" t="str">
        <f t="shared" si="53"/>
        <v>Y</v>
      </c>
      <c r="E562" s="2">
        <f t="shared" si="54"/>
        <v>0</v>
      </c>
      <c r="F562" s="2" t="str">
        <f t="shared" si="55"/>
        <v/>
      </c>
      <c r="H562" s="121" t="s">
        <v>559</v>
      </c>
      <c r="I562" s="92"/>
      <c r="J562" s="93"/>
      <c r="K562" s="93"/>
      <c r="L562" s="94"/>
      <c r="M562" s="100"/>
      <c r="N562" s="96"/>
      <c r="O562" s="97"/>
      <c r="P562" s="98"/>
      <c r="Q562" s="101"/>
      <c r="R562" s="78" t="str">
        <f t="shared" si="50"/>
        <v/>
      </c>
    </row>
    <row r="563" spans="2:18" x14ac:dyDescent="0.2">
      <c r="B563" s="2" t="str">
        <f t="shared" si="51"/>
        <v/>
      </c>
      <c r="C563" s="2" t="str">
        <f t="shared" si="52"/>
        <v/>
      </c>
      <c r="D563" s="2" t="str">
        <f t="shared" si="53"/>
        <v>Y</v>
      </c>
      <c r="E563" s="2">
        <f t="shared" si="54"/>
        <v>0</v>
      </c>
      <c r="F563" s="2" t="str">
        <f t="shared" si="55"/>
        <v/>
      </c>
      <c r="H563" s="121" t="s">
        <v>560</v>
      </c>
      <c r="I563" s="92"/>
      <c r="J563" s="93"/>
      <c r="K563" s="93"/>
      <c r="L563" s="94"/>
      <c r="M563" s="100"/>
      <c r="N563" s="96"/>
      <c r="O563" s="97"/>
      <c r="P563" s="98"/>
      <c r="Q563" s="101"/>
      <c r="R563" s="78" t="str">
        <f t="shared" si="50"/>
        <v/>
      </c>
    </row>
    <row r="564" spans="2:18" x14ac:dyDescent="0.2">
      <c r="B564" s="2" t="str">
        <f t="shared" si="51"/>
        <v/>
      </c>
      <c r="C564" s="2" t="str">
        <f t="shared" si="52"/>
        <v/>
      </c>
      <c r="D564" s="2" t="str">
        <f t="shared" si="53"/>
        <v>Y</v>
      </c>
      <c r="E564" s="2">
        <f t="shared" si="54"/>
        <v>0</v>
      </c>
      <c r="F564" s="2" t="str">
        <f t="shared" si="55"/>
        <v/>
      </c>
      <c r="H564" s="121" t="s">
        <v>561</v>
      </c>
      <c r="I564" s="92"/>
      <c r="J564" s="93"/>
      <c r="K564" s="93"/>
      <c r="L564" s="94"/>
      <c r="M564" s="100"/>
      <c r="N564" s="96"/>
      <c r="O564" s="97"/>
      <c r="P564" s="98"/>
      <c r="Q564" s="101"/>
      <c r="R564" s="78" t="str">
        <f t="shared" si="50"/>
        <v/>
      </c>
    </row>
    <row r="565" spans="2:18" x14ac:dyDescent="0.2">
      <c r="B565" s="2" t="str">
        <f t="shared" si="51"/>
        <v/>
      </c>
      <c r="C565" s="2" t="str">
        <f t="shared" si="52"/>
        <v/>
      </c>
      <c r="D565" s="2" t="str">
        <f t="shared" si="53"/>
        <v>Y</v>
      </c>
      <c r="E565" s="2">
        <f t="shared" si="54"/>
        <v>0</v>
      </c>
      <c r="F565" s="2" t="str">
        <f t="shared" si="55"/>
        <v/>
      </c>
      <c r="H565" s="121" t="s">
        <v>562</v>
      </c>
      <c r="I565" s="92"/>
      <c r="J565" s="93"/>
      <c r="K565" s="93"/>
      <c r="L565" s="94"/>
      <c r="M565" s="100"/>
      <c r="N565" s="96"/>
      <c r="O565" s="97"/>
      <c r="P565" s="98"/>
      <c r="Q565" s="101"/>
      <c r="R565" s="78" t="str">
        <f t="shared" si="50"/>
        <v/>
      </c>
    </row>
    <row r="566" spans="2:18" x14ac:dyDescent="0.2">
      <c r="B566" s="2" t="str">
        <f t="shared" si="51"/>
        <v/>
      </c>
      <c r="C566" s="2" t="str">
        <f t="shared" si="52"/>
        <v/>
      </c>
      <c r="D566" s="2" t="str">
        <f t="shared" si="53"/>
        <v>Y</v>
      </c>
      <c r="E566" s="2">
        <f t="shared" si="54"/>
        <v>0</v>
      </c>
      <c r="F566" s="2" t="str">
        <f t="shared" si="55"/>
        <v/>
      </c>
      <c r="H566" s="121" t="s">
        <v>563</v>
      </c>
      <c r="I566" s="92"/>
      <c r="J566" s="93"/>
      <c r="K566" s="93"/>
      <c r="L566" s="94"/>
      <c r="M566" s="100"/>
      <c r="N566" s="96"/>
      <c r="O566" s="97"/>
      <c r="P566" s="98"/>
      <c r="Q566" s="101"/>
      <c r="R566" s="78" t="str">
        <f t="shared" si="50"/>
        <v/>
      </c>
    </row>
    <row r="567" spans="2:18" x14ac:dyDescent="0.2">
      <c r="B567" s="2" t="str">
        <f t="shared" si="51"/>
        <v/>
      </c>
      <c r="C567" s="2" t="str">
        <f t="shared" si="52"/>
        <v/>
      </c>
      <c r="D567" s="2" t="str">
        <f t="shared" si="53"/>
        <v>Y</v>
      </c>
      <c r="E567" s="2">
        <f t="shared" si="54"/>
        <v>0</v>
      </c>
      <c r="F567" s="2" t="str">
        <f t="shared" si="55"/>
        <v/>
      </c>
      <c r="H567" s="121" t="s">
        <v>564</v>
      </c>
      <c r="I567" s="92"/>
      <c r="J567" s="93"/>
      <c r="K567" s="93"/>
      <c r="L567" s="94"/>
      <c r="M567" s="100"/>
      <c r="N567" s="96"/>
      <c r="O567" s="97"/>
      <c r="P567" s="98"/>
      <c r="Q567" s="101"/>
      <c r="R567" s="78" t="str">
        <f t="shared" si="50"/>
        <v/>
      </c>
    </row>
    <row r="568" spans="2:18" x14ac:dyDescent="0.2">
      <c r="B568" s="2" t="str">
        <f t="shared" si="51"/>
        <v/>
      </c>
      <c r="C568" s="2" t="str">
        <f t="shared" si="52"/>
        <v/>
      </c>
      <c r="D568" s="2" t="str">
        <f t="shared" si="53"/>
        <v>Y</v>
      </c>
      <c r="E568" s="2">
        <f t="shared" si="54"/>
        <v>0</v>
      </c>
      <c r="F568" s="2" t="str">
        <f t="shared" si="55"/>
        <v/>
      </c>
      <c r="H568" s="121" t="s">
        <v>565</v>
      </c>
      <c r="I568" s="92"/>
      <c r="J568" s="93"/>
      <c r="K568" s="93"/>
      <c r="L568" s="94"/>
      <c r="M568" s="100"/>
      <c r="N568" s="96"/>
      <c r="O568" s="97"/>
      <c r="P568" s="98"/>
      <c r="Q568" s="101"/>
      <c r="R568" s="78" t="str">
        <f t="shared" si="50"/>
        <v/>
      </c>
    </row>
    <row r="569" spans="2:18" x14ac:dyDescent="0.2">
      <c r="B569" s="2" t="str">
        <f t="shared" si="51"/>
        <v/>
      </c>
      <c r="C569" s="2" t="str">
        <f t="shared" si="52"/>
        <v/>
      </c>
      <c r="D569" s="2" t="str">
        <f t="shared" si="53"/>
        <v>Y</v>
      </c>
      <c r="E569" s="2">
        <f t="shared" si="54"/>
        <v>0</v>
      </c>
      <c r="F569" s="2" t="str">
        <f t="shared" si="55"/>
        <v/>
      </c>
      <c r="H569" s="121" t="s">
        <v>566</v>
      </c>
      <c r="I569" s="92"/>
      <c r="J569" s="93"/>
      <c r="K569" s="93"/>
      <c r="L569" s="94"/>
      <c r="M569" s="100"/>
      <c r="N569" s="96"/>
      <c r="O569" s="97"/>
      <c r="P569" s="98"/>
      <c r="Q569" s="101"/>
      <c r="R569" s="78" t="str">
        <f t="shared" si="50"/>
        <v/>
      </c>
    </row>
    <row r="570" spans="2:18" x14ac:dyDescent="0.2">
      <c r="B570" s="2" t="str">
        <f t="shared" si="51"/>
        <v/>
      </c>
      <c r="C570" s="2" t="str">
        <f t="shared" si="52"/>
        <v/>
      </c>
      <c r="D570" s="2" t="str">
        <f t="shared" si="53"/>
        <v>Y</v>
      </c>
      <c r="E570" s="2">
        <f t="shared" si="54"/>
        <v>0</v>
      </c>
      <c r="F570" s="2" t="str">
        <f t="shared" si="55"/>
        <v/>
      </c>
      <c r="H570" s="121" t="s">
        <v>567</v>
      </c>
      <c r="I570" s="92"/>
      <c r="J570" s="93"/>
      <c r="K570" s="93"/>
      <c r="L570" s="94"/>
      <c r="M570" s="100"/>
      <c r="N570" s="96"/>
      <c r="O570" s="97"/>
      <c r="P570" s="98"/>
      <c r="Q570" s="101"/>
      <c r="R570" s="78" t="str">
        <f t="shared" si="50"/>
        <v/>
      </c>
    </row>
    <row r="571" spans="2:18" x14ac:dyDescent="0.2">
      <c r="B571" s="2" t="str">
        <f t="shared" si="51"/>
        <v/>
      </c>
      <c r="C571" s="2" t="str">
        <f t="shared" si="52"/>
        <v/>
      </c>
      <c r="D571" s="2" t="str">
        <f t="shared" si="53"/>
        <v>Y</v>
      </c>
      <c r="E571" s="2">
        <f t="shared" si="54"/>
        <v>0</v>
      </c>
      <c r="F571" s="2" t="str">
        <f t="shared" si="55"/>
        <v/>
      </c>
      <c r="H571" s="121" t="s">
        <v>568</v>
      </c>
      <c r="I571" s="92"/>
      <c r="J571" s="93"/>
      <c r="K571" s="93"/>
      <c r="L571" s="94"/>
      <c r="M571" s="100"/>
      <c r="N571" s="96"/>
      <c r="O571" s="97"/>
      <c r="P571" s="98"/>
      <c r="Q571" s="101"/>
      <c r="R571" s="78" t="str">
        <f t="shared" si="50"/>
        <v/>
      </c>
    </row>
    <row r="572" spans="2:18" x14ac:dyDescent="0.2">
      <c r="B572" s="2" t="str">
        <f t="shared" si="51"/>
        <v/>
      </c>
      <c r="C572" s="2" t="str">
        <f t="shared" si="52"/>
        <v/>
      </c>
      <c r="D572" s="2" t="str">
        <f t="shared" si="53"/>
        <v>Y</v>
      </c>
      <c r="E572" s="2">
        <f t="shared" si="54"/>
        <v>0</v>
      </c>
      <c r="F572" s="2" t="str">
        <f t="shared" si="55"/>
        <v/>
      </c>
      <c r="H572" s="121" t="s">
        <v>569</v>
      </c>
      <c r="I572" s="92"/>
      <c r="J572" s="93"/>
      <c r="K572" s="93"/>
      <c r="L572" s="94"/>
      <c r="M572" s="100"/>
      <c r="N572" s="96"/>
      <c r="O572" s="97"/>
      <c r="P572" s="98"/>
      <c r="Q572" s="101"/>
      <c r="R572" s="78" t="str">
        <f t="shared" si="50"/>
        <v/>
      </c>
    </row>
    <row r="573" spans="2:18" x14ac:dyDescent="0.2">
      <c r="B573" s="2" t="str">
        <f t="shared" si="51"/>
        <v/>
      </c>
      <c r="C573" s="2" t="str">
        <f t="shared" si="52"/>
        <v/>
      </c>
      <c r="D573" s="2" t="str">
        <f t="shared" si="53"/>
        <v>Y</v>
      </c>
      <c r="E573" s="2">
        <f t="shared" si="54"/>
        <v>0</v>
      </c>
      <c r="F573" s="2" t="str">
        <f t="shared" si="55"/>
        <v/>
      </c>
      <c r="H573" s="121" t="s">
        <v>570</v>
      </c>
      <c r="I573" s="92"/>
      <c r="J573" s="93"/>
      <c r="K573" s="93"/>
      <c r="L573" s="94"/>
      <c r="M573" s="100"/>
      <c r="N573" s="96"/>
      <c r="O573" s="97"/>
      <c r="P573" s="98"/>
      <c r="Q573" s="101"/>
      <c r="R573" s="78" t="str">
        <f t="shared" si="50"/>
        <v/>
      </c>
    </row>
    <row r="574" spans="2:18" x14ac:dyDescent="0.2">
      <c r="B574" s="2" t="str">
        <f t="shared" si="51"/>
        <v/>
      </c>
      <c r="C574" s="2" t="str">
        <f t="shared" si="52"/>
        <v/>
      </c>
      <c r="D574" s="2" t="str">
        <f t="shared" si="53"/>
        <v>Y</v>
      </c>
      <c r="E574" s="2">
        <f t="shared" si="54"/>
        <v>0</v>
      </c>
      <c r="F574" s="2" t="str">
        <f t="shared" si="55"/>
        <v/>
      </c>
      <c r="H574" s="121" t="s">
        <v>571</v>
      </c>
      <c r="I574" s="92"/>
      <c r="J574" s="93"/>
      <c r="K574" s="93"/>
      <c r="L574" s="94"/>
      <c r="M574" s="100"/>
      <c r="N574" s="96"/>
      <c r="O574" s="97"/>
      <c r="P574" s="98"/>
      <c r="Q574" s="101"/>
      <c r="R574" s="78" t="str">
        <f t="shared" si="50"/>
        <v/>
      </c>
    </row>
    <row r="575" spans="2:18" x14ac:dyDescent="0.2">
      <c r="B575" s="2" t="str">
        <f t="shared" si="51"/>
        <v/>
      </c>
      <c r="C575" s="2" t="str">
        <f t="shared" si="52"/>
        <v/>
      </c>
      <c r="D575" s="2" t="str">
        <f t="shared" si="53"/>
        <v>Y</v>
      </c>
      <c r="E575" s="2">
        <f t="shared" si="54"/>
        <v>0</v>
      </c>
      <c r="F575" s="2" t="str">
        <f t="shared" si="55"/>
        <v/>
      </c>
      <c r="H575" s="121" t="s">
        <v>572</v>
      </c>
      <c r="I575" s="92"/>
      <c r="J575" s="93"/>
      <c r="K575" s="93"/>
      <c r="L575" s="94"/>
      <c r="M575" s="100"/>
      <c r="N575" s="96"/>
      <c r="O575" s="97"/>
      <c r="P575" s="98"/>
      <c r="Q575" s="101"/>
      <c r="R575" s="78" t="str">
        <f t="shared" si="50"/>
        <v/>
      </c>
    </row>
    <row r="576" spans="2:18" x14ac:dyDescent="0.2">
      <c r="B576" s="2" t="str">
        <f t="shared" si="51"/>
        <v/>
      </c>
      <c r="C576" s="2" t="str">
        <f t="shared" si="52"/>
        <v/>
      </c>
      <c r="D576" s="2" t="str">
        <f t="shared" si="53"/>
        <v>Y</v>
      </c>
      <c r="E576" s="2">
        <f t="shared" si="54"/>
        <v>0</v>
      </c>
      <c r="F576" s="2" t="str">
        <f t="shared" si="55"/>
        <v/>
      </c>
      <c r="H576" s="121" t="s">
        <v>573</v>
      </c>
      <c r="I576" s="92"/>
      <c r="J576" s="93"/>
      <c r="K576" s="93"/>
      <c r="L576" s="94"/>
      <c r="M576" s="100"/>
      <c r="N576" s="96"/>
      <c r="O576" s="97"/>
      <c r="P576" s="98"/>
      <c r="Q576" s="101"/>
      <c r="R576" s="78" t="str">
        <f t="shared" si="50"/>
        <v/>
      </c>
    </row>
    <row r="577" spans="2:18" x14ac:dyDescent="0.2">
      <c r="B577" s="2" t="str">
        <f t="shared" si="51"/>
        <v/>
      </c>
      <c r="C577" s="2" t="str">
        <f t="shared" si="52"/>
        <v/>
      </c>
      <c r="D577" s="2" t="str">
        <f t="shared" si="53"/>
        <v>Y</v>
      </c>
      <c r="E577" s="2">
        <f t="shared" si="54"/>
        <v>0</v>
      </c>
      <c r="F577" s="2" t="str">
        <f t="shared" si="55"/>
        <v/>
      </c>
      <c r="H577" s="121" t="s">
        <v>574</v>
      </c>
      <c r="I577" s="92"/>
      <c r="J577" s="93"/>
      <c r="K577" s="93"/>
      <c r="L577" s="94"/>
      <c r="M577" s="100"/>
      <c r="N577" s="96"/>
      <c r="O577" s="97"/>
      <c r="P577" s="98"/>
      <c r="Q577" s="101"/>
      <c r="R577" s="78" t="str">
        <f t="shared" si="50"/>
        <v/>
      </c>
    </row>
    <row r="578" spans="2:18" x14ac:dyDescent="0.2">
      <c r="B578" s="2" t="str">
        <f t="shared" si="51"/>
        <v/>
      </c>
      <c r="C578" s="2" t="str">
        <f t="shared" si="52"/>
        <v/>
      </c>
      <c r="D578" s="2" t="str">
        <f t="shared" si="53"/>
        <v>Y</v>
      </c>
      <c r="E578" s="2">
        <f t="shared" si="54"/>
        <v>0</v>
      </c>
      <c r="F578" s="2" t="str">
        <f t="shared" si="55"/>
        <v/>
      </c>
      <c r="H578" s="121" t="s">
        <v>575</v>
      </c>
      <c r="I578" s="92"/>
      <c r="J578" s="93"/>
      <c r="K578" s="93"/>
      <c r="L578" s="94"/>
      <c r="M578" s="100"/>
      <c r="N578" s="96"/>
      <c r="O578" s="97"/>
      <c r="P578" s="98"/>
      <c r="Q578" s="101"/>
      <c r="R578" s="78" t="str">
        <f t="shared" si="50"/>
        <v/>
      </c>
    </row>
    <row r="579" spans="2:18" x14ac:dyDescent="0.2">
      <c r="B579" s="2" t="str">
        <f t="shared" si="51"/>
        <v/>
      </c>
      <c r="C579" s="2" t="str">
        <f t="shared" si="52"/>
        <v/>
      </c>
      <c r="D579" s="2" t="str">
        <f t="shared" si="53"/>
        <v>Y</v>
      </c>
      <c r="E579" s="2">
        <f t="shared" si="54"/>
        <v>0</v>
      </c>
      <c r="F579" s="2" t="str">
        <f t="shared" si="55"/>
        <v/>
      </c>
      <c r="H579" s="121" t="s">
        <v>576</v>
      </c>
      <c r="I579" s="92"/>
      <c r="J579" s="93"/>
      <c r="K579" s="93"/>
      <c r="L579" s="94"/>
      <c r="M579" s="100"/>
      <c r="N579" s="96"/>
      <c r="O579" s="97"/>
      <c r="P579" s="98"/>
      <c r="Q579" s="101"/>
      <c r="R579" s="78" t="str">
        <f t="shared" si="50"/>
        <v/>
      </c>
    </row>
    <row r="580" spans="2:18" x14ac:dyDescent="0.2">
      <c r="B580" s="2" t="str">
        <f t="shared" si="51"/>
        <v/>
      </c>
      <c r="C580" s="2" t="str">
        <f t="shared" si="52"/>
        <v/>
      </c>
      <c r="D580" s="2" t="str">
        <f t="shared" si="53"/>
        <v>Y</v>
      </c>
      <c r="E580" s="2">
        <f t="shared" si="54"/>
        <v>0</v>
      </c>
      <c r="F580" s="2" t="str">
        <f t="shared" si="55"/>
        <v/>
      </c>
      <c r="H580" s="121" t="s">
        <v>577</v>
      </c>
      <c r="I580" s="92"/>
      <c r="J580" s="93"/>
      <c r="K580" s="93"/>
      <c r="L580" s="94"/>
      <c r="M580" s="100"/>
      <c r="N580" s="96"/>
      <c r="O580" s="97"/>
      <c r="P580" s="98"/>
      <c r="Q580" s="101"/>
      <c r="R580" s="78" t="str">
        <f t="shared" si="50"/>
        <v/>
      </c>
    </row>
    <row r="581" spans="2:18" x14ac:dyDescent="0.2">
      <c r="B581" s="2" t="str">
        <f t="shared" si="51"/>
        <v/>
      </c>
      <c r="C581" s="2" t="str">
        <f t="shared" si="52"/>
        <v/>
      </c>
      <c r="D581" s="2" t="str">
        <f t="shared" si="53"/>
        <v>Y</v>
      </c>
      <c r="E581" s="2">
        <f t="shared" si="54"/>
        <v>0</v>
      </c>
      <c r="F581" s="2" t="str">
        <f t="shared" si="55"/>
        <v/>
      </c>
      <c r="H581" s="121" t="s">
        <v>578</v>
      </c>
      <c r="I581" s="92"/>
      <c r="J581" s="93"/>
      <c r="K581" s="93"/>
      <c r="L581" s="94"/>
      <c r="M581" s="100"/>
      <c r="N581" s="96"/>
      <c r="O581" s="97"/>
      <c r="P581" s="98"/>
      <c r="Q581" s="101"/>
      <c r="R581" s="78" t="str">
        <f t="shared" si="50"/>
        <v/>
      </c>
    </row>
    <row r="582" spans="2:18" x14ac:dyDescent="0.2">
      <c r="B582" s="2" t="str">
        <f t="shared" si="51"/>
        <v/>
      </c>
      <c r="C582" s="2" t="str">
        <f t="shared" si="52"/>
        <v/>
      </c>
      <c r="D582" s="2" t="str">
        <f t="shared" si="53"/>
        <v>Y</v>
      </c>
      <c r="E582" s="2">
        <f t="shared" si="54"/>
        <v>0</v>
      </c>
      <c r="F582" s="2" t="str">
        <f t="shared" si="55"/>
        <v/>
      </c>
      <c r="H582" s="121" t="s">
        <v>579</v>
      </c>
      <c r="I582" s="92"/>
      <c r="J582" s="93"/>
      <c r="K582" s="93"/>
      <c r="L582" s="94"/>
      <c r="M582" s="100"/>
      <c r="N582" s="96"/>
      <c r="O582" s="97"/>
      <c r="P582" s="98"/>
      <c r="Q582" s="101"/>
      <c r="R582" s="78" t="str">
        <f t="shared" si="50"/>
        <v/>
      </c>
    </row>
    <row r="583" spans="2:18" x14ac:dyDescent="0.2">
      <c r="B583" s="2" t="str">
        <f t="shared" si="51"/>
        <v/>
      </c>
      <c r="C583" s="2" t="str">
        <f t="shared" si="52"/>
        <v/>
      </c>
      <c r="D583" s="2" t="str">
        <f t="shared" si="53"/>
        <v>Y</v>
      </c>
      <c r="E583" s="2">
        <f t="shared" si="54"/>
        <v>0</v>
      </c>
      <c r="F583" s="2" t="str">
        <f t="shared" si="55"/>
        <v/>
      </c>
      <c r="H583" s="121" t="s">
        <v>580</v>
      </c>
      <c r="I583" s="92"/>
      <c r="J583" s="93"/>
      <c r="K583" s="93"/>
      <c r="L583" s="94"/>
      <c r="M583" s="100"/>
      <c r="N583" s="96"/>
      <c r="O583" s="97"/>
      <c r="P583" s="98"/>
      <c r="Q583" s="101"/>
      <c r="R583" s="78" t="str">
        <f t="shared" si="50"/>
        <v/>
      </c>
    </row>
    <row r="584" spans="2:18" x14ac:dyDescent="0.2">
      <c r="B584" s="2" t="str">
        <f t="shared" si="51"/>
        <v/>
      </c>
      <c r="C584" s="2" t="str">
        <f t="shared" si="52"/>
        <v/>
      </c>
      <c r="D584" s="2" t="str">
        <f t="shared" si="53"/>
        <v>Y</v>
      </c>
      <c r="E584" s="2">
        <f t="shared" si="54"/>
        <v>0</v>
      </c>
      <c r="F584" s="2" t="str">
        <f t="shared" si="55"/>
        <v/>
      </c>
      <c r="H584" s="121" t="s">
        <v>581</v>
      </c>
      <c r="I584" s="92"/>
      <c r="J584" s="93"/>
      <c r="K584" s="93"/>
      <c r="L584" s="94"/>
      <c r="M584" s="100"/>
      <c r="N584" s="96"/>
      <c r="O584" s="97"/>
      <c r="P584" s="98"/>
      <c r="Q584" s="101"/>
      <c r="R584" s="78" t="str">
        <f t="shared" si="50"/>
        <v/>
      </c>
    </row>
    <row r="585" spans="2:18" x14ac:dyDescent="0.2">
      <c r="B585" s="2" t="str">
        <f t="shared" si="51"/>
        <v/>
      </c>
      <c r="C585" s="2" t="str">
        <f t="shared" si="52"/>
        <v/>
      </c>
      <c r="D585" s="2" t="str">
        <f t="shared" si="53"/>
        <v>Y</v>
      </c>
      <c r="E585" s="2">
        <f t="shared" si="54"/>
        <v>0</v>
      </c>
      <c r="F585" s="2" t="str">
        <f t="shared" si="55"/>
        <v/>
      </c>
      <c r="H585" s="121" t="s">
        <v>582</v>
      </c>
      <c r="I585" s="92"/>
      <c r="J585" s="93"/>
      <c r="K585" s="93"/>
      <c r="L585" s="94"/>
      <c r="M585" s="100"/>
      <c r="N585" s="96"/>
      <c r="O585" s="97"/>
      <c r="P585" s="98"/>
      <c r="Q585" s="101"/>
      <c r="R585" s="78" t="str">
        <f t="shared" si="50"/>
        <v/>
      </c>
    </row>
    <row r="586" spans="2:18" x14ac:dyDescent="0.2">
      <c r="B586" s="2" t="str">
        <f t="shared" si="51"/>
        <v/>
      </c>
      <c r="C586" s="2" t="str">
        <f t="shared" si="52"/>
        <v/>
      </c>
      <c r="D586" s="2" t="str">
        <f t="shared" si="53"/>
        <v>Y</v>
      </c>
      <c r="E586" s="2">
        <f t="shared" si="54"/>
        <v>0</v>
      </c>
      <c r="F586" s="2" t="str">
        <f t="shared" si="55"/>
        <v/>
      </c>
      <c r="H586" s="121" t="s">
        <v>583</v>
      </c>
      <c r="I586" s="92"/>
      <c r="J586" s="93"/>
      <c r="K586" s="93"/>
      <c r="L586" s="94"/>
      <c r="M586" s="100"/>
      <c r="N586" s="96"/>
      <c r="O586" s="97"/>
      <c r="P586" s="98"/>
      <c r="Q586" s="101"/>
      <c r="R586" s="78" t="str">
        <f t="shared" si="50"/>
        <v/>
      </c>
    </row>
    <row r="587" spans="2:18" x14ac:dyDescent="0.2">
      <c r="B587" s="2" t="str">
        <f t="shared" si="51"/>
        <v/>
      </c>
      <c r="C587" s="2" t="str">
        <f t="shared" si="52"/>
        <v/>
      </c>
      <c r="D587" s="2" t="str">
        <f t="shared" si="53"/>
        <v>Y</v>
      </c>
      <c r="E587" s="2">
        <f t="shared" si="54"/>
        <v>0</v>
      </c>
      <c r="F587" s="2" t="str">
        <f t="shared" si="55"/>
        <v/>
      </c>
      <c r="H587" s="121" t="s">
        <v>584</v>
      </c>
      <c r="I587" s="92"/>
      <c r="J587" s="93"/>
      <c r="K587" s="93"/>
      <c r="L587" s="94"/>
      <c r="M587" s="100"/>
      <c r="N587" s="96"/>
      <c r="O587" s="97"/>
      <c r="P587" s="98"/>
      <c r="Q587" s="101"/>
      <c r="R587" s="78" t="str">
        <f t="shared" ref="R587:R650" si="56">IF(ISERROR(VLOOKUP(K587,LB_PROJECTS,2,FALSE)),"",VLOOKUP(K587,LB_PROJECTS,2,FALSE))</f>
        <v/>
      </c>
    </row>
    <row r="588" spans="2:18" x14ac:dyDescent="0.2">
      <c r="B588" s="2" t="str">
        <f t="shared" ref="B588:B651" si="57">IF(M588="","",IF(WEEKNUM(M588)&lt;10,VALUE(CONCATENATE(YEAR(M588),"0",WEEKNUM(M588))),VALUE(CONCATENATE(YEAR(M588),WEEKNUM(M588)))))</f>
        <v/>
      </c>
      <c r="C588" s="2" t="str">
        <f t="shared" ref="C588:C651" si="58">IF(P588="","",IF(WEEKNUM(P588)&lt;10,VALUE(CONCATENATE(YEAR(P588),"0",WEEKNUM(P588))),VALUE(CONCATENATE(YEAR(P588),WEEKNUM(P588)))))</f>
        <v/>
      </c>
      <c r="D588" s="2" t="str">
        <f t="shared" ref="D588:D651" si="59">IF(OR(O588="Not started",O588="In progress"),"N",IF(OR(O588="N/A",O588="Suspended",O588="Canceled"),"","Y"))</f>
        <v>Y</v>
      </c>
      <c r="E588" s="2">
        <f t="shared" ref="E588:E651" si="60">IF(OR(O588="Not started",O588="In progress",O588="Applied",O588="Closed"),1,0)</f>
        <v>0</v>
      </c>
      <c r="F588" s="2" t="str">
        <f t="shared" si="55"/>
        <v/>
      </c>
      <c r="H588" s="121" t="s">
        <v>585</v>
      </c>
      <c r="I588" s="92"/>
      <c r="J588" s="93"/>
      <c r="K588" s="93"/>
      <c r="L588" s="94"/>
      <c r="M588" s="100"/>
      <c r="N588" s="96"/>
      <c r="O588" s="97"/>
      <c r="P588" s="98"/>
      <c r="Q588" s="101"/>
      <c r="R588" s="78" t="str">
        <f t="shared" si="56"/>
        <v/>
      </c>
    </row>
    <row r="589" spans="2:18" x14ac:dyDescent="0.2">
      <c r="B589" s="2" t="str">
        <f t="shared" si="57"/>
        <v/>
      </c>
      <c r="C589" s="2" t="str">
        <f t="shared" si="58"/>
        <v/>
      </c>
      <c r="D589" s="2" t="str">
        <f t="shared" si="59"/>
        <v>Y</v>
      </c>
      <c r="E589" s="2">
        <f t="shared" si="60"/>
        <v>0</v>
      </c>
      <c r="F589" s="2" t="str">
        <f t="shared" si="55"/>
        <v/>
      </c>
      <c r="H589" s="121" t="s">
        <v>586</v>
      </c>
      <c r="I589" s="92"/>
      <c r="J589" s="93"/>
      <c r="K589" s="93"/>
      <c r="L589" s="94"/>
      <c r="M589" s="100"/>
      <c r="N589" s="96"/>
      <c r="O589" s="97"/>
      <c r="P589" s="98"/>
      <c r="Q589" s="101"/>
      <c r="R589" s="78" t="str">
        <f t="shared" si="56"/>
        <v/>
      </c>
    </row>
    <row r="590" spans="2:18" x14ac:dyDescent="0.2">
      <c r="B590" s="2" t="str">
        <f t="shared" si="57"/>
        <v/>
      </c>
      <c r="C590" s="2" t="str">
        <f t="shared" si="58"/>
        <v/>
      </c>
      <c r="D590" s="2" t="str">
        <f t="shared" si="59"/>
        <v>Y</v>
      </c>
      <c r="E590" s="2">
        <f t="shared" si="60"/>
        <v>0</v>
      </c>
      <c r="F590" s="2" t="str">
        <f t="shared" ref="F590:F653" si="61">IF(N590="",B590,IF(WEEKNUM(N590)&lt;10,VALUE(CONCATENATE(YEAR(N590),"0",WEEKNUM(N590))),VALUE(CONCATENATE(YEAR(N590),WEEKNUM(N590)))))</f>
        <v/>
      </c>
      <c r="H590" s="121" t="s">
        <v>587</v>
      </c>
      <c r="I590" s="92"/>
      <c r="J590" s="93"/>
      <c r="K590" s="93"/>
      <c r="L590" s="94"/>
      <c r="M590" s="100"/>
      <c r="N590" s="96"/>
      <c r="O590" s="97"/>
      <c r="P590" s="98"/>
      <c r="Q590" s="101"/>
      <c r="R590" s="78" t="str">
        <f t="shared" si="56"/>
        <v/>
      </c>
    </row>
    <row r="591" spans="2:18" x14ac:dyDescent="0.2">
      <c r="B591" s="2" t="str">
        <f t="shared" si="57"/>
        <v/>
      </c>
      <c r="C591" s="2" t="str">
        <f t="shared" si="58"/>
        <v/>
      </c>
      <c r="D591" s="2" t="str">
        <f t="shared" si="59"/>
        <v>Y</v>
      </c>
      <c r="E591" s="2">
        <f t="shared" si="60"/>
        <v>0</v>
      </c>
      <c r="F591" s="2" t="str">
        <f t="shared" si="61"/>
        <v/>
      </c>
      <c r="H591" s="121" t="s">
        <v>588</v>
      </c>
      <c r="I591" s="92"/>
      <c r="J591" s="93"/>
      <c r="K591" s="93"/>
      <c r="L591" s="94"/>
      <c r="M591" s="100"/>
      <c r="N591" s="96"/>
      <c r="O591" s="97"/>
      <c r="P591" s="98"/>
      <c r="Q591" s="101"/>
      <c r="R591" s="78" t="str">
        <f t="shared" si="56"/>
        <v/>
      </c>
    </row>
    <row r="592" spans="2:18" x14ac:dyDescent="0.2">
      <c r="B592" s="2" t="str">
        <f t="shared" si="57"/>
        <v/>
      </c>
      <c r="C592" s="2" t="str">
        <f t="shared" si="58"/>
        <v/>
      </c>
      <c r="D592" s="2" t="str">
        <f t="shared" si="59"/>
        <v>Y</v>
      </c>
      <c r="E592" s="2">
        <f t="shared" si="60"/>
        <v>0</v>
      </c>
      <c r="F592" s="2" t="str">
        <f t="shared" si="61"/>
        <v/>
      </c>
      <c r="H592" s="121" t="s">
        <v>589</v>
      </c>
      <c r="I592" s="92"/>
      <c r="J592" s="93"/>
      <c r="K592" s="93"/>
      <c r="L592" s="94"/>
      <c r="M592" s="100"/>
      <c r="N592" s="96"/>
      <c r="O592" s="97"/>
      <c r="P592" s="98"/>
      <c r="Q592" s="101"/>
      <c r="R592" s="78" t="str">
        <f t="shared" si="56"/>
        <v/>
      </c>
    </row>
    <row r="593" spans="2:18" x14ac:dyDescent="0.2">
      <c r="B593" s="2" t="str">
        <f t="shared" si="57"/>
        <v/>
      </c>
      <c r="C593" s="2" t="str">
        <f t="shared" si="58"/>
        <v/>
      </c>
      <c r="D593" s="2" t="str">
        <f t="shared" si="59"/>
        <v>Y</v>
      </c>
      <c r="E593" s="2">
        <f t="shared" si="60"/>
        <v>0</v>
      </c>
      <c r="F593" s="2" t="str">
        <f t="shared" si="61"/>
        <v/>
      </c>
      <c r="H593" s="121" t="s">
        <v>590</v>
      </c>
      <c r="I593" s="92"/>
      <c r="J593" s="93"/>
      <c r="K593" s="93"/>
      <c r="L593" s="94"/>
      <c r="M593" s="100"/>
      <c r="N593" s="96"/>
      <c r="O593" s="97"/>
      <c r="P593" s="98"/>
      <c r="Q593" s="101"/>
      <c r="R593" s="78" t="str">
        <f t="shared" si="56"/>
        <v/>
      </c>
    </row>
    <row r="594" spans="2:18" x14ac:dyDescent="0.2">
      <c r="B594" s="2" t="str">
        <f t="shared" si="57"/>
        <v/>
      </c>
      <c r="C594" s="2" t="str">
        <f t="shared" si="58"/>
        <v/>
      </c>
      <c r="D594" s="2" t="str">
        <f t="shared" si="59"/>
        <v>Y</v>
      </c>
      <c r="E594" s="2">
        <f t="shared" si="60"/>
        <v>0</v>
      </c>
      <c r="F594" s="2" t="str">
        <f t="shared" si="61"/>
        <v/>
      </c>
      <c r="H594" s="121" t="s">
        <v>591</v>
      </c>
      <c r="I594" s="92"/>
      <c r="J594" s="93"/>
      <c r="K594" s="93"/>
      <c r="L594" s="94"/>
      <c r="M594" s="100"/>
      <c r="N594" s="96"/>
      <c r="O594" s="97"/>
      <c r="P594" s="98"/>
      <c r="Q594" s="101"/>
      <c r="R594" s="78" t="str">
        <f t="shared" si="56"/>
        <v/>
      </c>
    </row>
    <row r="595" spans="2:18" x14ac:dyDescent="0.2">
      <c r="B595" s="2" t="str">
        <f t="shared" si="57"/>
        <v/>
      </c>
      <c r="C595" s="2" t="str">
        <f t="shared" si="58"/>
        <v/>
      </c>
      <c r="D595" s="2" t="str">
        <f t="shared" si="59"/>
        <v>Y</v>
      </c>
      <c r="E595" s="2">
        <f t="shared" si="60"/>
        <v>0</v>
      </c>
      <c r="F595" s="2" t="str">
        <f t="shared" si="61"/>
        <v/>
      </c>
      <c r="H595" s="121" t="s">
        <v>592</v>
      </c>
      <c r="I595" s="92"/>
      <c r="J595" s="93"/>
      <c r="K595" s="93"/>
      <c r="L595" s="94"/>
      <c r="M595" s="100"/>
      <c r="N595" s="96"/>
      <c r="O595" s="97"/>
      <c r="P595" s="98"/>
      <c r="Q595" s="101"/>
      <c r="R595" s="78" t="str">
        <f t="shared" si="56"/>
        <v/>
      </c>
    </row>
    <row r="596" spans="2:18" x14ac:dyDescent="0.2">
      <c r="B596" s="2" t="str">
        <f t="shared" si="57"/>
        <v/>
      </c>
      <c r="C596" s="2" t="str">
        <f t="shared" si="58"/>
        <v/>
      </c>
      <c r="D596" s="2" t="str">
        <f t="shared" si="59"/>
        <v>Y</v>
      </c>
      <c r="E596" s="2">
        <f t="shared" si="60"/>
        <v>0</v>
      </c>
      <c r="F596" s="2" t="str">
        <f t="shared" si="61"/>
        <v/>
      </c>
      <c r="H596" s="121" t="s">
        <v>593</v>
      </c>
      <c r="I596" s="92"/>
      <c r="J596" s="93"/>
      <c r="K596" s="93"/>
      <c r="L596" s="94"/>
      <c r="M596" s="100"/>
      <c r="N596" s="96"/>
      <c r="O596" s="97"/>
      <c r="P596" s="98"/>
      <c r="Q596" s="101"/>
      <c r="R596" s="78" t="str">
        <f t="shared" si="56"/>
        <v/>
      </c>
    </row>
    <row r="597" spans="2:18" x14ac:dyDescent="0.2">
      <c r="B597" s="2" t="str">
        <f t="shared" si="57"/>
        <v/>
      </c>
      <c r="C597" s="2" t="str">
        <f t="shared" si="58"/>
        <v/>
      </c>
      <c r="D597" s="2" t="str">
        <f t="shared" si="59"/>
        <v>Y</v>
      </c>
      <c r="E597" s="2">
        <f t="shared" si="60"/>
        <v>0</v>
      </c>
      <c r="F597" s="2" t="str">
        <f t="shared" si="61"/>
        <v/>
      </c>
      <c r="H597" s="121" t="s">
        <v>594</v>
      </c>
      <c r="I597" s="92"/>
      <c r="J597" s="93"/>
      <c r="K597" s="93"/>
      <c r="L597" s="94"/>
      <c r="M597" s="100"/>
      <c r="N597" s="96"/>
      <c r="O597" s="97"/>
      <c r="P597" s="98"/>
      <c r="Q597" s="101"/>
      <c r="R597" s="78" t="str">
        <f t="shared" si="56"/>
        <v/>
      </c>
    </row>
    <row r="598" spans="2:18" x14ac:dyDescent="0.2">
      <c r="B598" s="2" t="str">
        <f t="shared" si="57"/>
        <v/>
      </c>
      <c r="C598" s="2" t="str">
        <f t="shared" si="58"/>
        <v/>
      </c>
      <c r="D598" s="2" t="str">
        <f t="shared" si="59"/>
        <v>Y</v>
      </c>
      <c r="E598" s="2">
        <f t="shared" si="60"/>
        <v>0</v>
      </c>
      <c r="F598" s="2" t="str">
        <f t="shared" si="61"/>
        <v/>
      </c>
      <c r="H598" s="121" t="s">
        <v>595</v>
      </c>
      <c r="I598" s="92"/>
      <c r="J598" s="93"/>
      <c r="K598" s="93"/>
      <c r="L598" s="94"/>
      <c r="M598" s="100"/>
      <c r="N598" s="96"/>
      <c r="O598" s="97"/>
      <c r="P598" s="98"/>
      <c r="Q598" s="101"/>
      <c r="R598" s="78" t="str">
        <f t="shared" si="56"/>
        <v/>
      </c>
    </row>
    <row r="599" spans="2:18" x14ac:dyDescent="0.2">
      <c r="B599" s="2" t="str">
        <f t="shared" si="57"/>
        <v/>
      </c>
      <c r="C599" s="2" t="str">
        <f t="shared" si="58"/>
        <v/>
      </c>
      <c r="D599" s="2" t="str">
        <f t="shared" si="59"/>
        <v>Y</v>
      </c>
      <c r="E599" s="2">
        <f t="shared" si="60"/>
        <v>0</v>
      </c>
      <c r="F599" s="2" t="str">
        <f t="shared" si="61"/>
        <v/>
      </c>
      <c r="H599" s="121" t="s">
        <v>596</v>
      </c>
      <c r="I599" s="92"/>
      <c r="J599" s="93"/>
      <c r="K599" s="93"/>
      <c r="L599" s="94"/>
      <c r="M599" s="100"/>
      <c r="N599" s="96"/>
      <c r="O599" s="97"/>
      <c r="P599" s="98"/>
      <c r="Q599" s="101"/>
      <c r="R599" s="78" t="str">
        <f t="shared" si="56"/>
        <v/>
      </c>
    </row>
    <row r="600" spans="2:18" x14ac:dyDescent="0.2">
      <c r="B600" s="2" t="str">
        <f t="shared" si="57"/>
        <v/>
      </c>
      <c r="C600" s="2" t="str">
        <f t="shared" si="58"/>
        <v/>
      </c>
      <c r="D600" s="2" t="str">
        <f t="shared" si="59"/>
        <v>Y</v>
      </c>
      <c r="E600" s="2">
        <f t="shared" si="60"/>
        <v>0</v>
      </c>
      <c r="F600" s="2" t="str">
        <f t="shared" si="61"/>
        <v/>
      </c>
      <c r="H600" s="121" t="s">
        <v>597</v>
      </c>
      <c r="I600" s="92"/>
      <c r="J600" s="93"/>
      <c r="K600" s="93"/>
      <c r="L600" s="94"/>
      <c r="M600" s="100"/>
      <c r="N600" s="96"/>
      <c r="O600" s="97"/>
      <c r="P600" s="98"/>
      <c r="Q600" s="101"/>
      <c r="R600" s="78" t="str">
        <f t="shared" si="56"/>
        <v/>
      </c>
    </row>
    <row r="601" spans="2:18" x14ac:dyDescent="0.2">
      <c r="B601" s="2" t="str">
        <f t="shared" si="57"/>
        <v/>
      </c>
      <c r="C601" s="2" t="str">
        <f t="shared" si="58"/>
        <v/>
      </c>
      <c r="D601" s="2" t="str">
        <f t="shared" si="59"/>
        <v>Y</v>
      </c>
      <c r="E601" s="2">
        <f t="shared" si="60"/>
        <v>0</v>
      </c>
      <c r="F601" s="2" t="str">
        <f t="shared" si="61"/>
        <v/>
      </c>
      <c r="H601" s="121" t="s">
        <v>598</v>
      </c>
      <c r="I601" s="92"/>
      <c r="J601" s="93"/>
      <c r="K601" s="93"/>
      <c r="L601" s="94"/>
      <c r="M601" s="100"/>
      <c r="N601" s="96"/>
      <c r="O601" s="97"/>
      <c r="P601" s="98"/>
      <c r="Q601" s="101"/>
      <c r="R601" s="78" t="str">
        <f t="shared" si="56"/>
        <v/>
      </c>
    </row>
    <row r="602" spans="2:18" x14ac:dyDescent="0.2">
      <c r="B602" s="2" t="str">
        <f t="shared" si="57"/>
        <v/>
      </c>
      <c r="C602" s="2" t="str">
        <f t="shared" si="58"/>
        <v/>
      </c>
      <c r="D602" s="2" t="str">
        <f t="shared" si="59"/>
        <v>Y</v>
      </c>
      <c r="E602" s="2">
        <f t="shared" si="60"/>
        <v>0</v>
      </c>
      <c r="F602" s="2" t="str">
        <f t="shared" si="61"/>
        <v/>
      </c>
      <c r="H602" s="121" t="s">
        <v>599</v>
      </c>
      <c r="I602" s="92"/>
      <c r="J602" s="93"/>
      <c r="K602" s="93"/>
      <c r="L602" s="94"/>
      <c r="M602" s="100"/>
      <c r="N602" s="96"/>
      <c r="O602" s="97"/>
      <c r="P602" s="98"/>
      <c r="Q602" s="101"/>
      <c r="R602" s="78" t="str">
        <f t="shared" si="56"/>
        <v/>
      </c>
    </row>
    <row r="603" spans="2:18" x14ac:dyDescent="0.2">
      <c r="B603" s="2" t="str">
        <f t="shared" si="57"/>
        <v/>
      </c>
      <c r="C603" s="2" t="str">
        <f t="shared" si="58"/>
        <v/>
      </c>
      <c r="D603" s="2" t="str">
        <f t="shared" si="59"/>
        <v>Y</v>
      </c>
      <c r="E603" s="2">
        <f t="shared" si="60"/>
        <v>0</v>
      </c>
      <c r="F603" s="2" t="str">
        <f t="shared" si="61"/>
        <v/>
      </c>
      <c r="H603" s="121" t="s">
        <v>600</v>
      </c>
      <c r="I603" s="92"/>
      <c r="J603" s="93"/>
      <c r="K603" s="93"/>
      <c r="L603" s="94"/>
      <c r="M603" s="100"/>
      <c r="N603" s="96"/>
      <c r="O603" s="97"/>
      <c r="P603" s="98"/>
      <c r="Q603" s="101"/>
      <c r="R603" s="78" t="str">
        <f t="shared" si="56"/>
        <v/>
      </c>
    </row>
    <row r="604" spans="2:18" x14ac:dyDescent="0.2">
      <c r="B604" s="2" t="str">
        <f t="shared" si="57"/>
        <v/>
      </c>
      <c r="C604" s="2" t="str">
        <f t="shared" si="58"/>
        <v/>
      </c>
      <c r="D604" s="2" t="str">
        <f t="shared" si="59"/>
        <v>Y</v>
      </c>
      <c r="E604" s="2">
        <f t="shared" si="60"/>
        <v>0</v>
      </c>
      <c r="F604" s="2" t="str">
        <f t="shared" si="61"/>
        <v/>
      </c>
      <c r="H604" s="121" t="s">
        <v>601</v>
      </c>
      <c r="I604" s="92"/>
      <c r="J604" s="93"/>
      <c r="K604" s="93"/>
      <c r="L604" s="94"/>
      <c r="M604" s="100"/>
      <c r="N604" s="96"/>
      <c r="O604" s="97"/>
      <c r="P604" s="98"/>
      <c r="Q604" s="101"/>
      <c r="R604" s="78" t="str">
        <f t="shared" si="56"/>
        <v/>
      </c>
    </row>
    <row r="605" spans="2:18" x14ac:dyDescent="0.2">
      <c r="B605" s="2" t="str">
        <f t="shared" si="57"/>
        <v/>
      </c>
      <c r="C605" s="2" t="str">
        <f t="shared" si="58"/>
        <v/>
      </c>
      <c r="D605" s="2" t="str">
        <f t="shared" si="59"/>
        <v>Y</v>
      </c>
      <c r="E605" s="2">
        <f t="shared" si="60"/>
        <v>0</v>
      </c>
      <c r="F605" s="2" t="str">
        <f t="shared" si="61"/>
        <v/>
      </c>
      <c r="H605" s="121" t="s">
        <v>602</v>
      </c>
      <c r="I605" s="92"/>
      <c r="J605" s="93"/>
      <c r="K605" s="93"/>
      <c r="L605" s="94"/>
      <c r="M605" s="100"/>
      <c r="N605" s="96"/>
      <c r="O605" s="97"/>
      <c r="P605" s="98"/>
      <c r="Q605" s="101"/>
      <c r="R605" s="78" t="str">
        <f t="shared" si="56"/>
        <v/>
      </c>
    </row>
    <row r="606" spans="2:18" x14ac:dyDescent="0.2">
      <c r="B606" s="2" t="str">
        <f t="shared" si="57"/>
        <v/>
      </c>
      <c r="C606" s="2" t="str">
        <f t="shared" si="58"/>
        <v/>
      </c>
      <c r="D606" s="2" t="str">
        <f t="shared" si="59"/>
        <v>Y</v>
      </c>
      <c r="E606" s="2">
        <f t="shared" si="60"/>
        <v>0</v>
      </c>
      <c r="F606" s="2" t="str">
        <f t="shared" si="61"/>
        <v/>
      </c>
      <c r="H606" s="121" t="s">
        <v>603</v>
      </c>
      <c r="I606" s="92"/>
      <c r="J606" s="93"/>
      <c r="K606" s="93"/>
      <c r="L606" s="94"/>
      <c r="M606" s="100"/>
      <c r="N606" s="96"/>
      <c r="O606" s="97"/>
      <c r="P606" s="98"/>
      <c r="Q606" s="101"/>
      <c r="R606" s="78" t="str">
        <f t="shared" si="56"/>
        <v/>
      </c>
    </row>
    <row r="607" spans="2:18" x14ac:dyDescent="0.2">
      <c r="B607" s="2" t="str">
        <f t="shared" si="57"/>
        <v/>
      </c>
      <c r="C607" s="2" t="str">
        <f t="shared" si="58"/>
        <v/>
      </c>
      <c r="D607" s="2" t="str">
        <f t="shared" si="59"/>
        <v>Y</v>
      </c>
      <c r="E607" s="2">
        <f t="shared" si="60"/>
        <v>0</v>
      </c>
      <c r="F607" s="2" t="str">
        <f t="shared" si="61"/>
        <v/>
      </c>
      <c r="H607" s="121" t="s">
        <v>604</v>
      </c>
      <c r="I607" s="92"/>
      <c r="J607" s="93"/>
      <c r="K607" s="93"/>
      <c r="L607" s="94"/>
      <c r="M607" s="100"/>
      <c r="N607" s="96"/>
      <c r="O607" s="97"/>
      <c r="P607" s="98"/>
      <c r="Q607" s="101"/>
      <c r="R607" s="78" t="str">
        <f t="shared" si="56"/>
        <v/>
      </c>
    </row>
    <row r="608" spans="2:18" x14ac:dyDescent="0.2">
      <c r="B608" s="2" t="str">
        <f t="shared" si="57"/>
        <v/>
      </c>
      <c r="C608" s="2" t="str">
        <f t="shared" si="58"/>
        <v/>
      </c>
      <c r="D608" s="2" t="str">
        <f t="shared" si="59"/>
        <v>Y</v>
      </c>
      <c r="E608" s="2">
        <f t="shared" si="60"/>
        <v>0</v>
      </c>
      <c r="F608" s="2" t="str">
        <f t="shared" si="61"/>
        <v/>
      </c>
      <c r="H608" s="121" t="s">
        <v>605</v>
      </c>
      <c r="I608" s="92"/>
      <c r="J608" s="93"/>
      <c r="K608" s="93"/>
      <c r="L608" s="94"/>
      <c r="M608" s="100"/>
      <c r="N608" s="96"/>
      <c r="O608" s="97"/>
      <c r="P608" s="98"/>
      <c r="Q608" s="101"/>
      <c r="R608" s="78" t="str">
        <f t="shared" si="56"/>
        <v/>
      </c>
    </row>
    <row r="609" spans="2:18" x14ac:dyDescent="0.2">
      <c r="B609" s="2" t="str">
        <f t="shared" si="57"/>
        <v/>
      </c>
      <c r="C609" s="2" t="str">
        <f t="shared" si="58"/>
        <v/>
      </c>
      <c r="D609" s="2" t="str">
        <f t="shared" si="59"/>
        <v>Y</v>
      </c>
      <c r="E609" s="2">
        <f t="shared" si="60"/>
        <v>0</v>
      </c>
      <c r="F609" s="2" t="str">
        <f t="shared" si="61"/>
        <v/>
      </c>
      <c r="H609" s="121" t="s">
        <v>606</v>
      </c>
      <c r="I609" s="92"/>
      <c r="J609" s="93"/>
      <c r="K609" s="93"/>
      <c r="L609" s="94"/>
      <c r="M609" s="100"/>
      <c r="N609" s="96"/>
      <c r="O609" s="97"/>
      <c r="P609" s="98"/>
      <c r="Q609" s="101"/>
      <c r="R609" s="78" t="str">
        <f t="shared" si="56"/>
        <v/>
      </c>
    </row>
    <row r="610" spans="2:18" x14ac:dyDescent="0.2">
      <c r="B610" s="2" t="str">
        <f t="shared" si="57"/>
        <v/>
      </c>
      <c r="C610" s="2" t="str">
        <f t="shared" si="58"/>
        <v/>
      </c>
      <c r="D610" s="2" t="str">
        <f t="shared" si="59"/>
        <v>Y</v>
      </c>
      <c r="E610" s="2">
        <f t="shared" si="60"/>
        <v>0</v>
      </c>
      <c r="F610" s="2" t="str">
        <f t="shared" si="61"/>
        <v/>
      </c>
      <c r="H610" s="121" t="s">
        <v>607</v>
      </c>
      <c r="I610" s="92"/>
      <c r="J610" s="93"/>
      <c r="K610" s="93"/>
      <c r="L610" s="94"/>
      <c r="M610" s="100"/>
      <c r="N610" s="96"/>
      <c r="O610" s="97"/>
      <c r="P610" s="98"/>
      <c r="Q610" s="101"/>
      <c r="R610" s="78" t="str">
        <f t="shared" si="56"/>
        <v/>
      </c>
    </row>
    <row r="611" spans="2:18" x14ac:dyDescent="0.2">
      <c r="B611" s="2" t="str">
        <f t="shared" si="57"/>
        <v/>
      </c>
      <c r="C611" s="2" t="str">
        <f t="shared" si="58"/>
        <v/>
      </c>
      <c r="D611" s="2" t="str">
        <f t="shared" si="59"/>
        <v>Y</v>
      </c>
      <c r="E611" s="2">
        <f t="shared" si="60"/>
        <v>0</v>
      </c>
      <c r="F611" s="2" t="str">
        <f t="shared" si="61"/>
        <v/>
      </c>
      <c r="H611" s="121" t="s">
        <v>608</v>
      </c>
      <c r="I611" s="92"/>
      <c r="J611" s="93"/>
      <c r="K611" s="93"/>
      <c r="L611" s="94"/>
      <c r="M611" s="100"/>
      <c r="N611" s="96"/>
      <c r="O611" s="97"/>
      <c r="P611" s="98"/>
      <c r="Q611" s="101"/>
      <c r="R611" s="78" t="str">
        <f t="shared" si="56"/>
        <v/>
      </c>
    </row>
    <row r="612" spans="2:18" x14ac:dyDescent="0.2">
      <c r="B612" s="2" t="str">
        <f t="shared" si="57"/>
        <v/>
      </c>
      <c r="C612" s="2" t="str">
        <f t="shared" si="58"/>
        <v/>
      </c>
      <c r="D612" s="2" t="str">
        <f t="shared" si="59"/>
        <v>Y</v>
      </c>
      <c r="E612" s="2">
        <f t="shared" si="60"/>
        <v>0</v>
      </c>
      <c r="F612" s="2" t="str">
        <f t="shared" si="61"/>
        <v/>
      </c>
      <c r="H612" s="121" t="s">
        <v>609</v>
      </c>
      <c r="I612" s="92"/>
      <c r="J612" s="93"/>
      <c r="K612" s="93"/>
      <c r="L612" s="94"/>
      <c r="M612" s="100"/>
      <c r="N612" s="96"/>
      <c r="O612" s="97"/>
      <c r="P612" s="98"/>
      <c r="Q612" s="101"/>
      <c r="R612" s="78" t="str">
        <f t="shared" si="56"/>
        <v/>
      </c>
    </row>
    <row r="613" spans="2:18" x14ac:dyDescent="0.2">
      <c r="B613" s="2" t="str">
        <f t="shared" si="57"/>
        <v/>
      </c>
      <c r="C613" s="2" t="str">
        <f t="shared" si="58"/>
        <v/>
      </c>
      <c r="D613" s="2" t="str">
        <f t="shared" si="59"/>
        <v>Y</v>
      </c>
      <c r="E613" s="2">
        <f t="shared" si="60"/>
        <v>0</v>
      </c>
      <c r="F613" s="2" t="str">
        <f t="shared" si="61"/>
        <v/>
      </c>
      <c r="H613" s="121" t="s">
        <v>610</v>
      </c>
      <c r="I613" s="92"/>
      <c r="J613" s="93"/>
      <c r="K613" s="93"/>
      <c r="L613" s="94"/>
      <c r="M613" s="100"/>
      <c r="N613" s="96"/>
      <c r="O613" s="97"/>
      <c r="P613" s="98"/>
      <c r="Q613" s="101"/>
      <c r="R613" s="78" t="str">
        <f t="shared" si="56"/>
        <v/>
      </c>
    </row>
    <row r="614" spans="2:18" x14ac:dyDescent="0.2">
      <c r="B614" s="2" t="str">
        <f t="shared" si="57"/>
        <v/>
      </c>
      <c r="C614" s="2" t="str">
        <f t="shared" si="58"/>
        <v/>
      </c>
      <c r="D614" s="2" t="str">
        <f t="shared" si="59"/>
        <v>Y</v>
      </c>
      <c r="E614" s="2">
        <f t="shared" si="60"/>
        <v>0</v>
      </c>
      <c r="F614" s="2" t="str">
        <f t="shared" si="61"/>
        <v/>
      </c>
      <c r="H614" s="121" t="s">
        <v>611</v>
      </c>
      <c r="I614" s="92"/>
      <c r="J614" s="93"/>
      <c r="K614" s="93"/>
      <c r="L614" s="94"/>
      <c r="M614" s="100"/>
      <c r="N614" s="96"/>
      <c r="O614" s="97"/>
      <c r="P614" s="98"/>
      <c r="Q614" s="101"/>
      <c r="R614" s="78" t="str">
        <f t="shared" si="56"/>
        <v/>
      </c>
    </row>
    <row r="615" spans="2:18" x14ac:dyDescent="0.2">
      <c r="B615" s="2" t="str">
        <f t="shared" si="57"/>
        <v/>
      </c>
      <c r="C615" s="2" t="str">
        <f t="shared" si="58"/>
        <v/>
      </c>
      <c r="D615" s="2" t="str">
        <f t="shared" si="59"/>
        <v>Y</v>
      </c>
      <c r="E615" s="2">
        <f t="shared" si="60"/>
        <v>0</v>
      </c>
      <c r="F615" s="2" t="str">
        <f t="shared" si="61"/>
        <v/>
      </c>
      <c r="H615" s="121" t="s">
        <v>612</v>
      </c>
      <c r="I615" s="92"/>
      <c r="J615" s="93"/>
      <c r="K615" s="93"/>
      <c r="L615" s="94"/>
      <c r="M615" s="100"/>
      <c r="N615" s="96"/>
      <c r="O615" s="97"/>
      <c r="P615" s="98"/>
      <c r="Q615" s="101"/>
      <c r="R615" s="78" t="str">
        <f t="shared" si="56"/>
        <v/>
      </c>
    </row>
    <row r="616" spans="2:18" x14ac:dyDescent="0.2">
      <c r="B616" s="2" t="str">
        <f t="shared" si="57"/>
        <v/>
      </c>
      <c r="C616" s="2" t="str">
        <f t="shared" si="58"/>
        <v/>
      </c>
      <c r="D616" s="2" t="str">
        <f t="shared" si="59"/>
        <v>Y</v>
      </c>
      <c r="E616" s="2">
        <f t="shared" si="60"/>
        <v>0</v>
      </c>
      <c r="F616" s="2" t="str">
        <f t="shared" si="61"/>
        <v/>
      </c>
      <c r="H616" s="121" t="s">
        <v>613</v>
      </c>
      <c r="I616" s="92"/>
      <c r="J616" s="93"/>
      <c r="K616" s="93"/>
      <c r="L616" s="94"/>
      <c r="M616" s="100"/>
      <c r="N616" s="96"/>
      <c r="O616" s="97"/>
      <c r="P616" s="98"/>
      <c r="Q616" s="101"/>
      <c r="R616" s="78" t="str">
        <f t="shared" si="56"/>
        <v/>
      </c>
    </row>
    <row r="617" spans="2:18" x14ac:dyDescent="0.2">
      <c r="B617" s="2" t="str">
        <f t="shared" si="57"/>
        <v/>
      </c>
      <c r="C617" s="2" t="str">
        <f t="shared" si="58"/>
        <v/>
      </c>
      <c r="D617" s="2" t="str">
        <f t="shared" si="59"/>
        <v>Y</v>
      </c>
      <c r="E617" s="2">
        <f t="shared" si="60"/>
        <v>0</v>
      </c>
      <c r="F617" s="2" t="str">
        <f t="shared" si="61"/>
        <v/>
      </c>
      <c r="H617" s="121" t="s">
        <v>614</v>
      </c>
      <c r="I617" s="92"/>
      <c r="J617" s="93"/>
      <c r="K617" s="93"/>
      <c r="L617" s="94"/>
      <c r="M617" s="100"/>
      <c r="N617" s="96"/>
      <c r="O617" s="97"/>
      <c r="P617" s="98"/>
      <c r="Q617" s="101"/>
      <c r="R617" s="78" t="str">
        <f t="shared" si="56"/>
        <v/>
      </c>
    </row>
    <row r="618" spans="2:18" x14ac:dyDescent="0.2">
      <c r="B618" s="2" t="str">
        <f t="shared" si="57"/>
        <v/>
      </c>
      <c r="C618" s="2" t="str">
        <f t="shared" si="58"/>
        <v/>
      </c>
      <c r="D618" s="2" t="str">
        <f t="shared" si="59"/>
        <v>Y</v>
      </c>
      <c r="E618" s="2">
        <f t="shared" si="60"/>
        <v>0</v>
      </c>
      <c r="F618" s="2" t="str">
        <f t="shared" si="61"/>
        <v/>
      </c>
      <c r="H618" s="121" t="s">
        <v>615</v>
      </c>
      <c r="I618" s="92"/>
      <c r="J618" s="93"/>
      <c r="K618" s="93"/>
      <c r="L618" s="94"/>
      <c r="M618" s="100"/>
      <c r="N618" s="96"/>
      <c r="O618" s="97"/>
      <c r="P618" s="98"/>
      <c r="Q618" s="101"/>
      <c r="R618" s="78" t="str">
        <f t="shared" si="56"/>
        <v/>
      </c>
    </row>
    <row r="619" spans="2:18" x14ac:dyDescent="0.2">
      <c r="B619" s="2" t="str">
        <f t="shared" si="57"/>
        <v/>
      </c>
      <c r="C619" s="2" t="str">
        <f t="shared" si="58"/>
        <v/>
      </c>
      <c r="D619" s="2" t="str">
        <f t="shared" si="59"/>
        <v>Y</v>
      </c>
      <c r="E619" s="2">
        <f t="shared" si="60"/>
        <v>0</v>
      </c>
      <c r="F619" s="2" t="str">
        <f t="shared" si="61"/>
        <v/>
      </c>
      <c r="H619" s="121" t="s">
        <v>616</v>
      </c>
      <c r="I619" s="92"/>
      <c r="J619" s="93"/>
      <c r="K619" s="93"/>
      <c r="L619" s="94"/>
      <c r="M619" s="100"/>
      <c r="N619" s="96"/>
      <c r="O619" s="97"/>
      <c r="P619" s="98"/>
      <c r="Q619" s="101"/>
      <c r="R619" s="78" t="str">
        <f t="shared" si="56"/>
        <v/>
      </c>
    </row>
    <row r="620" spans="2:18" x14ac:dyDescent="0.2">
      <c r="B620" s="2" t="str">
        <f t="shared" si="57"/>
        <v/>
      </c>
      <c r="C620" s="2" t="str">
        <f t="shared" si="58"/>
        <v/>
      </c>
      <c r="D620" s="2" t="str">
        <f t="shared" si="59"/>
        <v>Y</v>
      </c>
      <c r="E620" s="2">
        <f t="shared" si="60"/>
        <v>0</v>
      </c>
      <c r="F620" s="2" t="str">
        <f t="shared" si="61"/>
        <v/>
      </c>
      <c r="H620" s="121" t="s">
        <v>617</v>
      </c>
      <c r="I620" s="92"/>
      <c r="J620" s="93"/>
      <c r="K620" s="93"/>
      <c r="L620" s="94"/>
      <c r="M620" s="100"/>
      <c r="N620" s="96"/>
      <c r="O620" s="97"/>
      <c r="P620" s="98"/>
      <c r="Q620" s="101"/>
      <c r="R620" s="78" t="str">
        <f t="shared" si="56"/>
        <v/>
      </c>
    </row>
    <row r="621" spans="2:18" x14ac:dyDescent="0.2">
      <c r="B621" s="2" t="str">
        <f t="shared" si="57"/>
        <v/>
      </c>
      <c r="C621" s="2" t="str">
        <f t="shared" si="58"/>
        <v/>
      </c>
      <c r="D621" s="2" t="str">
        <f t="shared" si="59"/>
        <v>Y</v>
      </c>
      <c r="E621" s="2">
        <f t="shared" si="60"/>
        <v>0</v>
      </c>
      <c r="F621" s="2" t="str">
        <f t="shared" si="61"/>
        <v/>
      </c>
      <c r="H621" s="121" t="s">
        <v>618</v>
      </c>
      <c r="I621" s="92"/>
      <c r="J621" s="93"/>
      <c r="K621" s="93"/>
      <c r="L621" s="94"/>
      <c r="M621" s="100"/>
      <c r="N621" s="96"/>
      <c r="O621" s="97"/>
      <c r="P621" s="98"/>
      <c r="Q621" s="101"/>
      <c r="R621" s="78" t="str">
        <f t="shared" si="56"/>
        <v/>
      </c>
    </row>
    <row r="622" spans="2:18" x14ac:dyDescent="0.2">
      <c r="B622" s="2" t="str">
        <f t="shared" si="57"/>
        <v/>
      </c>
      <c r="C622" s="2" t="str">
        <f t="shared" si="58"/>
        <v/>
      </c>
      <c r="D622" s="2" t="str">
        <f t="shared" si="59"/>
        <v>Y</v>
      </c>
      <c r="E622" s="2">
        <f t="shared" si="60"/>
        <v>0</v>
      </c>
      <c r="F622" s="2" t="str">
        <f t="shared" si="61"/>
        <v/>
      </c>
      <c r="H622" s="121" t="s">
        <v>619</v>
      </c>
      <c r="I622" s="92"/>
      <c r="J622" s="93"/>
      <c r="K622" s="93"/>
      <c r="L622" s="94"/>
      <c r="M622" s="100"/>
      <c r="N622" s="96"/>
      <c r="O622" s="97"/>
      <c r="P622" s="98"/>
      <c r="Q622" s="101"/>
      <c r="R622" s="78" t="str">
        <f t="shared" si="56"/>
        <v/>
      </c>
    </row>
    <row r="623" spans="2:18" x14ac:dyDescent="0.2">
      <c r="B623" s="2" t="str">
        <f t="shared" si="57"/>
        <v/>
      </c>
      <c r="C623" s="2" t="str">
        <f t="shared" si="58"/>
        <v/>
      </c>
      <c r="D623" s="2" t="str">
        <f t="shared" si="59"/>
        <v>Y</v>
      </c>
      <c r="E623" s="2">
        <f t="shared" si="60"/>
        <v>0</v>
      </c>
      <c r="F623" s="2" t="str">
        <f t="shared" si="61"/>
        <v/>
      </c>
      <c r="H623" s="121" t="s">
        <v>620</v>
      </c>
      <c r="I623" s="92"/>
      <c r="J623" s="93"/>
      <c r="K623" s="93"/>
      <c r="L623" s="94"/>
      <c r="M623" s="100"/>
      <c r="N623" s="96"/>
      <c r="O623" s="97"/>
      <c r="P623" s="98"/>
      <c r="Q623" s="101"/>
      <c r="R623" s="78" t="str">
        <f t="shared" si="56"/>
        <v/>
      </c>
    </row>
    <row r="624" spans="2:18" x14ac:dyDescent="0.2">
      <c r="B624" s="2" t="str">
        <f t="shared" si="57"/>
        <v/>
      </c>
      <c r="C624" s="2" t="str">
        <f t="shared" si="58"/>
        <v/>
      </c>
      <c r="D624" s="2" t="str">
        <f t="shared" si="59"/>
        <v>Y</v>
      </c>
      <c r="E624" s="2">
        <f t="shared" si="60"/>
        <v>0</v>
      </c>
      <c r="F624" s="2" t="str">
        <f t="shared" si="61"/>
        <v/>
      </c>
      <c r="H624" s="121" t="s">
        <v>621</v>
      </c>
      <c r="I624" s="92"/>
      <c r="J624" s="93"/>
      <c r="K624" s="93"/>
      <c r="L624" s="94"/>
      <c r="M624" s="100"/>
      <c r="N624" s="96"/>
      <c r="O624" s="97"/>
      <c r="P624" s="98"/>
      <c r="Q624" s="101"/>
      <c r="R624" s="78" t="str">
        <f t="shared" si="56"/>
        <v/>
      </c>
    </row>
    <row r="625" spans="2:18" x14ac:dyDescent="0.2">
      <c r="B625" s="2" t="str">
        <f t="shared" si="57"/>
        <v/>
      </c>
      <c r="C625" s="2" t="str">
        <f t="shared" si="58"/>
        <v/>
      </c>
      <c r="D625" s="2" t="str">
        <f t="shared" si="59"/>
        <v>Y</v>
      </c>
      <c r="E625" s="2">
        <f t="shared" si="60"/>
        <v>0</v>
      </c>
      <c r="F625" s="2" t="str">
        <f t="shared" si="61"/>
        <v/>
      </c>
      <c r="H625" s="121" t="s">
        <v>622</v>
      </c>
      <c r="I625" s="92"/>
      <c r="J625" s="93"/>
      <c r="K625" s="93"/>
      <c r="L625" s="94"/>
      <c r="M625" s="100"/>
      <c r="N625" s="96"/>
      <c r="O625" s="97"/>
      <c r="P625" s="98"/>
      <c r="Q625" s="101"/>
      <c r="R625" s="78" t="str">
        <f t="shared" si="56"/>
        <v/>
      </c>
    </row>
    <row r="626" spans="2:18" x14ac:dyDescent="0.2">
      <c r="B626" s="2" t="str">
        <f t="shared" si="57"/>
        <v/>
      </c>
      <c r="C626" s="2" t="str">
        <f t="shared" si="58"/>
        <v/>
      </c>
      <c r="D626" s="2" t="str">
        <f t="shared" si="59"/>
        <v>Y</v>
      </c>
      <c r="E626" s="2">
        <f t="shared" si="60"/>
        <v>0</v>
      </c>
      <c r="F626" s="2" t="str">
        <f t="shared" si="61"/>
        <v/>
      </c>
      <c r="H626" s="121" t="s">
        <v>623</v>
      </c>
      <c r="I626" s="92"/>
      <c r="J626" s="93"/>
      <c r="K626" s="93"/>
      <c r="L626" s="94"/>
      <c r="M626" s="100"/>
      <c r="N626" s="96"/>
      <c r="O626" s="97"/>
      <c r="P626" s="98"/>
      <c r="Q626" s="101"/>
      <c r="R626" s="78" t="str">
        <f t="shared" si="56"/>
        <v/>
      </c>
    </row>
    <row r="627" spans="2:18" x14ac:dyDescent="0.2">
      <c r="B627" s="2" t="str">
        <f t="shared" si="57"/>
        <v/>
      </c>
      <c r="C627" s="2" t="str">
        <f t="shared" si="58"/>
        <v/>
      </c>
      <c r="D627" s="2" t="str">
        <f t="shared" si="59"/>
        <v>Y</v>
      </c>
      <c r="E627" s="2">
        <f t="shared" si="60"/>
        <v>0</v>
      </c>
      <c r="F627" s="2" t="str">
        <f t="shared" si="61"/>
        <v/>
      </c>
      <c r="H627" s="121" t="s">
        <v>624</v>
      </c>
      <c r="I627" s="92"/>
      <c r="J627" s="93"/>
      <c r="K627" s="93"/>
      <c r="L627" s="94"/>
      <c r="M627" s="100"/>
      <c r="N627" s="96"/>
      <c r="O627" s="97"/>
      <c r="P627" s="98"/>
      <c r="Q627" s="101"/>
      <c r="R627" s="78" t="str">
        <f t="shared" si="56"/>
        <v/>
      </c>
    </row>
    <row r="628" spans="2:18" x14ac:dyDescent="0.2">
      <c r="B628" s="2" t="str">
        <f t="shared" si="57"/>
        <v/>
      </c>
      <c r="C628" s="2" t="str">
        <f t="shared" si="58"/>
        <v/>
      </c>
      <c r="D628" s="2" t="str">
        <f t="shared" si="59"/>
        <v>Y</v>
      </c>
      <c r="E628" s="2">
        <f t="shared" si="60"/>
        <v>0</v>
      </c>
      <c r="F628" s="2" t="str">
        <f t="shared" si="61"/>
        <v/>
      </c>
      <c r="H628" s="121" t="s">
        <v>625</v>
      </c>
      <c r="I628" s="92"/>
      <c r="J628" s="93"/>
      <c r="K628" s="93"/>
      <c r="L628" s="94"/>
      <c r="M628" s="100"/>
      <c r="N628" s="96"/>
      <c r="O628" s="97"/>
      <c r="P628" s="98"/>
      <c r="Q628" s="101"/>
      <c r="R628" s="78" t="str">
        <f t="shared" si="56"/>
        <v/>
      </c>
    </row>
    <row r="629" spans="2:18" x14ac:dyDescent="0.2">
      <c r="B629" s="2" t="str">
        <f t="shared" si="57"/>
        <v/>
      </c>
      <c r="C629" s="2" t="str">
        <f t="shared" si="58"/>
        <v/>
      </c>
      <c r="D629" s="2" t="str">
        <f t="shared" si="59"/>
        <v>Y</v>
      </c>
      <c r="E629" s="2">
        <f t="shared" si="60"/>
        <v>0</v>
      </c>
      <c r="F629" s="2" t="str">
        <f t="shared" si="61"/>
        <v/>
      </c>
      <c r="H629" s="121" t="s">
        <v>626</v>
      </c>
      <c r="I629" s="92"/>
      <c r="J629" s="93"/>
      <c r="K629" s="93"/>
      <c r="L629" s="94"/>
      <c r="M629" s="100"/>
      <c r="N629" s="96"/>
      <c r="O629" s="97"/>
      <c r="P629" s="98"/>
      <c r="Q629" s="101"/>
      <c r="R629" s="78" t="str">
        <f t="shared" si="56"/>
        <v/>
      </c>
    </row>
    <row r="630" spans="2:18" x14ac:dyDescent="0.2">
      <c r="B630" s="2" t="str">
        <f t="shared" si="57"/>
        <v/>
      </c>
      <c r="C630" s="2" t="str">
        <f t="shared" si="58"/>
        <v/>
      </c>
      <c r="D630" s="2" t="str">
        <f t="shared" si="59"/>
        <v>Y</v>
      </c>
      <c r="E630" s="2">
        <f t="shared" si="60"/>
        <v>0</v>
      </c>
      <c r="F630" s="2" t="str">
        <f t="shared" si="61"/>
        <v/>
      </c>
      <c r="H630" s="121" t="s">
        <v>627</v>
      </c>
      <c r="I630" s="92"/>
      <c r="J630" s="93"/>
      <c r="K630" s="93"/>
      <c r="L630" s="94"/>
      <c r="M630" s="100"/>
      <c r="N630" s="96"/>
      <c r="O630" s="97"/>
      <c r="P630" s="98"/>
      <c r="Q630" s="101"/>
      <c r="R630" s="78" t="str">
        <f t="shared" si="56"/>
        <v/>
      </c>
    </row>
    <row r="631" spans="2:18" x14ac:dyDescent="0.2">
      <c r="B631" s="2" t="str">
        <f t="shared" si="57"/>
        <v/>
      </c>
      <c r="C631" s="2" t="str">
        <f t="shared" si="58"/>
        <v/>
      </c>
      <c r="D631" s="2" t="str">
        <f t="shared" si="59"/>
        <v>Y</v>
      </c>
      <c r="E631" s="2">
        <f t="shared" si="60"/>
        <v>0</v>
      </c>
      <c r="F631" s="2" t="str">
        <f t="shared" si="61"/>
        <v/>
      </c>
      <c r="H631" s="121" t="s">
        <v>628</v>
      </c>
      <c r="I631" s="92"/>
      <c r="J631" s="93"/>
      <c r="K631" s="93"/>
      <c r="L631" s="94"/>
      <c r="M631" s="100"/>
      <c r="N631" s="96"/>
      <c r="O631" s="97"/>
      <c r="P631" s="98"/>
      <c r="Q631" s="101"/>
      <c r="R631" s="78" t="str">
        <f t="shared" si="56"/>
        <v/>
      </c>
    </row>
    <row r="632" spans="2:18" x14ac:dyDescent="0.2">
      <c r="B632" s="2" t="str">
        <f t="shared" si="57"/>
        <v/>
      </c>
      <c r="C632" s="2" t="str">
        <f t="shared" si="58"/>
        <v/>
      </c>
      <c r="D632" s="2" t="str">
        <f t="shared" si="59"/>
        <v>Y</v>
      </c>
      <c r="E632" s="2">
        <f t="shared" si="60"/>
        <v>0</v>
      </c>
      <c r="F632" s="2" t="str">
        <f t="shared" si="61"/>
        <v/>
      </c>
      <c r="H632" s="121" t="s">
        <v>629</v>
      </c>
      <c r="I632" s="92"/>
      <c r="J632" s="93"/>
      <c r="K632" s="93"/>
      <c r="L632" s="94"/>
      <c r="M632" s="100"/>
      <c r="N632" s="96"/>
      <c r="O632" s="97"/>
      <c r="P632" s="98"/>
      <c r="Q632" s="101"/>
      <c r="R632" s="78" t="str">
        <f t="shared" si="56"/>
        <v/>
      </c>
    </row>
    <row r="633" spans="2:18" x14ac:dyDescent="0.2">
      <c r="B633" s="2" t="str">
        <f t="shared" si="57"/>
        <v/>
      </c>
      <c r="C633" s="2" t="str">
        <f t="shared" si="58"/>
        <v/>
      </c>
      <c r="D633" s="2" t="str">
        <f t="shared" si="59"/>
        <v>Y</v>
      </c>
      <c r="E633" s="2">
        <f t="shared" si="60"/>
        <v>0</v>
      </c>
      <c r="F633" s="2" t="str">
        <f t="shared" si="61"/>
        <v/>
      </c>
      <c r="H633" s="121" t="s">
        <v>630</v>
      </c>
      <c r="I633" s="92"/>
      <c r="J633" s="93"/>
      <c r="K633" s="93"/>
      <c r="L633" s="94"/>
      <c r="M633" s="100"/>
      <c r="N633" s="96"/>
      <c r="O633" s="97"/>
      <c r="P633" s="98"/>
      <c r="Q633" s="101"/>
      <c r="R633" s="78" t="str">
        <f t="shared" si="56"/>
        <v/>
      </c>
    </row>
    <row r="634" spans="2:18" x14ac:dyDescent="0.2">
      <c r="B634" s="2" t="str">
        <f t="shared" si="57"/>
        <v/>
      </c>
      <c r="C634" s="2" t="str">
        <f t="shared" si="58"/>
        <v/>
      </c>
      <c r="D634" s="2" t="str">
        <f t="shared" si="59"/>
        <v>Y</v>
      </c>
      <c r="E634" s="2">
        <f t="shared" si="60"/>
        <v>0</v>
      </c>
      <c r="F634" s="2" t="str">
        <f t="shared" si="61"/>
        <v/>
      </c>
      <c r="H634" s="121" t="s">
        <v>631</v>
      </c>
      <c r="I634" s="92"/>
      <c r="J634" s="93"/>
      <c r="K634" s="93"/>
      <c r="L634" s="94"/>
      <c r="M634" s="100"/>
      <c r="N634" s="96"/>
      <c r="O634" s="97"/>
      <c r="P634" s="98"/>
      <c r="Q634" s="101"/>
      <c r="R634" s="78" t="str">
        <f t="shared" si="56"/>
        <v/>
      </c>
    </row>
    <row r="635" spans="2:18" x14ac:dyDescent="0.2">
      <c r="B635" s="2" t="str">
        <f t="shared" si="57"/>
        <v/>
      </c>
      <c r="C635" s="2" t="str">
        <f t="shared" si="58"/>
        <v/>
      </c>
      <c r="D635" s="2" t="str">
        <f t="shared" si="59"/>
        <v>Y</v>
      </c>
      <c r="E635" s="2">
        <f t="shared" si="60"/>
        <v>0</v>
      </c>
      <c r="F635" s="2" t="str">
        <f t="shared" si="61"/>
        <v/>
      </c>
      <c r="H635" s="121" t="s">
        <v>632</v>
      </c>
      <c r="I635" s="92"/>
      <c r="J635" s="93"/>
      <c r="K635" s="93"/>
      <c r="L635" s="94"/>
      <c r="M635" s="100"/>
      <c r="N635" s="96"/>
      <c r="O635" s="97"/>
      <c r="P635" s="98"/>
      <c r="Q635" s="101"/>
      <c r="R635" s="78" t="str">
        <f t="shared" si="56"/>
        <v/>
      </c>
    </row>
    <row r="636" spans="2:18" x14ac:dyDescent="0.2">
      <c r="B636" s="2" t="str">
        <f t="shared" si="57"/>
        <v/>
      </c>
      <c r="C636" s="2" t="str">
        <f t="shared" si="58"/>
        <v/>
      </c>
      <c r="D636" s="2" t="str">
        <f t="shared" si="59"/>
        <v>Y</v>
      </c>
      <c r="E636" s="2">
        <f t="shared" si="60"/>
        <v>0</v>
      </c>
      <c r="F636" s="2" t="str">
        <f t="shared" si="61"/>
        <v/>
      </c>
      <c r="H636" s="121" t="s">
        <v>633</v>
      </c>
      <c r="I636" s="92"/>
      <c r="J636" s="93"/>
      <c r="K636" s="93"/>
      <c r="L636" s="94"/>
      <c r="M636" s="100"/>
      <c r="N636" s="96"/>
      <c r="O636" s="97"/>
      <c r="P636" s="98"/>
      <c r="Q636" s="101"/>
      <c r="R636" s="78" t="str">
        <f t="shared" si="56"/>
        <v/>
      </c>
    </row>
    <row r="637" spans="2:18" x14ac:dyDescent="0.2">
      <c r="B637" s="2" t="str">
        <f t="shared" si="57"/>
        <v/>
      </c>
      <c r="C637" s="2" t="str">
        <f t="shared" si="58"/>
        <v/>
      </c>
      <c r="D637" s="2" t="str">
        <f t="shared" si="59"/>
        <v>Y</v>
      </c>
      <c r="E637" s="2">
        <f t="shared" si="60"/>
        <v>0</v>
      </c>
      <c r="F637" s="2" t="str">
        <f t="shared" si="61"/>
        <v/>
      </c>
      <c r="H637" s="121" t="s">
        <v>634</v>
      </c>
      <c r="I637" s="92"/>
      <c r="J637" s="93"/>
      <c r="K637" s="93"/>
      <c r="L637" s="94"/>
      <c r="M637" s="100"/>
      <c r="N637" s="96"/>
      <c r="O637" s="97"/>
      <c r="P637" s="98"/>
      <c r="Q637" s="101"/>
      <c r="R637" s="78" t="str">
        <f t="shared" si="56"/>
        <v/>
      </c>
    </row>
    <row r="638" spans="2:18" x14ac:dyDescent="0.2">
      <c r="B638" s="2" t="str">
        <f t="shared" si="57"/>
        <v/>
      </c>
      <c r="C638" s="2" t="str">
        <f t="shared" si="58"/>
        <v/>
      </c>
      <c r="D638" s="2" t="str">
        <f t="shared" si="59"/>
        <v>Y</v>
      </c>
      <c r="E638" s="2">
        <f t="shared" si="60"/>
        <v>0</v>
      </c>
      <c r="F638" s="2" t="str">
        <f t="shared" si="61"/>
        <v/>
      </c>
      <c r="H638" s="121" t="s">
        <v>635</v>
      </c>
      <c r="I638" s="92"/>
      <c r="J638" s="93"/>
      <c r="K638" s="93"/>
      <c r="L638" s="94"/>
      <c r="M638" s="100"/>
      <c r="N638" s="96"/>
      <c r="O638" s="97"/>
      <c r="P638" s="98"/>
      <c r="Q638" s="101"/>
      <c r="R638" s="78" t="str">
        <f t="shared" si="56"/>
        <v/>
      </c>
    </row>
    <row r="639" spans="2:18" x14ac:dyDescent="0.2">
      <c r="B639" s="2" t="str">
        <f t="shared" si="57"/>
        <v/>
      </c>
      <c r="C639" s="2" t="str">
        <f t="shared" si="58"/>
        <v/>
      </c>
      <c r="D639" s="2" t="str">
        <f t="shared" si="59"/>
        <v>Y</v>
      </c>
      <c r="E639" s="2">
        <f t="shared" si="60"/>
        <v>0</v>
      </c>
      <c r="F639" s="2" t="str">
        <f t="shared" si="61"/>
        <v/>
      </c>
      <c r="H639" s="121" t="s">
        <v>636</v>
      </c>
      <c r="I639" s="92"/>
      <c r="J639" s="93"/>
      <c r="K639" s="93"/>
      <c r="L639" s="94"/>
      <c r="M639" s="100"/>
      <c r="N639" s="96"/>
      <c r="O639" s="97"/>
      <c r="P639" s="98"/>
      <c r="Q639" s="101"/>
      <c r="R639" s="78" t="str">
        <f t="shared" si="56"/>
        <v/>
      </c>
    </row>
    <row r="640" spans="2:18" x14ac:dyDescent="0.2">
      <c r="B640" s="2" t="str">
        <f t="shared" si="57"/>
        <v/>
      </c>
      <c r="C640" s="2" t="str">
        <f t="shared" si="58"/>
        <v/>
      </c>
      <c r="D640" s="2" t="str">
        <f t="shared" si="59"/>
        <v>Y</v>
      </c>
      <c r="E640" s="2">
        <f t="shared" si="60"/>
        <v>0</v>
      </c>
      <c r="F640" s="2" t="str">
        <f t="shared" si="61"/>
        <v/>
      </c>
      <c r="H640" s="121" t="s">
        <v>637</v>
      </c>
      <c r="I640" s="92"/>
      <c r="J640" s="93"/>
      <c r="K640" s="93"/>
      <c r="L640" s="94"/>
      <c r="M640" s="100"/>
      <c r="N640" s="96"/>
      <c r="O640" s="97"/>
      <c r="P640" s="98"/>
      <c r="Q640" s="101"/>
      <c r="R640" s="78" t="str">
        <f t="shared" si="56"/>
        <v/>
      </c>
    </row>
    <row r="641" spans="2:18" x14ac:dyDescent="0.2">
      <c r="B641" s="2" t="str">
        <f t="shared" si="57"/>
        <v/>
      </c>
      <c r="C641" s="2" t="str">
        <f t="shared" si="58"/>
        <v/>
      </c>
      <c r="D641" s="2" t="str">
        <f t="shared" si="59"/>
        <v>Y</v>
      </c>
      <c r="E641" s="2">
        <f t="shared" si="60"/>
        <v>0</v>
      </c>
      <c r="F641" s="2" t="str">
        <f t="shared" si="61"/>
        <v/>
      </c>
      <c r="H641" s="121" t="s">
        <v>638</v>
      </c>
      <c r="I641" s="92"/>
      <c r="J641" s="93"/>
      <c r="K641" s="93"/>
      <c r="L641" s="94"/>
      <c r="M641" s="100"/>
      <c r="N641" s="96"/>
      <c r="O641" s="97"/>
      <c r="P641" s="98"/>
      <c r="Q641" s="101"/>
      <c r="R641" s="78" t="str">
        <f t="shared" si="56"/>
        <v/>
      </c>
    </row>
    <row r="642" spans="2:18" x14ac:dyDescent="0.2">
      <c r="B642" s="2" t="str">
        <f t="shared" si="57"/>
        <v/>
      </c>
      <c r="C642" s="2" t="str">
        <f t="shared" si="58"/>
        <v/>
      </c>
      <c r="D642" s="2" t="str">
        <f t="shared" si="59"/>
        <v>Y</v>
      </c>
      <c r="E642" s="2">
        <f t="shared" si="60"/>
        <v>0</v>
      </c>
      <c r="F642" s="2" t="str">
        <f t="shared" si="61"/>
        <v/>
      </c>
      <c r="H642" s="121" t="s">
        <v>639</v>
      </c>
      <c r="I642" s="92"/>
      <c r="J642" s="93"/>
      <c r="K642" s="93"/>
      <c r="L642" s="94"/>
      <c r="M642" s="100"/>
      <c r="N642" s="96"/>
      <c r="O642" s="97"/>
      <c r="P642" s="98"/>
      <c r="Q642" s="101"/>
      <c r="R642" s="78" t="str">
        <f t="shared" si="56"/>
        <v/>
      </c>
    </row>
    <row r="643" spans="2:18" x14ac:dyDescent="0.2">
      <c r="B643" s="2" t="str">
        <f t="shared" si="57"/>
        <v/>
      </c>
      <c r="C643" s="2" t="str">
        <f t="shared" si="58"/>
        <v/>
      </c>
      <c r="D643" s="2" t="str">
        <f t="shared" si="59"/>
        <v>Y</v>
      </c>
      <c r="E643" s="2">
        <f t="shared" si="60"/>
        <v>0</v>
      </c>
      <c r="F643" s="2" t="str">
        <f t="shared" si="61"/>
        <v/>
      </c>
      <c r="H643" s="121" t="s">
        <v>640</v>
      </c>
      <c r="I643" s="92"/>
      <c r="J643" s="93"/>
      <c r="K643" s="93"/>
      <c r="L643" s="94"/>
      <c r="M643" s="100"/>
      <c r="N643" s="96"/>
      <c r="O643" s="97"/>
      <c r="P643" s="98"/>
      <c r="Q643" s="101"/>
      <c r="R643" s="78" t="str">
        <f t="shared" si="56"/>
        <v/>
      </c>
    </row>
    <row r="644" spans="2:18" x14ac:dyDescent="0.2">
      <c r="B644" s="2" t="str">
        <f t="shared" si="57"/>
        <v/>
      </c>
      <c r="C644" s="2" t="str">
        <f t="shared" si="58"/>
        <v/>
      </c>
      <c r="D644" s="2" t="str">
        <f t="shared" si="59"/>
        <v>Y</v>
      </c>
      <c r="E644" s="2">
        <f t="shared" si="60"/>
        <v>0</v>
      </c>
      <c r="F644" s="2" t="str">
        <f t="shared" si="61"/>
        <v/>
      </c>
      <c r="H644" s="121" t="s">
        <v>641</v>
      </c>
      <c r="I644" s="92"/>
      <c r="J644" s="93"/>
      <c r="K644" s="93"/>
      <c r="L644" s="94"/>
      <c r="M644" s="100"/>
      <c r="N644" s="96"/>
      <c r="O644" s="97"/>
      <c r="P644" s="98"/>
      <c r="Q644" s="101"/>
      <c r="R644" s="78" t="str">
        <f t="shared" si="56"/>
        <v/>
      </c>
    </row>
    <row r="645" spans="2:18" x14ac:dyDescent="0.2">
      <c r="B645" s="2" t="str">
        <f t="shared" si="57"/>
        <v/>
      </c>
      <c r="C645" s="2" t="str">
        <f t="shared" si="58"/>
        <v/>
      </c>
      <c r="D645" s="2" t="str">
        <f t="shared" si="59"/>
        <v>Y</v>
      </c>
      <c r="E645" s="2">
        <f t="shared" si="60"/>
        <v>0</v>
      </c>
      <c r="F645" s="2" t="str">
        <f t="shared" si="61"/>
        <v/>
      </c>
      <c r="H645" s="121" t="s">
        <v>642</v>
      </c>
      <c r="I645" s="92"/>
      <c r="J645" s="93"/>
      <c r="K645" s="93"/>
      <c r="L645" s="94"/>
      <c r="M645" s="100"/>
      <c r="N645" s="96"/>
      <c r="O645" s="97"/>
      <c r="P645" s="98"/>
      <c r="Q645" s="101"/>
      <c r="R645" s="78" t="str">
        <f t="shared" si="56"/>
        <v/>
      </c>
    </row>
    <row r="646" spans="2:18" x14ac:dyDescent="0.2">
      <c r="B646" s="2" t="str">
        <f t="shared" si="57"/>
        <v/>
      </c>
      <c r="C646" s="2" t="str">
        <f t="shared" si="58"/>
        <v/>
      </c>
      <c r="D646" s="2" t="str">
        <f t="shared" si="59"/>
        <v>Y</v>
      </c>
      <c r="E646" s="2">
        <f t="shared" si="60"/>
        <v>0</v>
      </c>
      <c r="F646" s="2" t="str">
        <f t="shared" si="61"/>
        <v/>
      </c>
      <c r="H646" s="121" t="s">
        <v>643</v>
      </c>
      <c r="I646" s="92"/>
      <c r="J646" s="93"/>
      <c r="K646" s="93"/>
      <c r="L646" s="94"/>
      <c r="M646" s="100"/>
      <c r="N646" s="96"/>
      <c r="O646" s="97"/>
      <c r="P646" s="98"/>
      <c r="Q646" s="101"/>
      <c r="R646" s="78" t="str">
        <f t="shared" si="56"/>
        <v/>
      </c>
    </row>
    <row r="647" spans="2:18" x14ac:dyDescent="0.2">
      <c r="B647" s="2" t="str">
        <f t="shared" si="57"/>
        <v/>
      </c>
      <c r="C647" s="2" t="str">
        <f t="shared" si="58"/>
        <v/>
      </c>
      <c r="D647" s="2" t="str">
        <f t="shared" si="59"/>
        <v>Y</v>
      </c>
      <c r="E647" s="2">
        <f t="shared" si="60"/>
        <v>0</v>
      </c>
      <c r="F647" s="2" t="str">
        <f t="shared" si="61"/>
        <v/>
      </c>
      <c r="H647" s="121" t="s">
        <v>644</v>
      </c>
      <c r="I647" s="92"/>
      <c r="J647" s="93"/>
      <c r="K647" s="93"/>
      <c r="L647" s="94"/>
      <c r="M647" s="100"/>
      <c r="N647" s="96"/>
      <c r="O647" s="97"/>
      <c r="P647" s="98"/>
      <c r="Q647" s="101"/>
      <c r="R647" s="78" t="str">
        <f t="shared" si="56"/>
        <v/>
      </c>
    </row>
    <row r="648" spans="2:18" x14ac:dyDescent="0.2">
      <c r="B648" s="2" t="str">
        <f t="shared" si="57"/>
        <v/>
      </c>
      <c r="C648" s="2" t="str">
        <f t="shared" si="58"/>
        <v/>
      </c>
      <c r="D648" s="2" t="str">
        <f t="shared" si="59"/>
        <v>Y</v>
      </c>
      <c r="E648" s="2">
        <f t="shared" si="60"/>
        <v>0</v>
      </c>
      <c r="F648" s="2" t="str">
        <f t="shared" si="61"/>
        <v/>
      </c>
      <c r="H648" s="121" t="s">
        <v>645</v>
      </c>
      <c r="I648" s="92"/>
      <c r="J648" s="93"/>
      <c r="K648" s="93"/>
      <c r="L648" s="94"/>
      <c r="M648" s="100"/>
      <c r="N648" s="96"/>
      <c r="O648" s="97"/>
      <c r="P648" s="98"/>
      <c r="Q648" s="101"/>
      <c r="R648" s="78" t="str">
        <f t="shared" si="56"/>
        <v/>
      </c>
    </row>
    <row r="649" spans="2:18" x14ac:dyDescent="0.2">
      <c r="B649" s="2" t="str">
        <f t="shared" si="57"/>
        <v/>
      </c>
      <c r="C649" s="2" t="str">
        <f t="shared" si="58"/>
        <v/>
      </c>
      <c r="D649" s="2" t="str">
        <f t="shared" si="59"/>
        <v>Y</v>
      </c>
      <c r="E649" s="2">
        <f t="shared" si="60"/>
        <v>0</v>
      </c>
      <c r="F649" s="2" t="str">
        <f t="shared" si="61"/>
        <v/>
      </c>
      <c r="H649" s="121" t="s">
        <v>646</v>
      </c>
      <c r="I649" s="92"/>
      <c r="J649" s="93"/>
      <c r="K649" s="93"/>
      <c r="L649" s="94"/>
      <c r="M649" s="100"/>
      <c r="N649" s="96"/>
      <c r="O649" s="97"/>
      <c r="P649" s="98"/>
      <c r="Q649" s="101"/>
      <c r="R649" s="78" t="str">
        <f t="shared" si="56"/>
        <v/>
      </c>
    </row>
    <row r="650" spans="2:18" x14ac:dyDescent="0.2">
      <c r="B650" s="2" t="str">
        <f t="shared" si="57"/>
        <v/>
      </c>
      <c r="C650" s="2" t="str">
        <f t="shared" si="58"/>
        <v/>
      </c>
      <c r="D650" s="2" t="str">
        <f t="shared" si="59"/>
        <v>Y</v>
      </c>
      <c r="E650" s="2">
        <f t="shared" si="60"/>
        <v>0</v>
      </c>
      <c r="F650" s="2" t="str">
        <f t="shared" si="61"/>
        <v/>
      </c>
      <c r="H650" s="121" t="s">
        <v>647</v>
      </c>
      <c r="I650" s="92"/>
      <c r="J650" s="93"/>
      <c r="K650" s="93"/>
      <c r="L650" s="94"/>
      <c r="M650" s="100"/>
      <c r="N650" s="96"/>
      <c r="O650" s="97"/>
      <c r="P650" s="98"/>
      <c r="Q650" s="101"/>
      <c r="R650" s="78" t="str">
        <f t="shared" si="56"/>
        <v/>
      </c>
    </row>
    <row r="651" spans="2:18" x14ac:dyDescent="0.2">
      <c r="B651" s="2" t="str">
        <f t="shared" si="57"/>
        <v/>
      </c>
      <c r="C651" s="2" t="str">
        <f t="shared" si="58"/>
        <v/>
      </c>
      <c r="D651" s="2" t="str">
        <f t="shared" si="59"/>
        <v>Y</v>
      </c>
      <c r="E651" s="2">
        <f t="shared" si="60"/>
        <v>0</v>
      </c>
      <c r="F651" s="2" t="str">
        <f t="shared" si="61"/>
        <v/>
      </c>
      <c r="H651" s="121" t="s">
        <v>648</v>
      </c>
      <c r="I651" s="92"/>
      <c r="J651" s="93"/>
      <c r="K651" s="93"/>
      <c r="L651" s="94"/>
      <c r="M651" s="100"/>
      <c r="N651" s="96"/>
      <c r="O651" s="97"/>
      <c r="P651" s="98"/>
      <c r="Q651" s="101"/>
      <c r="R651" s="78" t="str">
        <f t="shared" ref="R651:R714" si="62">IF(ISERROR(VLOOKUP(K651,LB_PROJECTS,2,FALSE)),"",VLOOKUP(K651,LB_PROJECTS,2,FALSE))</f>
        <v/>
      </c>
    </row>
    <row r="652" spans="2:18" x14ac:dyDescent="0.2">
      <c r="B652" s="2" t="str">
        <f t="shared" ref="B652:B715" si="63">IF(M652="","",IF(WEEKNUM(M652)&lt;10,VALUE(CONCATENATE(YEAR(M652),"0",WEEKNUM(M652))),VALUE(CONCATENATE(YEAR(M652),WEEKNUM(M652)))))</f>
        <v/>
      </c>
      <c r="C652" s="2" t="str">
        <f t="shared" ref="C652:C715" si="64">IF(P652="","",IF(WEEKNUM(P652)&lt;10,VALUE(CONCATENATE(YEAR(P652),"0",WEEKNUM(P652))),VALUE(CONCATENATE(YEAR(P652),WEEKNUM(P652)))))</f>
        <v/>
      </c>
      <c r="D652" s="2" t="str">
        <f t="shared" ref="D652:D715" si="65">IF(OR(O652="Not started",O652="In progress"),"N",IF(OR(O652="N/A",O652="Suspended",O652="Canceled"),"","Y"))</f>
        <v>Y</v>
      </c>
      <c r="E652" s="2">
        <f t="shared" ref="E652:E715" si="66">IF(OR(O652="Not started",O652="In progress",O652="Applied",O652="Closed"),1,0)</f>
        <v>0</v>
      </c>
      <c r="F652" s="2" t="str">
        <f t="shared" si="61"/>
        <v/>
      </c>
      <c r="H652" s="121" t="s">
        <v>649</v>
      </c>
      <c r="I652" s="92"/>
      <c r="J652" s="93"/>
      <c r="K652" s="93"/>
      <c r="L652" s="94"/>
      <c r="M652" s="100"/>
      <c r="N652" s="96"/>
      <c r="O652" s="97"/>
      <c r="P652" s="98"/>
      <c r="Q652" s="101"/>
      <c r="R652" s="78" t="str">
        <f t="shared" si="62"/>
        <v/>
      </c>
    </row>
    <row r="653" spans="2:18" x14ac:dyDescent="0.2">
      <c r="B653" s="2" t="str">
        <f t="shared" si="63"/>
        <v/>
      </c>
      <c r="C653" s="2" t="str">
        <f t="shared" si="64"/>
        <v/>
      </c>
      <c r="D653" s="2" t="str">
        <f t="shared" si="65"/>
        <v>Y</v>
      </c>
      <c r="E653" s="2">
        <f t="shared" si="66"/>
        <v>0</v>
      </c>
      <c r="F653" s="2" t="str">
        <f t="shared" si="61"/>
        <v/>
      </c>
      <c r="H653" s="121" t="s">
        <v>650</v>
      </c>
      <c r="I653" s="92"/>
      <c r="J653" s="93"/>
      <c r="K653" s="93"/>
      <c r="L653" s="94"/>
      <c r="M653" s="100"/>
      <c r="N653" s="96"/>
      <c r="O653" s="97"/>
      <c r="P653" s="98"/>
      <c r="Q653" s="101"/>
      <c r="R653" s="78" t="str">
        <f t="shared" si="62"/>
        <v/>
      </c>
    </row>
    <row r="654" spans="2:18" x14ac:dyDescent="0.2">
      <c r="B654" s="2" t="str">
        <f t="shared" si="63"/>
        <v/>
      </c>
      <c r="C654" s="2" t="str">
        <f t="shared" si="64"/>
        <v/>
      </c>
      <c r="D654" s="2" t="str">
        <f t="shared" si="65"/>
        <v>Y</v>
      </c>
      <c r="E654" s="2">
        <f t="shared" si="66"/>
        <v>0</v>
      </c>
      <c r="F654" s="2" t="str">
        <f t="shared" ref="F654:F717" si="67">IF(N654="",B654,IF(WEEKNUM(N654)&lt;10,VALUE(CONCATENATE(YEAR(N654),"0",WEEKNUM(N654))),VALUE(CONCATENATE(YEAR(N654),WEEKNUM(N654)))))</f>
        <v/>
      </c>
      <c r="H654" s="121" t="s">
        <v>651</v>
      </c>
      <c r="I654" s="92"/>
      <c r="J654" s="93"/>
      <c r="K654" s="93"/>
      <c r="L654" s="94"/>
      <c r="M654" s="100"/>
      <c r="N654" s="96"/>
      <c r="O654" s="97"/>
      <c r="P654" s="98"/>
      <c r="Q654" s="101"/>
      <c r="R654" s="78" t="str">
        <f t="shared" si="62"/>
        <v/>
      </c>
    </row>
    <row r="655" spans="2:18" x14ac:dyDescent="0.2">
      <c r="B655" s="2" t="str">
        <f t="shared" si="63"/>
        <v/>
      </c>
      <c r="C655" s="2" t="str">
        <f t="shared" si="64"/>
        <v/>
      </c>
      <c r="D655" s="2" t="str">
        <f t="shared" si="65"/>
        <v>Y</v>
      </c>
      <c r="E655" s="2">
        <f t="shared" si="66"/>
        <v>0</v>
      </c>
      <c r="F655" s="2" t="str">
        <f t="shared" si="67"/>
        <v/>
      </c>
      <c r="H655" s="121" t="s">
        <v>652</v>
      </c>
      <c r="I655" s="92"/>
      <c r="J655" s="93"/>
      <c r="K655" s="93"/>
      <c r="L655" s="94"/>
      <c r="M655" s="100"/>
      <c r="N655" s="96"/>
      <c r="O655" s="97"/>
      <c r="P655" s="98"/>
      <c r="Q655" s="101"/>
      <c r="R655" s="78" t="str">
        <f t="shared" si="62"/>
        <v/>
      </c>
    </row>
    <row r="656" spans="2:18" x14ac:dyDescent="0.2">
      <c r="B656" s="2" t="str">
        <f t="shared" si="63"/>
        <v/>
      </c>
      <c r="C656" s="2" t="str">
        <f t="shared" si="64"/>
        <v/>
      </c>
      <c r="D656" s="2" t="str">
        <f t="shared" si="65"/>
        <v>Y</v>
      </c>
      <c r="E656" s="2">
        <f t="shared" si="66"/>
        <v>0</v>
      </c>
      <c r="F656" s="2" t="str">
        <f t="shared" si="67"/>
        <v/>
      </c>
      <c r="H656" s="121" t="s">
        <v>653</v>
      </c>
      <c r="I656" s="92"/>
      <c r="J656" s="93"/>
      <c r="K656" s="93"/>
      <c r="L656" s="94"/>
      <c r="M656" s="100"/>
      <c r="N656" s="96"/>
      <c r="O656" s="97"/>
      <c r="P656" s="98"/>
      <c r="Q656" s="101"/>
      <c r="R656" s="78" t="str">
        <f t="shared" si="62"/>
        <v/>
      </c>
    </row>
    <row r="657" spans="2:18" x14ac:dyDescent="0.2">
      <c r="B657" s="2" t="str">
        <f t="shared" si="63"/>
        <v/>
      </c>
      <c r="C657" s="2" t="str">
        <f t="shared" si="64"/>
        <v/>
      </c>
      <c r="D657" s="2" t="str">
        <f t="shared" si="65"/>
        <v>Y</v>
      </c>
      <c r="E657" s="2">
        <f t="shared" si="66"/>
        <v>0</v>
      </c>
      <c r="F657" s="2" t="str">
        <f t="shared" si="67"/>
        <v/>
      </c>
      <c r="H657" s="121" t="s">
        <v>654</v>
      </c>
      <c r="I657" s="92"/>
      <c r="J657" s="93"/>
      <c r="K657" s="93"/>
      <c r="L657" s="94"/>
      <c r="M657" s="100"/>
      <c r="N657" s="96"/>
      <c r="O657" s="97"/>
      <c r="P657" s="98"/>
      <c r="Q657" s="101"/>
      <c r="R657" s="78" t="str">
        <f t="shared" si="62"/>
        <v/>
      </c>
    </row>
    <row r="658" spans="2:18" x14ac:dyDescent="0.2">
      <c r="B658" s="2" t="str">
        <f t="shared" si="63"/>
        <v/>
      </c>
      <c r="C658" s="2" t="str">
        <f t="shared" si="64"/>
        <v/>
      </c>
      <c r="D658" s="2" t="str">
        <f t="shared" si="65"/>
        <v>Y</v>
      </c>
      <c r="E658" s="2">
        <f t="shared" si="66"/>
        <v>0</v>
      </c>
      <c r="F658" s="2" t="str">
        <f t="shared" si="67"/>
        <v/>
      </c>
      <c r="H658" s="121" t="s">
        <v>655</v>
      </c>
      <c r="I658" s="92"/>
      <c r="J658" s="93"/>
      <c r="K658" s="93"/>
      <c r="L658" s="94"/>
      <c r="M658" s="100"/>
      <c r="N658" s="96"/>
      <c r="O658" s="97"/>
      <c r="P658" s="98"/>
      <c r="Q658" s="101"/>
      <c r="R658" s="78" t="str">
        <f t="shared" si="62"/>
        <v/>
      </c>
    </row>
    <row r="659" spans="2:18" x14ac:dyDescent="0.2">
      <c r="B659" s="2" t="str">
        <f t="shared" si="63"/>
        <v/>
      </c>
      <c r="C659" s="2" t="str">
        <f t="shared" si="64"/>
        <v/>
      </c>
      <c r="D659" s="2" t="str">
        <f t="shared" si="65"/>
        <v>Y</v>
      </c>
      <c r="E659" s="2">
        <f t="shared" si="66"/>
        <v>0</v>
      </c>
      <c r="F659" s="2" t="str">
        <f t="shared" si="67"/>
        <v/>
      </c>
      <c r="H659" s="121" t="s">
        <v>656</v>
      </c>
      <c r="I659" s="92"/>
      <c r="J659" s="93"/>
      <c r="K659" s="93"/>
      <c r="L659" s="94"/>
      <c r="M659" s="100"/>
      <c r="N659" s="96"/>
      <c r="O659" s="97"/>
      <c r="P659" s="98"/>
      <c r="Q659" s="101"/>
      <c r="R659" s="78" t="str">
        <f t="shared" si="62"/>
        <v/>
      </c>
    </row>
    <row r="660" spans="2:18" x14ac:dyDescent="0.2">
      <c r="B660" s="2" t="str">
        <f t="shared" si="63"/>
        <v/>
      </c>
      <c r="C660" s="2" t="str">
        <f t="shared" si="64"/>
        <v/>
      </c>
      <c r="D660" s="2" t="str">
        <f t="shared" si="65"/>
        <v>Y</v>
      </c>
      <c r="E660" s="2">
        <f t="shared" si="66"/>
        <v>0</v>
      </c>
      <c r="F660" s="2" t="str">
        <f t="shared" si="67"/>
        <v/>
      </c>
      <c r="H660" s="121" t="s">
        <v>657</v>
      </c>
      <c r="I660" s="92"/>
      <c r="J660" s="93"/>
      <c r="K660" s="93"/>
      <c r="L660" s="94"/>
      <c r="M660" s="100"/>
      <c r="N660" s="96"/>
      <c r="O660" s="97"/>
      <c r="P660" s="98"/>
      <c r="Q660" s="101"/>
      <c r="R660" s="78" t="str">
        <f t="shared" si="62"/>
        <v/>
      </c>
    </row>
    <row r="661" spans="2:18" x14ac:dyDescent="0.2">
      <c r="B661" s="2" t="str">
        <f t="shared" si="63"/>
        <v/>
      </c>
      <c r="C661" s="2" t="str">
        <f t="shared" si="64"/>
        <v/>
      </c>
      <c r="D661" s="2" t="str">
        <f t="shared" si="65"/>
        <v>Y</v>
      </c>
      <c r="E661" s="2">
        <f t="shared" si="66"/>
        <v>0</v>
      </c>
      <c r="F661" s="2" t="str">
        <f t="shared" si="67"/>
        <v/>
      </c>
      <c r="H661" s="121" t="s">
        <v>658</v>
      </c>
      <c r="I661" s="92"/>
      <c r="J661" s="93"/>
      <c r="K661" s="93"/>
      <c r="L661" s="94"/>
      <c r="M661" s="100"/>
      <c r="N661" s="96"/>
      <c r="O661" s="97"/>
      <c r="P661" s="98"/>
      <c r="Q661" s="101"/>
      <c r="R661" s="78" t="str">
        <f t="shared" si="62"/>
        <v/>
      </c>
    </row>
    <row r="662" spans="2:18" x14ac:dyDescent="0.2">
      <c r="B662" s="2" t="str">
        <f t="shared" si="63"/>
        <v/>
      </c>
      <c r="C662" s="2" t="str">
        <f t="shared" si="64"/>
        <v/>
      </c>
      <c r="D662" s="2" t="str">
        <f t="shared" si="65"/>
        <v>Y</v>
      </c>
      <c r="E662" s="2">
        <f t="shared" si="66"/>
        <v>0</v>
      </c>
      <c r="F662" s="2" t="str">
        <f t="shared" si="67"/>
        <v/>
      </c>
      <c r="H662" s="121" t="s">
        <v>659</v>
      </c>
      <c r="I662" s="92"/>
      <c r="J662" s="93"/>
      <c r="K662" s="93"/>
      <c r="L662" s="94"/>
      <c r="M662" s="100"/>
      <c r="N662" s="96"/>
      <c r="O662" s="97"/>
      <c r="P662" s="98"/>
      <c r="Q662" s="101"/>
      <c r="R662" s="78" t="str">
        <f t="shared" si="62"/>
        <v/>
      </c>
    </row>
    <row r="663" spans="2:18" x14ac:dyDescent="0.2">
      <c r="B663" s="2" t="str">
        <f t="shared" si="63"/>
        <v/>
      </c>
      <c r="C663" s="2" t="str">
        <f t="shared" si="64"/>
        <v/>
      </c>
      <c r="D663" s="2" t="str">
        <f t="shared" si="65"/>
        <v>Y</v>
      </c>
      <c r="E663" s="2">
        <f t="shared" si="66"/>
        <v>0</v>
      </c>
      <c r="F663" s="2" t="str">
        <f t="shared" si="67"/>
        <v/>
      </c>
      <c r="H663" s="121" t="s">
        <v>660</v>
      </c>
      <c r="I663" s="92"/>
      <c r="J663" s="93"/>
      <c r="K663" s="93"/>
      <c r="L663" s="94"/>
      <c r="M663" s="100"/>
      <c r="N663" s="96"/>
      <c r="O663" s="97"/>
      <c r="P663" s="98"/>
      <c r="Q663" s="101"/>
      <c r="R663" s="78" t="str">
        <f t="shared" si="62"/>
        <v/>
      </c>
    </row>
    <row r="664" spans="2:18" x14ac:dyDescent="0.2">
      <c r="B664" s="2" t="str">
        <f t="shared" si="63"/>
        <v/>
      </c>
      <c r="C664" s="2" t="str">
        <f t="shared" si="64"/>
        <v/>
      </c>
      <c r="D664" s="2" t="str">
        <f t="shared" si="65"/>
        <v>Y</v>
      </c>
      <c r="E664" s="2">
        <f t="shared" si="66"/>
        <v>0</v>
      </c>
      <c r="F664" s="2" t="str">
        <f t="shared" si="67"/>
        <v/>
      </c>
      <c r="H664" s="121" t="s">
        <v>661</v>
      </c>
      <c r="I664" s="92"/>
      <c r="J664" s="93"/>
      <c r="K664" s="93"/>
      <c r="L664" s="94"/>
      <c r="M664" s="100"/>
      <c r="N664" s="96"/>
      <c r="O664" s="97"/>
      <c r="P664" s="98"/>
      <c r="Q664" s="101"/>
      <c r="R664" s="78" t="str">
        <f t="shared" si="62"/>
        <v/>
      </c>
    </row>
    <row r="665" spans="2:18" x14ac:dyDescent="0.2">
      <c r="B665" s="2" t="str">
        <f t="shared" si="63"/>
        <v/>
      </c>
      <c r="C665" s="2" t="str">
        <f t="shared" si="64"/>
        <v/>
      </c>
      <c r="D665" s="2" t="str">
        <f t="shared" si="65"/>
        <v>Y</v>
      </c>
      <c r="E665" s="2">
        <f t="shared" si="66"/>
        <v>0</v>
      </c>
      <c r="F665" s="2" t="str">
        <f t="shared" si="67"/>
        <v/>
      </c>
      <c r="H665" s="121" t="s">
        <v>662</v>
      </c>
      <c r="I665" s="92"/>
      <c r="J665" s="93"/>
      <c r="K665" s="93"/>
      <c r="L665" s="94"/>
      <c r="M665" s="100"/>
      <c r="N665" s="96"/>
      <c r="O665" s="97"/>
      <c r="P665" s="98"/>
      <c r="Q665" s="101"/>
      <c r="R665" s="78" t="str">
        <f t="shared" si="62"/>
        <v/>
      </c>
    </row>
    <row r="666" spans="2:18" x14ac:dyDescent="0.2">
      <c r="B666" s="2" t="str">
        <f t="shared" si="63"/>
        <v/>
      </c>
      <c r="C666" s="2" t="str">
        <f t="shared" si="64"/>
        <v/>
      </c>
      <c r="D666" s="2" t="str">
        <f t="shared" si="65"/>
        <v>Y</v>
      </c>
      <c r="E666" s="2">
        <f t="shared" si="66"/>
        <v>0</v>
      </c>
      <c r="F666" s="2" t="str">
        <f t="shared" si="67"/>
        <v/>
      </c>
      <c r="H666" s="121" t="s">
        <v>663</v>
      </c>
      <c r="I666" s="92"/>
      <c r="J666" s="93"/>
      <c r="K666" s="93"/>
      <c r="L666" s="94"/>
      <c r="M666" s="100"/>
      <c r="N666" s="96"/>
      <c r="O666" s="97"/>
      <c r="P666" s="98"/>
      <c r="Q666" s="101"/>
      <c r="R666" s="78" t="str">
        <f t="shared" si="62"/>
        <v/>
      </c>
    </row>
    <row r="667" spans="2:18" x14ac:dyDescent="0.2">
      <c r="B667" s="2" t="str">
        <f t="shared" si="63"/>
        <v/>
      </c>
      <c r="C667" s="2" t="str">
        <f t="shared" si="64"/>
        <v/>
      </c>
      <c r="D667" s="2" t="str">
        <f t="shared" si="65"/>
        <v>Y</v>
      </c>
      <c r="E667" s="2">
        <f t="shared" si="66"/>
        <v>0</v>
      </c>
      <c r="F667" s="2" t="str">
        <f t="shared" si="67"/>
        <v/>
      </c>
      <c r="H667" s="121" t="s">
        <v>664</v>
      </c>
      <c r="I667" s="92"/>
      <c r="J667" s="93"/>
      <c r="K667" s="93"/>
      <c r="L667" s="94"/>
      <c r="M667" s="100"/>
      <c r="N667" s="96"/>
      <c r="O667" s="97"/>
      <c r="P667" s="98"/>
      <c r="Q667" s="101"/>
      <c r="R667" s="78" t="str">
        <f t="shared" si="62"/>
        <v/>
      </c>
    </row>
    <row r="668" spans="2:18" x14ac:dyDescent="0.2">
      <c r="B668" s="2" t="str">
        <f t="shared" si="63"/>
        <v/>
      </c>
      <c r="C668" s="2" t="str">
        <f t="shared" si="64"/>
        <v/>
      </c>
      <c r="D668" s="2" t="str">
        <f t="shared" si="65"/>
        <v>Y</v>
      </c>
      <c r="E668" s="2">
        <f t="shared" si="66"/>
        <v>0</v>
      </c>
      <c r="F668" s="2" t="str">
        <f t="shared" si="67"/>
        <v/>
      </c>
      <c r="H668" s="121" t="s">
        <v>665</v>
      </c>
      <c r="I668" s="92"/>
      <c r="J668" s="93"/>
      <c r="K668" s="93"/>
      <c r="L668" s="94"/>
      <c r="M668" s="100"/>
      <c r="N668" s="96"/>
      <c r="O668" s="97"/>
      <c r="P668" s="98"/>
      <c r="Q668" s="101"/>
      <c r="R668" s="78" t="str">
        <f t="shared" si="62"/>
        <v/>
      </c>
    </row>
    <row r="669" spans="2:18" x14ac:dyDescent="0.2">
      <c r="B669" s="2" t="str">
        <f t="shared" si="63"/>
        <v/>
      </c>
      <c r="C669" s="2" t="str">
        <f t="shared" si="64"/>
        <v/>
      </c>
      <c r="D669" s="2" t="str">
        <f t="shared" si="65"/>
        <v>Y</v>
      </c>
      <c r="E669" s="2">
        <f t="shared" si="66"/>
        <v>0</v>
      </c>
      <c r="F669" s="2" t="str">
        <f t="shared" si="67"/>
        <v/>
      </c>
      <c r="H669" s="121" t="s">
        <v>666</v>
      </c>
      <c r="I669" s="92"/>
      <c r="J669" s="93"/>
      <c r="K669" s="93"/>
      <c r="L669" s="94"/>
      <c r="M669" s="100"/>
      <c r="N669" s="96"/>
      <c r="O669" s="97"/>
      <c r="P669" s="98"/>
      <c r="Q669" s="101"/>
      <c r="R669" s="78" t="str">
        <f t="shared" si="62"/>
        <v/>
      </c>
    </row>
    <row r="670" spans="2:18" x14ac:dyDescent="0.2">
      <c r="B670" s="2" t="str">
        <f t="shared" si="63"/>
        <v/>
      </c>
      <c r="C670" s="2" t="str">
        <f t="shared" si="64"/>
        <v/>
      </c>
      <c r="D670" s="2" t="str">
        <f t="shared" si="65"/>
        <v>Y</v>
      </c>
      <c r="E670" s="2">
        <f t="shared" si="66"/>
        <v>0</v>
      </c>
      <c r="F670" s="2" t="str">
        <f t="shared" si="67"/>
        <v/>
      </c>
      <c r="H670" s="121" t="s">
        <v>667</v>
      </c>
      <c r="I670" s="92"/>
      <c r="J670" s="93"/>
      <c r="K670" s="93"/>
      <c r="L670" s="94"/>
      <c r="M670" s="100"/>
      <c r="N670" s="96"/>
      <c r="O670" s="97"/>
      <c r="P670" s="98"/>
      <c r="Q670" s="101"/>
      <c r="R670" s="78" t="str">
        <f t="shared" si="62"/>
        <v/>
      </c>
    </row>
    <row r="671" spans="2:18" x14ac:dyDescent="0.2">
      <c r="B671" s="2" t="str">
        <f t="shared" si="63"/>
        <v/>
      </c>
      <c r="C671" s="2" t="str">
        <f t="shared" si="64"/>
        <v/>
      </c>
      <c r="D671" s="2" t="str">
        <f t="shared" si="65"/>
        <v>Y</v>
      </c>
      <c r="E671" s="2">
        <f t="shared" si="66"/>
        <v>0</v>
      </c>
      <c r="F671" s="2" t="str">
        <f t="shared" si="67"/>
        <v/>
      </c>
      <c r="H671" s="121" t="s">
        <v>668</v>
      </c>
      <c r="I671" s="92"/>
      <c r="J671" s="93"/>
      <c r="K671" s="93"/>
      <c r="L671" s="94"/>
      <c r="M671" s="100"/>
      <c r="N671" s="96"/>
      <c r="O671" s="97"/>
      <c r="P671" s="98"/>
      <c r="Q671" s="101"/>
      <c r="R671" s="78" t="str">
        <f t="shared" si="62"/>
        <v/>
      </c>
    </row>
    <row r="672" spans="2:18" x14ac:dyDescent="0.2">
      <c r="B672" s="2" t="str">
        <f t="shared" si="63"/>
        <v/>
      </c>
      <c r="C672" s="2" t="str">
        <f t="shared" si="64"/>
        <v/>
      </c>
      <c r="D672" s="2" t="str">
        <f t="shared" si="65"/>
        <v>Y</v>
      </c>
      <c r="E672" s="2">
        <f t="shared" si="66"/>
        <v>0</v>
      </c>
      <c r="F672" s="2" t="str">
        <f t="shared" si="67"/>
        <v/>
      </c>
      <c r="H672" s="121" t="s">
        <v>669</v>
      </c>
      <c r="I672" s="92"/>
      <c r="J672" s="93"/>
      <c r="K672" s="93"/>
      <c r="L672" s="94"/>
      <c r="M672" s="100"/>
      <c r="N672" s="96"/>
      <c r="O672" s="97"/>
      <c r="P672" s="98"/>
      <c r="Q672" s="101"/>
      <c r="R672" s="78" t="str">
        <f t="shared" si="62"/>
        <v/>
      </c>
    </row>
    <row r="673" spans="2:18" x14ac:dyDescent="0.2">
      <c r="B673" s="2" t="str">
        <f t="shared" si="63"/>
        <v/>
      </c>
      <c r="C673" s="2" t="str">
        <f t="shared" si="64"/>
        <v/>
      </c>
      <c r="D673" s="2" t="str">
        <f t="shared" si="65"/>
        <v>Y</v>
      </c>
      <c r="E673" s="2">
        <f t="shared" si="66"/>
        <v>0</v>
      </c>
      <c r="F673" s="2" t="str">
        <f t="shared" si="67"/>
        <v/>
      </c>
      <c r="H673" s="121" t="s">
        <v>670</v>
      </c>
      <c r="I673" s="92"/>
      <c r="J673" s="93"/>
      <c r="K673" s="93"/>
      <c r="L673" s="94"/>
      <c r="M673" s="100"/>
      <c r="N673" s="96"/>
      <c r="O673" s="97"/>
      <c r="P673" s="98"/>
      <c r="Q673" s="101"/>
      <c r="R673" s="78" t="str">
        <f t="shared" si="62"/>
        <v/>
      </c>
    </row>
    <row r="674" spans="2:18" x14ac:dyDescent="0.2">
      <c r="B674" s="2" t="str">
        <f t="shared" si="63"/>
        <v/>
      </c>
      <c r="C674" s="2" t="str">
        <f t="shared" si="64"/>
        <v/>
      </c>
      <c r="D674" s="2" t="str">
        <f t="shared" si="65"/>
        <v>Y</v>
      </c>
      <c r="E674" s="2">
        <f t="shared" si="66"/>
        <v>0</v>
      </c>
      <c r="F674" s="2" t="str">
        <f t="shared" si="67"/>
        <v/>
      </c>
      <c r="H674" s="121" t="s">
        <v>671</v>
      </c>
      <c r="I674" s="92"/>
      <c r="J674" s="93"/>
      <c r="K674" s="93"/>
      <c r="L674" s="94"/>
      <c r="M674" s="100"/>
      <c r="N674" s="96"/>
      <c r="O674" s="97"/>
      <c r="P674" s="98"/>
      <c r="Q674" s="101"/>
      <c r="R674" s="78" t="str">
        <f t="shared" si="62"/>
        <v/>
      </c>
    </row>
    <row r="675" spans="2:18" x14ac:dyDescent="0.2">
      <c r="B675" s="2" t="str">
        <f t="shared" si="63"/>
        <v/>
      </c>
      <c r="C675" s="2" t="str">
        <f t="shared" si="64"/>
        <v/>
      </c>
      <c r="D675" s="2" t="str">
        <f t="shared" si="65"/>
        <v>Y</v>
      </c>
      <c r="E675" s="2">
        <f t="shared" si="66"/>
        <v>0</v>
      </c>
      <c r="F675" s="2" t="str">
        <f t="shared" si="67"/>
        <v/>
      </c>
      <c r="H675" s="121" t="s">
        <v>672</v>
      </c>
      <c r="I675" s="92"/>
      <c r="J675" s="93"/>
      <c r="K675" s="93"/>
      <c r="L675" s="94"/>
      <c r="M675" s="100"/>
      <c r="N675" s="96"/>
      <c r="O675" s="97"/>
      <c r="P675" s="98"/>
      <c r="Q675" s="101"/>
      <c r="R675" s="78" t="str">
        <f t="shared" si="62"/>
        <v/>
      </c>
    </row>
    <row r="676" spans="2:18" x14ac:dyDescent="0.2">
      <c r="B676" s="2" t="str">
        <f t="shared" si="63"/>
        <v/>
      </c>
      <c r="C676" s="2" t="str">
        <f t="shared" si="64"/>
        <v/>
      </c>
      <c r="D676" s="2" t="str">
        <f t="shared" si="65"/>
        <v>Y</v>
      </c>
      <c r="E676" s="2">
        <f t="shared" si="66"/>
        <v>0</v>
      </c>
      <c r="F676" s="2" t="str">
        <f t="shared" si="67"/>
        <v/>
      </c>
      <c r="H676" s="121" t="s">
        <v>673</v>
      </c>
      <c r="I676" s="92"/>
      <c r="J676" s="93"/>
      <c r="K676" s="93"/>
      <c r="L676" s="94"/>
      <c r="M676" s="100"/>
      <c r="N676" s="96"/>
      <c r="O676" s="97"/>
      <c r="P676" s="98"/>
      <c r="Q676" s="101"/>
      <c r="R676" s="78" t="str">
        <f t="shared" si="62"/>
        <v/>
      </c>
    </row>
    <row r="677" spans="2:18" x14ac:dyDescent="0.2">
      <c r="B677" s="2" t="str">
        <f t="shared" si="63"/>
        <v/>
      </c>
      <c r="C677" s="2" t="str">
        <f t="shared" si="64"/>
        <v/>
      </c>
      <c r="D677" s="2" t="str">
        <f t="shared" si="65"/>
        <v>Y</v>
      </c>
      <c r="E677" s="2">
        <f t="shared" si="66"/>
        <v>0</v>
      </c>
      <c r="F677" s="2" t="str">
        <f t="shared" si="67"/>
        <v/>
      </c>
      <c r="H677" s="121" t="s">
        <v>674</v>
      </c>
      <c r="I677" s="92"/>
      <c r="J677" s="93"/>
      <c r="K677" s="93"/>
      <c r="L677" s="94"/>
      <c r="M677" s="100"/>
      <c r="N677" s="96"/>
      <c r="O677" s="97"/>
      <c r="P677" s="98"/>
      <c r="Q677" s="101"/>
      <c r="R677" s="78" t="str">
        <f t="shared" si="62"/>
        <v/>
      </c>
    </row>
    <row r="678" spans="2:18" x14ac:dyDescent="0.2">
      <c r="B678" s="2" t="str">
        <f t="shared" si="63"/>
        <v/>
      </c>
      <c r="C678" s="2" t="str">
        <f t="shared" si="64"/>
        <v/>
      </c>
      <c r="D678" s="2" t="str">
        <f t="shared" si="65"/>
        <v>Y</v>
      </c>
      <c r="E678" s="2">
        <f t="shared" si="66"/>
        <v>0</v>
      </c>
      <c r="F678" s="2" t="str">
        <f t="shared" si="67"/>
        <v/>
      </c>
      <c r="H678" s="121" t="s">
        <v>675</v>
      </c>
      <c r="I678" s="92"/>
      <c r="J678" s="93"/>
      <c r="K678" s="93"/>
      <c r="L678" s="94"/>
      <c r="M678" s="100"/>
      <c r="N678" s="96"/>
      <c r="O678" s="97"/>
      <c r="P678" s="98"/>
      <c r="Q678" s="101"/>
      <c r="R678" s="78" t="str">
        <f t="shared" si="62"/>
        <v/>
      </c>
    </row>
    <row r="679" spans="2:18" x14ac:dyDescent="0.2">
      <c r="B679" s="2" t="str">
        <f t="shared" si="63"/>
        <v/>
      </c>
      <c r="C679" s="2" t="str">
        <f t="shared" si="64"/>
        <v/>
      </c>
      <c r="D679" s="2" t="str">
        <f t="shared" si="65"/>
        <v>Y</v>
      </c>
      <c r="E679" s="2">
        <f t="shared" si="66"/>
        <v>0</v>
      </c>
      <c r="F679" s="2" t="str">
        <f t="shared" si="67"/>
        <v/>
      </c>
      <c r="H679" s="121" t="s">
        <v>676</v>
      </c>
      <c r="I679" s="92"/>
      <c r="J679" s="93"/>
      <c r="K679" s="93"/>
      <c r="L679" s="94"/>
      <c r="M679" s="100"/>
      <c r="N679" s="96"/>
      <c r="O679" s="97"/>
      <c r="P679" s="98"/>
      <c r="Q679" s="101"/>
      <c r="R679" s="78" t="str">
        <f t="shared" si="62"/>
        <v/>
      </c>
    </row>
    <row r="680" spans="2:18" x14ac:dyDescent="0.2">
      <c r="B680" s="2" t="str">
        <f t="shared" si="63"/>
        <v/>
      </c>
      <c r="C680" s="2" t="str">
        <f t="shared" si="64"/>
        <v/>
      </c>
      <c r="D680" s="2" t="str">
        <f t="shared" si="65"/>
        <v>Y</v>
      </c>
      <c r="E680" s="2">
        <f t="shared" si="66"/>
        <v>0</v>
      </c>
      <c r="F680" s="2" t="str">
        <f t="shared" si="67"/>
        <v/>
      </c>
      <c r="H680" s="121" t="s">
        <v>677</v>
      </c>
      <c r="I680" s="92"/>
      <c r="J680" s="93"/>
      <c r="K680" s="93"/>
      <c r="L680" s="94"/>
      <c r="M680" s="100"/>
      <c r="N680" s="96"/>
      <c r="O680" s="97"/>
      <c r="P680" s="98"/>
      <c r="Q680" s="101"/>
      <c r="R680" s="78" t="str">
        <f t="shared" si="62"/>
        <v/>
      </c>
    </row>
    <row r="681" spans="2:18" x14ac:dyDescent="0.2">
      <c r="B681" s="2" t="str">
        <f t="shared" si="63"/>
        <v/>
      </c>
      <c r="C681" s="2" t="str">
        <f t="shared" si="64"/>
        <v/>
      </c>
      <c r="D681" s="2" t="str">
        <f t="shared" si="65"/>
        <v>Y</v>
      </c>
      <c r="E681" s="2">
        <f t="shared" si="66"/>
        <v>0</v>
      </c>
      <c r="F681" s="2" t="str">
        <f t="shared" si="67"/>
        <v/>
      </c>
      <c r="H681" s="121" t="s">
        <v>678</v>
      </c>
      <c r="I681" s="92"/>
      <c r="J681" s="93"/>
      <c r="K681" s="93"/>
      <c r="L681" s="94"/>
      <c r="M681" s="100"/>
      <c r="N681" s="96"/>
      <c r="O681" s="97"/>
      <c r="P681" s="98"/>
      <c r="Q681" s="101"/>
      <c r="R681" s="78" t="str">
        <f t="shared" si="62"/>
        <v/>
      </c>
    </row>
    <row r="682" spans="2:18" x14ac:dyDescent="0.2">
      <c r="B682" s="2" t="str">
        <f t="shared" si="63"/>
        <v/>
      </c>
      <c r="C682" s="2" t="str">
        <f t="shared" si="64"/>
        <v/>
      </c>
      <c r="D682" s="2" t="str">
        <f t="shared" si="65"/>
        <v>Y</v>
      </c>
      <c r="E682" s="2">
        <f t="shared" si="66"/>
        <v>0</v>
      </c>
      <c r="F682" s="2" t="str">
        <f t="shared" si="67"/>
        <v/>
      </c>
      <c r="H682" s="121" t="s">
        <v>679</v>
      </c>
      <c r="I682" s="92"/>
      <c r="J682" s="93"/>
      <c r="K682" s="93"/>
      <c r="L682" s="94"/>
      <c r="M682" s="100"/>
      <c r="N682" s="96"/>
      <c r="O682" s="97"/>
      <c r="P682" s="98"/>
      <c r="Q682" s="101"/>
      <c r="R682" s="78" t="str">
        <f t="shared" si="62"/>
        <v/>
      </c>
    </row>
    <row r="683" spans="2:18" x14ac:dyDescent="0.2">
      <c r="B683" s="2" t="str">
        <f t="shared" si="63"/>
        <v/>
      </c>
      <c r="C683" s="2" t="str">
        <f t="shared" si="64"/>
        <v/>
      </c>
      <c r="D683" s="2" t="str">
        <f t="shared" si="65"/>
        <v>Y</v>
      </c>
      <c r="E683" s="2">
        <f t="shared" si="66"/>
        <v>0</v>
      </c>
      <c r="F683" s="2" t="str">
        <f t="shared" si="67"/>
        <v/>
      </c>
      <c r="H683" s="121" t="s">
        <v>680</v>
      </c>
      <c r="I683" s="92"/>
      <c r="J683" s="93"/>
      <c r="K683" s="93"/>
      <c r="L683" s="94"/>
      <c r="M683" s="100"/>
      <c r="N683" s="96"/>
      <c r="O683" s="97"/>
      <c r="P683" s="98"/>
      <c r="Q683" s="101"/>
      <c r="R683" s="78" t="str">
        <f t="shared" si="62"/>
        <v/>
      </c>
    </row>
    <row r="684" spans="2:18" x14ac:dyDescent="0.2">
      <c r="B684" s="2" t="str">
        <f t="shared" si="63"/>
        <v/>
      </c>
      <c r="C684" s="2" t="str">
        <f t="shared" si="64"/>
        <v/>
      </c>
      <c r="D684" s="2" t="str">
        <f t="shared" si="65"/>
        <v>Y</v>
      </c>
      <c r="E684" s="2">
        <f t="shared" si="66"/>
        <v>0</v>
      </c>
      <c r="F684" s="2" t="str">
        <f t="shared" si="67"/>
        <v/>
      </c>
      <c r="H684" s="121" t="s">
        <v>681</v>
      </c>
      <c r="I684" s="92"/>
      <c r="J684" s="93"/>
      <c r="K684" s="93"/>
      <c r="L684" s="94"/>
      <c r="M684" s="100"/>
      <c r="N684" s="96"/>
      <c r="O684" s="97"/>
      <c r="P684" s="98"/>
      <c r="Q684" s="101"/>
      <c r="R684" s="78" t="str">
        <f t="shared" si="62"/>
        <v/>
      </c>
    </row>
    <row r="685" spans="2:18" x14ac:dyDescent="0.2">
      <c r="B685" s="2" t="str">
        <f t="shared" si="63"/>
        <v/>
      </c>
      <c r="C685" s="2" t="str">
        <f t="shared" si="64"/>
        <v/>
      </c>
      <c r="D685" s="2" t="str">
        <f t="shared" si="65"/>
        <v>Y</v>
      </c>
      <c r="E685" s="2">
        <f t="shared" si="66"/>
        <v>0</v>
      </c>
      <c r="F685" s="2" t="str">
        <f t="shared" si="67"/>
        <v/>
      </c>
      <c r="H685" s="121" t="s">
        <v>682</v>
      </c>
      <c r="I685" s="92"/>
      <c r="J685" s="93"/>
      <c r="K685" s="93"/>
      <c r="L685" s="94"/>
      <c r="M685" s="100"/>
      <c r="N685" s="96"/>
      <c r="O685" s="97"/>
      <c r="P685" s="98"/>
      <c r="Q685" s="101"/>
      <c r="R685" s="78" t="str">
        <f t="shared" si="62"/>
        <v/>
      </c>
    </row>
    <row r="686" spans="2:18" x14ac:dyDescent="0.2">
      <c r="B686" s="2" t="str">
        <f t="shared" si="63"/>
        <v/>
      </c>
      <c r="C686" s="2" t="str">
        <f t="shared" si="64"/>
        <v/>
      </c>
      <c r="D686" s="2" t="str">
        <f t="shared" si="65"/>
        <v>Y</v>
      </c>
      <c r="E686" s="2">
        <f t="shared" si="66"/>
        <v>0</v>
      </c>
      <c r="F686" s="2" t="str">
        <f t="shared" si="67"/>
        <v/>
      </c>
      <c r="H686" s="121" t="s">
        <v>683</v>
      </c>
      <c r="I686" s="92"/>
      <c r="J686" s="93"/>
      <c r="K686" s="93"/>
      <c r="L686" s="94"/>
      <c r="M686" s="100"/>
      <c r="N686" s="96"/>
      <c r="O686" s="97"/>
      <c r="P686" s="98"/>
      <c r="Q686" s="101"/>
      <c r="R686" s="78" t="str">
        <f t="shared" si="62"/>
        <v/>
      </c>
    </row>
    <row r="687" spans="2:18" x14ac:dyDescent="0.2">
      <c r="B687" s="2" t="str">
        <f t="shared" si="63"/>
        <v/>
      </c>
      <c r="C687" s="2" t="str">
        <f t="shared" si="64"/>
        <v/>
      </c>
      <c r="D687" s="2" t="str">
        <f t="shared" si="65"/>
        <v>Y</v>
      </c>
      <c r="E687" s="2">
        <f t="shared" si="66"/>
        <v>0</v>
      </c>
      <c r="F687" s="2" t="str">
        <f t="shared" si="67"/>
        <v/>
      </c>
      <c r="H687" s="121" t="s">
        <v>684</v>
      </c>
      <c r="I687" s="92"/>
      <c r="J687" s="93"/>
      <c r="K687" s="93"/>
      <c r="L687" s="94"/>
      <c r="M687" s="100"/>
      <c r="N687" s="96"/>
      <c r="O687" s="97"/>
      <c r="P687" s="98"/>
      <c r="Q687" s="101"/>
      <c r="R687" s="78" t="str">
        <f t="shared" si="62"/>
        <v/>
      </c>
    </row>
    <row r="688" spans="2:18" x14ac:dyDescent="0.2">
      <c r="B688" s="2" t="str">
        <f t="shared" si="63"/>
        <v/>
      </c>
      <c r="C688" s="2" t="str">
        <f t="shared" si="64"/>
        <v/>
      </c>
      <c r="D688" s="2" t="str">
        <f t="shared" si="65"/>
        <v>Y</v>
      </c>
      <c r="E688" s="2">
        <f t="shared" si="66"/>
        <v>0</v>
      </c>
      <c r="F688" s="2" t="str">
        <f t="shared" si="67"/>
        <v/>
      </c>
      <c r="H688" s="121" t="s">
        <v>685</v>
      </c>
      <c r="I688" s="92"/>
      <c r="J688" s="93"/>
      <c r="K688" s="93"/>
      <c r="L688" s="94"/>
      <c r="M688" s="100"/>
      <c r="N688" s="96"/>
      <c r="O688" s="97"/>
      <c r="P688" s="98"/>
      <c r="Q688" s="101"/>
      <c r="R688" s="78" t="str">
        <f t="shared" si="62"/>
        <v/>
      </c>
    </row>
    <row r="689" spans="2:18" x14ac:dyDescent="0.2">
      <c r="B689" s="2" t="str">
        <f t="shared" si="63"/>
        <v/>
      </c>
      <c r="C689" s="2" t="str">
        <f t="shared" si="64"/>
        <v/>
      </c>
      <c r="D689" s="2" t="str">
        <f t="shared" si="65"/>
        <v>Y</v>
      </c>
      <c r="E689" s="2">
        <f t="shared" si="66"/>
        <v>0</v>
      </c>
      <c r="F689" s="2" t="str">
        <f t="shared" si="67"/>
        <v/>
      </c>
      <c r="H689" s="121" t="s">
        <v>686</v>
      </c>
      <c r="I689" s="92"/>
      <c r="J689" s="93"/>
      <c r="K689" s="93"/>
      <c r="L689" s="94"/>
      <c r="M689" s="100"/>
      <c r="N689" s="96"/>
      <c r="O689" s="97"/>
      <c r="P689" s="98"/>
      <c r="Q689" s="101"/>
      <c r="R689" s="78" t="str">
        <f t="shared" si="62"/>
        <v/>
      </c>
    </row>
    <row r="690" spans="2:18" x14ac:dyDescent="0.2">
      <c r="B690" s="2" t="str">
        <f t="shared" si="63"/>
        <v/>
      </c>
      <c r="C690" s="2" t="str">
        <f t="shared" si="64"/>
        <v/>
      </c>
      <c r="D690" s="2" t="str">
        <f t="shared" si="65"/>
        <v>Y</v>
      </c>
      <c r="E690" s="2">
        <f t="shared" si="66"/>
        <v>0</v>
      </c>
      <c r="F690" s="2" t="str">
        <f t="shared" si="67"/>
        <v/>
      </c>
      <c r="H690" s="121" t="s">
        <v>687</v>
      </c>
      <c r="I690" s="92"/>
      <c r="J690" s="93"/>
      <c r="K690" s="93"/>
      <c r="L690" s="94"/>
      <c r="M690" s="100"/>
      <c r="N690" s="96"/>
      <c r="O690" s="97"/>
      <c r="P690" s="98"/>
      <c r="Q690" s="101"/>
      <c r="R690" s="78" t="str">
        <f t="shared" si="62"/>
        <v/>
      </c>
    </row>
    <row r="691" spans="2:18" x14ac:dyDescent="0.2">
      <c r="B691" s="2" t="str">
        <f t="shared" si="63"/>
        <v/>
      </c>
      <c r="C691" s="2" t="str">
        <f t="shared" si="64"/>
        <v/>
      </c>
      <c r="D691" s="2" t="str">
        <f t="shared" si="65"/>
        <v>Y</v>
      </c>
      <c r="E691" s="2">
        <f t="shared" si="66"/>
        <v>0</v>
      </c>
      <c r="F691" s="2" t="str">
        <f t="shared" si="67"/>
        <v/>
      </c>
      <c r="H691" s="121" t="s">
        <v>688</v>
      </c>
      <c r="I691" s="92"/>
      <c r="J691" s="93"/>
      <c r="K691" s="93"/>
      <c r="L691" s="94"/>
      <c r="M691" s="100"/>
      <c r="N691" s="96"/>
      <c r="O691" s="97"/>
      <c r="P691" s="98"/>
      <c r="Q691" s="101"/>
      <c r="R691" s="78" t="str">
        <f t="shared" si="62"/>
        <v/>
      </c>
    </row>
    <row r="692" spans="2:18" x14ac:dyDescent="0.2">
      <c r="B692" s="2" t="str">
        <f t="shared" si="63"/>
        <v/>
      </c>
      <c r="C692" s="2" t="str">
        <f t="shared" si="64"/>
        <v/>
      </c>
      <c r="D692" s="2" t="str">
        <f t="shared" si="65"/>
        <v>Y</v>
      </c>
      <c r="E692" s="2">
        <f t="shared" si="66"/>
        <v>0</v>
      </c>
      <c r="F692" s="2" t="str">
        <f t="shared" si="67"/>
        <v/>
      </c>
      <c r="H692" s="121" t="s">
        <v>689</v>
      </c>
      <c r="I692" s="92"/>
      <c r="J692" s="93"/>
      <c r="K692" s="93"/>
      <c r="L692" s="94"/>
      <c r="M692" s="100"/>
      <c r="N692" s="96"/>
      <c r="O692" s="97"/>
      <c r="P692" s="98"/>
      <c r="Q692" s="101"/>
      <c r="R692" s="78" t="str">
        <f t="shared" si="62"/>
        <v/>
      </c>
    </row>
    <row r="693" spans="2:18" x14ac:dyDescent="0.2">
      <c r="B693" s="2" t="str">
        <f t="shared" si="63"/>
        <v/>
      </c>
      <c r="C693" s="2" t="str">
        <f t="shared" si="64"/>
        <v/>
      </c>
      <c r="D693" s="2" t="str">
        <f t="shared" si="65"/>
        <v>Y</v>
      </c>
      <c r="E693" s="2">
        <f t="shared" si="66"/>
        <v>0</v>
      </c>
      <c r="F693" s="2" t="str">
        <f t="shared" si="67"/>
        <v/>
      </c>
      <c r="H693" s="121" t="s">
        <v>690</v>
      </c>
      <c r="I693" s="92"/>
      <c r="J693" s="93"/>
      <c r="K693" s="93"/>
      <c r="L693" s="94"/>
      <c r="M693" s="100"/>
      <c r="N693" s="96"/>
      <c r="O693" s="97"/>
      <c r="P693" s="98"/>
      <c r="Q693" s="101"/>
      <c r="R693" s="78" t="str">
        <f t="shared" si="62"/>
        <v/>
      </c>
    </row>
    <row r="694" spans="2:18" x14ac:dyDescent="0.2">
      <c r="B694" s="2" t="str">
        <f t="shared" si="63"/>
        <v/>
      </c>
      <c r="C694" s="2" t="str">
        <f t="shared" si="64"/>
        <v/>
      </c>
      <c r="D694" s="2" t="str">
        <f t="shared" si="65"/>
        <v>Y</v>
      </c>
      <c r="E694" s="2">
        <f t="shared" si="66"/>
        <v>0</v>
      </c>
      <c r="F694" s="2" t="str">
        <f t="shared" si="67"/>
        <v/>
      </c>
      <c r="H694" s="121" t="s">
        <v>691</v>
      </c>
      <c r="I694" s="92"/>
      <c r="J694" s="93"/>
      <c r="K694" s="93"/>
      <c r="L694" s="94"/>
      <c r="M694" s="100"/>
      <c r="N694" s="96"/>
      <c r="O694" s="97"/>
      <c r="P694" s="98"/>
      <c r="Q694" s="101"/>
      <c r="R694" s="78" t="str">
        <f t="shared" si="62"/>
        <v/>
      </c>
    </row>
    <row r="695" spans="2:18" x14ac:dyDescent="0.2">
      <c r="B695" s="2" t="str">
        <f t="shared" si="63"/>
        <v/>
      </c>
      <c r="C695" s="2" t="str">
        <f t="shared" si="64"/>
        <v/>
      </c>
      <c r="D695" s="2" t="str">
        <f t="shared" si="65"/>
        <v>Y</v>
      </c>
      <c r="E695" s="2">
        <f t="shared" si="66"/>
        <v>0</v>
      </c>
      <c r="F695" s="2" t="str">
        <f t="shared" si="67"/>
        <v/>
      </c>
      <c r="H695" s="121" t="s">
        <v>692</v>
      </c>
      <c r="I695" s="92"/>
      <c r="J695" s="93"/>
      <c r="K695" s="93"/>
      <c r="L695" s="94"/>
      <c r="M695" s="100"/>
      <c r="N695" s="96"/>
      <c r="O695" s="97"/>
      <c r="P695" s="98"/>
      <c r="Q695" s="101"/>
      <c r="R695" s="78" t="str">
        <f t="shared" si="62"/>
        <v/>
      </c>
    </row>
    <row r="696" spans="2:18" x14ac:dyDescent="0.2">
      <c r="B696" s="2" t="str">
        <f t="shared" si="63"/>
        <v/>
      </c>
      <c r="C696" s="2" t="str">
        <f t="shared" si="64"/>
        <v/>
      </c>
      <c r="D696" s="2" t="str">
        <f t="shared" si="65"/>
        <v>Y</v>
      </c>
      <c r="E696" s="2">
        <f t="shared" si="66"/>
        <v>0</v>
      </c>
      <c r="F696" s="2" t="str">
        <f t="shared" si="67"/>
        <v/>
      </c>
      <c r="H696" s="121" t="s">
        <v>693</v>
      </c>
      <c r="I696" s="92"/>
      <c r="J696" s="93"/>
      <c r="K696" s="93"/>
      <c r="L696" s="94"/>
      <c r="M696" s="100"/>
      <c r="N696" s="96"/>
      <c r="O696" s="97"/>
      <c r="P696" s="98"/>
      <c r="Q696" s="101"/>
      <c r="R696" s="78" t="str">
        <f t="shared" si="62"/>
        <v/>
      </c>
    </row>
    <row r="697" spans="2:18" x14ac:dyDescent="0.2">
      <c r="B697" s="2" t="str">
        <f t="shared" si="63"/>
        <v/>
      </c>
      <c r="C697" s="2" t="str">
        <f t="shared" si="64"/>
        <v/>
      </c>
      <c r="D697" s="2" t="str">
        <f t="shared" si="65"/>
        <v>Y</v>
      </c>
      <c r="E697" s="2">
        <f t="shared" si="66"/>
        <v>0</v>
      </c>
      <c r="F697" s="2" t="str">
        <f t="shared" si="67"/>
        <v/>
      </c>
      <c r="H697" s="121" t="s">
        <v>694</v>
      </c>
      <c r="I697" s="92"/>
      <c r="J697" s="93"/>
      <c r="K697" s="93"/>
      <c r="L697" s="94"/>
      <c r="M697" s="100"/>
      <c r="N697" s="96"/>
      <c r="O697" s="97"/>
      <c r="P697" s="98"/>
      <c r="Q697" s="101"/>
      <c r="R697" s="78" t="str">
        <f t="shared" si="62"/>
        <v/>
      </c>
    </row>
    <row r="698" spans="2:18" x14ac:dyDescent="0.2">
      <c r="B698" s="2" t="str">
        <f t="shared" si="63"/>
        <v/>
      </c>
      <c r="C698" s="2" t="str">
        <f t="shared" si="64"/>
        <v/>
      </c>
      <c r="D698" s="2" t="str">
        <f t="shared" si="65"/>
        <v>Y</v>
      </c>
      <c r="E698" s="2">
        <f t="shared" si="66"/>
        <v>0</v>
      </c>
      <c r="F698" s="2" t="str">
        <f t="shared" si="67"/>
        <v/>
      </c>
      <c r="H698" s="121" t="s">
        <v>695</v>
      </c>
      <c r="I698" s="92"/>
      <c r="J698" s="93"/>
      <c r="K698" s="93"/>
      <c r="L698" s="94"/>
      <c r="M698" s="100"/>
      <c r="N698" s="96"/>
      <c r="O698" s="97"/>
      <c r="P698" s="98"/>
      <c r="Q698" s="101"/>
      <c r="R698" s="78" t="str">
        <f t="shared" si="62"/>
        <v/>
      </c>
    </row>
    <row r="699" spans="2:18" x14ac:dyDescent="0.2">
      <c r="B699" s="2" t="str">
        <f t="shared" si="63"/>
        <v/>
      </c>
      <c r="C699" s="2" t="str">
        <f t="shared" si="64"/>
        <v/>
      </c>
      <c r="D699" s="2" t="str">
        <f t="shared" si="65"/>
        <v>Y</v>
      </c>
      <c r="E699" s="2">
        <f t="shared" si="66"/>
        <v>0</v>
      </c>
      <c r="F699" s="2" t="str">
        <f t="shared" si="67"/>
        <v/>
      </c>
      <c r="H699" s="121" t="s">
        <v>696</v>
      </c>
      <c r="I699" s="92"/>
      <c r="J699" s="93"/>
      <c r="K699" s="93"/>
      <c r="L699" s="94"/>
      <c r="M699" s="100"/>
      <c r="N699" s="96"/>
      <c r="O699" s="97"/>
      <c r="P699" s="98"/>
      <c r="Q699" s="101"/>
      <c r="R699" s="78" t="str">
        <f t="shared" si="62"/>
        <v/>
      </c>
    </row>
    <row r="700" spans="2:18" x14ac:dyDescent="0.2">
      <c r="B700" s="2" t="str">
        <f t="shared" si="63"/>
        <v/>
      </c>
      <c r="C700" s="2" t="str">
        <f t="shared" si="64"/>
        <v/>
      </c>
      <c r="D700" s="2" t="str">
        <f t="shared" si="65"/>
        <v>Y</v>
      </c>
      <c r="E700" s="2">
        <f t="shared" si="66"/>
        <v>0</v>
      </c>
      <c r="F700" s="2" t="str">
        <f t="shared" si="67"/>
        <v/>
      </c>
      <c r="H700" s="121" t="s">
        <v>697</v>
      </c>
      <c r="I700" s="92"/>
      <c r="J700" s="93"/>
      <c r="K700" s="93"/>
      <c r="L700" s="94"/>
      <c r="M700" s="100"/>
      <c r="N700" s="96"/>
      <c r="O700" s="97"/>
      <c r="P700" s="98"/>
      <c r="Q700" s="101"/>
      <c r="R700" s="78" t="str">
        <f t="shared" si="62"/>
        <v/>
      </c>
    </row>
    <row r="701" spans="2:18" x14ac:dyDescent="0.2">
      <c r="B701" s="2" t="str">
        <f t="shared" si="63"/>
        <v/>
      </c>
      <c r="C701" s="2" t="str">
        <f t="shared" si="64"/>
        <v/>
      </c>
      <c r="D701" s="2" t="str">
        <f t="shared" si="65"/>
        <v>Y</v>
      </c>
      <c r="E701" s="2">
        <f t="shared" si="66"/>
        <v>0</v>
      </c>
      <c r="F701" s="2" t="str">
        <f t="shared" si="67"/>
        <v/>
      </c>
      <c r="H701" s="121" t="s">
        <v>698</v>
      </c>
      <c r="I701" s="92"/>
      <c r="J701" s="93"/>
      <c r="K701" s="93"/>
      <c r="L701" s="94"/>
      <c r="M701" s="100"/>
      <c r="N701" s="96"/>
      <c r="O701" s="97"/>
      <c r="P701" s="98"/>
      <c r="Q701" s="101"/>
      <c r="R701" s="78" t="str">
        <f t="shared" si="62"/>
        <v/>
      </c>
    </row>
    <row r="702" spans="2:18" x14ac:dyDescent="0.2">
      <c r="B702" s="2" t="str">
        <f t="shared" si="63"/>
        <v/>
      </c>
      <c r="C702" s="2" t="str">
        <f t="shared" si="64"/>
        <v/>
      </c>
      <c r="D702" s="2" t="str">
        <f t="shared" si="65"/>
        <v>Y</v>
      </c>
      <c r="E702" s="2">
        <f t="shared" si="66"/>
        <v>0</v>
      </c>
      <c r="F702" s="2" t="str">
        <f t="shared" si="67"/>
        <v/>
      </c>
      <c r="H702" s="121" t="s">
        <v>699</v>
      </c>
      <c r="I702" s="92"/>
      <c r="J702" s="93"/>
      <c r="K702" s="93"/>
      <c r="L702" s="94"/>
      <c r="M702" s="100"/>
      <c r="N702" s="96"/>
      <c r="O702" s="97"/>
      <c r="P702" s="98"/>
      <c r="Q702" s="101"/>
      <c r="R702" s="78" t="str">
        <f t="shared" si="62"/>
        <v/>
      </c>
    </row>
    <row r="703" spans="2:18" x14ac:dyDescent="0.2">
      <c r="B703" s="2" t="str">
        <f t="shared" si="63"/>
        <v/>
      </c>
      <c r="C703" s="2" t="str">
        <f t="shared" si="64"/>
        <v/>
      </c>
      <c r="D703" s="2" t="str">
        <f t="shared" si="65"/>
        <v>Y</v>
      </c>
      <c r="E703" s="2">
        <f t="shared" si="66"/>
        <v>0</v>
      </c>
      <c r="F703" s="2" t="str">
        <f t="shared" si="67"/>
        <v/>
      </c>
      <c r="H703" s="121" t="s">
        <v>700</v>
      </c>
      <c r="I703" s="92"/>
      <c r="J703" s="93"/>
      <c r="K703" s="93"/>
      <c r="L703" s="94"/>
      <c r="M703" s="100"/>
      <c r="N703" s="96"/>
      <c r="O703" s="97"/>
      <c r="P703" s="98"/>
      <c r="Q703" s="101"/>
      <c r="R703" s="78" t="str">
        <f t="shared" si="62"/>
        <v/>
      </c>
    </row>
    <row r="704" spans="2:18" x14ac:dyDescent="0.2">
      <c r="B704" s="2" t="str">
        <f t="shared" si="63"/>
        <v/>
      </c>
      <c r="C704" s="2" t="str">
        <f t="shared" si="64"/>
        <v/>
      </c>
      <c r="D704" s="2" t="str">
        <f t="shared" si="65"/>
        <v>Y</v>
      </c>
      <c r="E704" s="2">
        <f t="shared" si="66"/>
        <v>0</v>
      </c>
      <c r="F704" s="2" t="str">
        <f t="shared" si="67"/>
        <v/>
      </c>
      <c r="H704" s="121" t="s">
        <v>701</v>
      </c>
      <c r="I704" s="92"/>
      <c r="J704" s="93"/>
      <c r="K704" s="93"/>
      <c r="L704" s="94"/>
      <c r="M704" s="100"/>
      <c r="N704" s="96"/>
      <c r="O704" s="97"/>
      <c r="P704" s="98"/>
      <c r="Q704" s="101"/>
      <c r="R704" s="78" t="str">
        <f t="shared" si="62"/>
        <v/>
      </c>
    </row>
    <row r="705" spans="2:18" x14ac:dyDescent="0.2">
      <c r="B705" s="2" t="str">
        <f t="shared" si="63"/>
        <v/>
      </c>
      <c r="C705" s="2" t="str">
        <f t="shared" si="64"/>
        <v/>
      </c>
      <c r="D705" s="2" t="str">
        <f t="shared" si="65"/>
        <v>Y</v>
      </c>
      <c r="E705" s="2">
        <f t="shared" si="66"/>
        <v>0</v>
      </c>
      <c r="F705" s="2" t="str">
        <f t="shared" si="67"/>
        <v/>
      </c>
      <c r="H705" s="121" t="s">
        <v>702</v>
      </c>
      <c r="I705" s="92"/>
      <c r="J705" s="93"/>
      <c r="K705" s="93"/>
      <c r="L705" s="94"/>
      <c r="M705" s="100"/>
      <c r="N705" s="96"/>
      <c r="O705" s="97"/>
      <c r="P705" s="98"/>
      <c r="Q705" s="101"/>
      <c r="R705" s="78" t="str">
        <f t="shared" si="62"/>
        <v/>
      </c>
    </row>
    <row r="706" spans="2:18" x14ac:dyDescent="0.2">
      <c r="B706" s="2" t="str">
        <f t="shared" si="63"/>
        <v/>
      </c>
      <c r="C706" s="2" t="str">
        <f t="shared" si="64"/>
        <v/>
      </c>
      <c r="D706" s="2" t="str">
        <f t="shared" si="65"/>
        <v>Y</v>
      </c>
      <c r="E706" s="2">
        <f t="shared" si="66"/>
        <v>0</v>
      </c>
      <c r="F706" s="2" t="str">
        <f t="shared" si="67"/>
        <v/>
      </c>
      <c r="H706" s="121" t="s">
        <v>703</v>
      </c>
      <c r="I706" s="92"/>
      <c r="J706" s="93"/>
      <c r="K706" s="93"/>
      <c r="L706" s="94"/>
      <c r="M706" s="100"/>
      <c r="N706" s="96"/>
      <c r="O706" s="97"/>
      <c r="P706" s="98"/>
      <c r="Q706" s="101"/>
      <c r="R706" s="78" t="str">
        <f t="shared" si="62"/>
        <v/>
      </c>
    </row>
    <row r="707" spans="2:18" x14ac:dyDescent="0.2">
      <c r="B707" s="2" t="str">
        <f t="shared" si="63"/>
        <v/>
      </c>
      <c r="C707" s="2" t="str">
        <f t="shared" si="64"/>
        <v/>
      </c>
      <c r="D707" s="2" t="str">
        <f t="shared" si="65"/>
        <v>Y</v>
      </c>
      <c r="E707" s="2">
        <f t="shared" si="66"/>
        <v>0</v>
      </c>
      <c r="F707" s="2" t="str">
        <f t="shared" si="67"/>
        <v/>
      </c>
      <c r="H707" s="121" t="s">
        <v>704</v>
      </c>
      <c r="I707" s="92"/>
      <c r="J707" s="93"/>
      <c r="K707" s="93"/>
      <c r="L707" s="94"/>
      <c r="M707" s="100"/>
      <c r="N707" s="96"/>
      <c r="O707" s="97"/>
      <c r="P707" s="98"/>
      <c r="Q707" s="101"/>
      <c r="R707" s="78" t="str">
        <f t="shared" si="62"/>
        <v/>
      </c>
    </row>
    <row r="708" spans="2:18" x14ac:dyDescent="0.2">
      <c r="B708" s="2" t="str">
        <f t="shared" si="63"/>
        <v/>
      </c>
      <c r="C708" s="2" t="str">
        <f t="shared" si="64"/>
        <v/>
      </c>
      <c r="D708" s="2" t="str">
        <f t="shared" si="65"/>
        <v>Y</v>
      </c>
      <c r="E708" s="2">
        <f t="shared" si="66"/>
        <v>0</v>
      </c>
      <c r="F708" s="2" t="str">
        <f t="shared" si="67"/>
        <v/>
      </c>
      <c r="H708" s="121" t="s">
        <v>705</v>
      </c>
      <c r="I708" s="92"/>
      <c r="J708" s="93"/>
      <c r="K708" s="93"/>
      <c r="L708" s="94"/>
      <c r="M708" s="100"/>
      <c r="N708" s="96"/>
      <c r="O708" s="97"/>
      <c r="P708" s="98"/>
      <c r="Q708" s="101"/>
      <c r="R708" s="78" t="str">
        <f t="shared" si="62"/>
        <v/>
      </c>
    </row>
    <row r="709" spans="2:18" x14ac:dyDescent="0.2">
      <c r="B709" s="2" t="str">
        <f t="shared" si="63"/>
        <v/>
      </c>
      <c r="C709" s="2" t="str">
        <f t="shared" si="64"/>
        <v/>
      </c>
      <c r="D709" s="2" t="str">
        <f t="shared" si="65"/>
        <v>Y</v>
      </c>
      <c r="E709" s="2">
        <f t="shared" si="66"/>
        <v>0</v>
      </c>
      <c r="F709" s="2" t="str">
        <f t="shared" si="67"/>
        <v/>
      </c>
      <c r="H709" s="121" t="s">
        <v>706</v>
      </c>
      <c r="I709" s="92"/>
      <c r="J709" s="93"/>
      <c r="K709" s="93"/>
      <c r="L709" s="94"/>
      <c r="M709" s="100"/>
      <c r="N709" s="96"/>
      <c r="O709" s="97"/>
      <c r="P709" s="98"/>
      <c r="Q709" s="101"/>
      <c r="R709" s="78" t="str">
        <f t="shared" si="62"/>
        <v/>
      </c>
    </row>
    <row r="710" spans="2:18" x14ac:dyDescent="0.2">
      <c r="B710" s="2" t="str">
        <f t="shared" si="63"/>
        <v/>
      </c>
      <c r="C710" s="2" t="str">
        <f t="shared" si="64"/>
        <v/>
      </c>
      <c r="D710" s="2" t="str">
        <f t="shared" si="65"/>
        <v>Y</v>
      </c>
      <c r="E710" s="2">
        <f t="shared" si="66"/>
        <v>0</v>
      </c>
      <c r="F710" s="2" t="str">
        <f t="shared" si="67"/>
        <v/>
      </c>
      <c r="H710" s="121" t="s">
        <v>707</v>
      </c>
      <c r="I710" s="92"/>
      <c r="J710" s="93"/>
      <c r="K710" s="93"/>
      <c r="L710" s="94"/>
      <c r="M710" s="100"/>
      <c r="N710" s="96"/>
      <c r="O710" s="97"/>
      <c r="P710" s="98"/>
      <c r="Q710" s="101"/>
      <c r="R710" s="78" t="str">
        <f t="shared" si="62"/>
        <v/>
      </c>
    </row>
    <row r="711" spans="2:18" x14ac:dyDescent="0.2">
      <c r="B711" s="2" t="str">
        <f t="shared" si="63"/>
        <v/>
      </c>
      <c r="C711" s="2" t="str">
        <f t="shared" si="64"/>
        <v/>
      </c>
      <c r="D711" s="2" t="str">
        <f t="shared" si="65"/>
        <v>Y</v>
      </c>
      <c r="E711" s="2">
        <f t="shared" si="66"/>
        <v>0</v>
      </c>
      <c r="F711" s="2" t="str">
        <f t="shared" si="67"/>
        <v/>
      </c>
      <c r="H711" s="121" t="s">
        <v>708</v>
      </c>
      <c r="I711" s="92"/>
      <c r="J711" s="93"/>
      <c r="K711" s="93"/>
      <c r="L711" s="94"/>
      <c r="M711" s="100"/>
      <c r="N711" s="96"/>
      <c r="O711" s="97"/>
      <c r="P711" s="98"/>
      <c r="Q711" s="101"/>
      <c r="R711" s="78" t="str">
        <f t="shared" si="62"/>
        <v/>
      </c>
    </row>
    <row r="712" spans="2:18" x14ac:dyDescent="0.2">
      <c r="B712" s="2" t="str">
        <f t="shared" si="63"/>
        <v/>
      </c>
      <c r="C712" s="2" t="str">
        <f t="shared" si="64"/>
        <v/>
      </c>
      <c r="D712" s="2" t="str">
        <f t="shared" si="65"/>
        <v>Y</v>
      </c>
      <c r="E712" s="2">
        <f t="shared" si="66"/>
        <v>0</v>
      </c>
      <c r="F712" s="2" t="str">
        <f t="shared" si="67"/>
        <v/>
      </c>
      <c r="H712" s="121" t="s">
        <v>709</v>
      </c>
      <c r="I712" s="92"/>
      <c r="J712" s="93"/>
      <c r="K712" s="93"/>
      <c r="L712" s="94"/>
      <c r="M712" s="100"/>
      <c r="N712" s="96"/>
      <c r="O712" s="97"/>
      <c r="P712" s="98"/>
      <c r="Q712" s="101"/>
      <c r="R712" s="78" t="str">
        <f t="shared" si="62"/>
        <v/>
      </c>
    </row>
    <row r="713" spans="2:18" x14ac:dyDescent="0.2">
      <c r="B713" s="2" t="str">
        <f t="shared" si="63"/>
        <v/>
      </c>
      <c r="C713" s="2" t="str">
        <f t="shared" si="64"/>
        <v/>
      </c>
      <c r="D713" s="2" t="str">
        <f t="shared" si="65"/>
        <v>Y</v>
      </c>
      <c r="E713" s="2">
        <f t="shared" si="66"/>
        <v>0</v>
      </c>
      <c r="F713" s="2" t="str">
        <f t="shared" si="67"/>
        <v/>
      </c>
      <c r="H713" s="121" t="s">
        <v>710</v>
      </c>
      <c r="I713" s="92"/>
      <c r="J713" s="93"/>
      <c r="K713" s="93"/>
      <c r="L713" s="94"/>
      <c r="M713" s="100"/>
      <c r="N713" s="96"/>
      <c r="O713" s="97"/>
      <c r="P713" s="98"/>
      <c r="Q713" s="101"/>
      <c r="R713" s="78" t="str">
        <f t="shared" si="62"/>
        <v/>
      </c>
    </row>
    <row r="714" spans="2:18" x14ac:dyDescent="0.2">
      <c r="B714" s="2" t="str">
        <f t="shared" si="63"/>
        <v/>
      </c>
      <c r="C714" s="2" t="str">
        <f t="shared" si="64"/>
        <v/>
      </c>
      <c r="D714" s="2" t="str">
        <f t="shared" si="65"/>
        <v>Y</v>
      </c>
      <c r="E714" s="2">
        <f t="shared" si="66"/>
        <v>0</v>
      </c>
      <c r="F714" s="2" t="str">
        <f t="shared" si="67"/>
        <v/>
      </c>
      <c r="H714" s="121" t="s">
        <v>711</v>
      </c>
      <c r="I714" s="92"/>
      <c r="J714" s="93"/>
      <c r="K714" s="93"/>
      <c r="L714" s="94"/>
      <c r="M714" s="100"/>
      <c r="N714" s="96"/>
      <c r="O714" s="97"/>
      <c r="P714" s="98"/>
      <c r="Q714" s="101"/>
      <c r="R714" s="78" t="str">
        <f t="shared" si="62"/>
        <v/>
      </c>
    </row>
    <row r="715" spans="2:18" x14ac:dyDescent="0.2">
      <c r="B715" s="2" t="str">
        <f t="shared" si="63"/>
        <v/>
      </c>
      <c r="C715" s="2" t="str">
        <f t="shared" si="64"/>
        <v/>
      </c>
      <c r="D715" s="2" t="str">
        <f t="shared" si="65"/>
        <v>Y</v>
      </c>
      <c r="E715" s="2">
        <f t="shared" si="66"/>
        <v>0</v>
      </c>
      <c r="F715" s="2" t="str">
        <f t="shared" si="67"/>
        <v/>
      </c>
      <c r="H715" s="121" t="s">
        <v>712</v>
      </c>
      <c r="I715" s="92"/>
      <c r="J715" s="93"/>
      <c r="K715" s="93"/>
      <c r="L715" s="94"/>
      <c r="M715" s="100"/>
      <c r="N715" s="96"/>
      <c r="O715" s="97"/>
      <c r="P715" s="98"/>
      <c r="Q715" s="101"/>
      <c r="R715" s="78" t="str">
        <f t="shared" ref="R715:R778" si="68">IF(ISERROR(VLOOKUP(K715,LB_PROJECTS,2,FALSE)),"",VLOOKUP(K715,LB_PROJECTS,2,FALSE))</f>
        <v/>
      </c>
    </row>
    <row r="716" spans="2:18" x14ac:dyDescent="0.2">
      <c r="B716" s="2" t="str">
        <f t="shared" ref="B716:B779" si="69">IF(M716="","",IF(WEEKNUM(M716)&lt;10,VALUE(CONCATENATE(YEAR(M716),"0",WEEKNUM(M716))),VALUE(CONCATENATE(YEAR(M716),WEEKNUM(M716)))))</f>
        <v/>
      </c>
      <c r="C716" s="2" t="str">
        <f t="shared" ref="C716:C779" si="70">IF(P716="","",IF(WEEKNUM(P716)&lt;10,VALUE(CONCATENATE(YEAR(P716),"0",WEEKNUM(P716))),VALUE(CONCATENATE(YEAR(P716),WEEKNUM(P716)))))</f>
        <v/>
      </c>
      <c r="D716" s="2" t="str">
        <f t="shared" ref="D716:D779" si="71">IF(OR(O716="Not started",O716="In progress"),"N",IF(OR(O716="N/A",O716="Suspended",O716="Canceled"),"","Y"))</f>
        <v>Y</v>
      </c>
      <c r="E716" s="2">
        <f t="shared" ref="E716:E779" si="72">IF(OR(O716="Not started",O716="In progress",O716="Applied",O716="Closed"),1,0)</f>
        <v>0</v>
      </c>
      <c r="F716" s="2" t="str">
        <f t="shared" si="67"/>
        <v/>
      </c>
      <c r="H716" s="121" t="s">
        <v>713</v>
      </c>
      <c r="I716" s="92"/>
      <c r="J716" s="93"/>
      <c r="K716" s="93"/>
      <c r="L716" s="94"/>
      <c r="M716" s="100"/>
      <c r="N716" s="96"/>
      <c r="O716" s="97"/>
      <c r="P716" s="98"/>
      <c r="Q716" s="101"/>
      <c r="R716" s="78" t="str">
        <f t="shared" si="68"/>
        <v/>
      </c>
    </row>
    <row r="717" spans="2:18" x14ac:dyDescent="0.2">
      <c r="B717" s="2" t="str">
        <f t="shared" si="69"/>
        <v/>
      </c>
      <c r="C717" s="2" t="str">
        <f t="shared" si="70"/>
        <v/>
      </c>
      <c r="D717" s="2" t="str">
        <f t="shared" si="71"/>
        <v>Y</v>
      </c>
      <c r="E717" s="2">
        <f t="shared" si="72"/>
        <v>0</v>
      </c>
      <c r="F717" s="2" t="str">
        <f t="shared" si="67"/>
        <v/>
      </c>
      <c r="H717" s="121" t="s">
        <v>714</v>
      </c>
      <c r="I717" s="92"/>
      <c r="J717" s="93"/>
      <c r="K717" s="93"/>
      <c r="L717" s="94"/>
      <c r="M717" s="100"/>
      <c r="N717" s="96"/>
      <c r="O717" s="97"/>
      <c r="P717" s="98"/>
      <c r="Q717" s="101"/>
      <c r="R717" s="78" t="str">
        <f t="shared" si="68"/>
        <v/>
      </c>
    </row>
    <row r="718" spans="2:18" x14ac:dyDescent="0.2">
      <c r="B718" s="2" t="str">
        <f t="shared" si="69"/>
        <v/>
      </c>
      <c r="C718" s="2" t="str">
        <f t="shared" si="70"/>
        <v/>
      </c>
      <c r="D718" s="2" t="str">
        <f t="shared" si="71"/>
        <v>Y</v>
      </c>
      <c r="E718" s="2">
        <f t="shared" si="72"/>
        <v>0</v>
      </c>
      <c r="F718" s="2" t="str">
        <f t="shared" ref="F718:F781" si="73">IF(N718="",B718,IF(WEEKNUM(N718)&lt;10,VALUE(CONCATENATE(YEAR(N718),"0",WEEKNUM(N718))),VALUE(CONCATENATE(YEAR(N718),WEEKNUM(N718)))))</f>
        <v/>
      </c>
      <c r="H718" s="121" t="s">
        <v>715</v>
      </c>
      <c r="I718" s="92"/>
      <c r="J718" s="93"/>
      <c r="K718" s="93"/>
      <c r="L718" s="94"/>
      <c r="M718" s="100"/>
      <c r="N718" s="96"/>
      <c r="O718" s="97"/>
      <c r="P718" s="98"/>
      <c r="Q718" s="101"/>
      <c r="R718" s="78" t="str">
        <f t="shared" si="68"/>
        <v/>
      </c>
    </row>
    <row r="719" spans="2:18" x14ac:dyDescent="0.2">
      <c r="B719" s="2" t="str">
        <f t="shared" si="69"/>
        <v/>
      </c>
      <c r="C719" s="2" t="str">
        <f t="shared" si="70"/>
        <v/>
      </c>
      <c r="D719" s="2" t="str">
        <f t="shared" si="71"/>
        <v>Y</v>
      </c>
      <c r="E719" s="2">
        <f t="shared" si="72"/>
        <v>0</v>
      </c>
      <c r="F719" s="2" t="str">
        <f t="shared" si="73"/>
        <v/>
      </c>
      <c r="H719" s="121" t="s">
        <v>716</v>
      </c>
      <c r="I719" s="92"/>
      <c r="J719" s="93"/>
      <c r="K719" s="93"/>
      <c r="L719" s="94"/>
      <c r="M719" s="100"/>
      <c r="N719" s="96"/>
      <c r="O719" s="97"/>
      <c r="P719" s="98"/>
      <c r="Q719" s="101"/>
      <c r="R719" s="78" t="str">
        <f t="shared" si="68"/>
        <v/>
      </c>
    </row>
    <row r="720" spans="2:18" x14ac:dyDescent="0.2">
      <c r="B720" s="2" t="str">
        <f t="shared" si="69"/>
        <v/>
      </c>
      <c r="C720" s="2" t="str">
        <f t="shared" si="70"/>
        <v/>
      </c>
      <c r="D720" s="2" t="str">
        <f t="shared" si="71"/>
        <v>Y</v>
      </c>
      <c r="E720" s="2">
        <f t="shared" si="72"/>
        <v>0</v>
      </c>
      <c r="F720" s="2" t="str">
        <f t="shared" si="73"/>
        <v/>
      </c>
      <c r="H720" s="121" t="s">
        <v>717</v>
      </c>
      <c r="I720" s="92"/>
      <c r="J720" s="93"/>
      <c r="K720" s="93"/>
      <c r="L720" s="94"/>
      <c r="M720" s="100"/>
      <c r="N720" s="96"/>
      <c r="O720" s="97"/>
      <c r="P720" s="98"/>
      <c r="Q720" s="101"/>
      <c r="R720" s="78" t="str">
        <f t="shared" si="68"/>
        <v/>
      </c>
    </row>
    <row r="721" spans="2:18" x14ac:dyDescent="0.2">
      <c r="B721" s="2" t="str">
        <f t="shared" si="69"/>
        <v/>
      </c>
      <c r="C721" s="2" t="str">
        <f t="shared" si="70"/>
        <v/>
      </c>
      <c r="D721" s="2" t="str">
        <f t="shared" si="71"/>
        <v>Y</v>
      </c>
      <c r="E721" s="2">
        <f t="shared" si="72"/>
        <v>0</v>
      </c>
      <c r="F721" s="2" t="str">
        <f t="shared" si="73"/>
        <v/>
      </c>
      <c r="H721" s="121" t="s">
        <v>718</v>
      </c>
      <c r="I721" s="92"/>
      <c r="J721" s="93"/>
      <c r="K721" s="93"/>
      <c r="L721" s="94"/>
      <c r="M721" s="100"/>
      <c r="N721" s="96"/>
      <c r="O721" s="97"/>
      <c r="P721" s="98"/>
      <c r="Q721" s="101"/>
      <c r="R721" s="78" t="str">
        <f t="shared" si="68"/>
        <v/>
      </c>
    </row>
    <row r="722" spans="2:18" x14ac:dyDescent="0.2">
      <c r="B722" s="2" t="str">
        <f t="shared" si="69"/>
        <v/>
      </c>
      <c r="C722" s="2" t="str">
        <f t="shared" si="70"/>
        <v/>
      </c>
      <c r="D722" s="2" t="str">
        <f t="shared" si="71"/>
        <v>Y</v>
      </c>
      <c r="E722" s="2">
        <f t="shared" si="72"/>
        <v>0</v>
      </c>
      <c r="F722" s="2" t="str">
        <f t="shared" si="73"/>
        <v/>
      </c>
      <c r="H722" s="121" t="s">
        <v>719</v>
      </c>
      <c r="I722" s="92"/>
      <c r="J722" s="93"/>
      <c r="K722" s="93"/>
      <c r="L722" s="94"/>
      <c r="M722" s="100"/>
      <c r="N722" s="96"/>
      <c r="O722" s="97"/>
      <c r="P722" s="98"/>
      <c r="Q722" s="101"/>
      <c r="R722" s="78" t="str">
        <f t="shared" si="68"/>
        <v/>
      </c>
    </row>
    <row r="723" spans="2:18" x14ac:dyDescent="0.2">
      <c r="B723" s="2" t="str">
        <f t="shared" si="69"/>
        <v/>
      </c>
      <c r="C723" s="2" t="str">
        <f t="shared" si="70"/>
        <v/>
      </c>
      <c r="D723" s="2" t="str">
        <f t="shared" si="71"/>
        <v>Y</v>
      </c>
      <c r="E723" s="2">
        <f t="shared" si="72"/>
        <v>0</v>
      </c>
      <c r="F723" s="2" t="str">
        <f t="shared" si="73"/>
        <v/>
      </c>
      <c r="H723" s="121" t="s">
        <v>720</v>
      </c>
      <c r="I723" s="92"/>
      <c r="J723" s="93"/>
      <c r="K723" s="93"/>
      <c r="L723" s="94"/>
      <c r="M723" s="100"/>
      <c r="N723" s="96"/>
      <c r="O723" s="97"/>
      <c r="P723" s="98"/>
      <c r="Q723" s="101"/>
      <c r="R723" s="78" t="str">
        <f t="shared" si="68"/>
        <v/>
      </c>
    </row>
    <row r="724" spans="2:18" x14ac:dyDescent="0.2">
      <c r="B724" s="2" t="str">
        <f t="shared" si="69"/>
        <v/>
      </c>
      <c r="C724" s="2" t="str">
        <f t="shared" si="70"/>
        <v/>
      </c>
      <c r="D724" s="2" t="str">
        <f t="shared" si="71"/>
        <v>Y</v>
      </c>
      <c r="E724" s="2">
        <f t="shared" si="72"/>
        <v>0</v>
      </c>
      <c r="F724" s="2" t="str">
        <f t="shared" si="73"/>
        <v/>
      </c>
      <c r="H724" s="121" t="s">
        <v>721</v>
      </c>
      <c r="I724" s="92"/>
      <c r="J724" s="93"/>
      <c r="K724" s="93"/>
      <c r="L724" s="94"/>
      <c r="M724" s="100"/>
      <c r="N724" s="96"/>
      <c r="O724" s="97"/>
      <c r="P724" s="98"/>
      <c r="Q724" s="101"/>
      <c r="R724" s="78" t="str">
        <f t="shared" si="68"/>
        <v/>
      </c>
    </row>
    <row r="725" spans="2:18" x14ac:dyDescent="0.2">
      <c r="B725" s="2" t="str">
        <f t="shared" si="69"/>
        <v/>
      </c>
      <c r="C725" s="2" t="str">
        <f t="shared" si="70"/>
        <v/>
      </c>
      <c r="D725" s="2" t="str">
        <f t="shared" si="71"/>
        <v>Y</v>
      </c>
      <c r="E725" s="2">
        <f t="shared" si="72"/>
        <v>0</v>
      </c>
      <c r="F725" s="2" t="str">
        <f t="shared" si="73"/>
        <v/>
      </c>
      <c r="H725" s="121" t="s">
        <v>722</v>
      </c>
      <c r="I725" s="92"/>
      <c r="J725" s="93"/>
      <c r="K725" s="93"/>
      <c r="L725" s="94"/>
      <c r="M725" s="100"/>
      <c r="N725" s="96"/>
      <c r="O725" s="97"/>
      <c r="P725" s="98"/>
      <c r="Q725" s="101"/>
      <c r="R725" s="78" t="str">
        <f t="shared" si="68"/>
        <v/>
      </c>
    </row>
    <row r="726" spans="2:18" x14ac:dyDescent="0.2">
      <c r="B726" s="2" t="str">
        <f t="shared" si="69"/>
        <v/>
      </c>
      <c r="C726" s="2" t="str">
        <f t="shared" si="70"/>
        <v/>
      </c>
      <c r="D726" s="2" t="str">
        <f t="shared" si="71"/>
        <v>Y</v>
      </c>
      <c r="E726" s="2">
        <f t="shared" si="72"/>
        <v>0</v>
      </c>
      <c r="F726" s="2" t="str">
        <f t="shared" si="73"/>
        <v/>
      </c>
      <c r="H726" s="121" t="s">
        <v>723</v>
      </c>
      <c r="I726" s="92"/>
      <c r="J726" s="93"/>
      <c r="K726" s="93"/>
      <c r="L726" s="94"/>
      <c r="M726" s="100"/>
      <c r="N726" s="96"/>
      <c r="O726" s="97"/>
      <c r="P726" s="98"/>
      <c r="Q726" s="101"/>
      <c r="R726" s="78" t="str">
        <f t="shared" si="68"/>
        <v/>
      </c>
    </row>
    <row r="727" spans="2:18" x14ac:dyDescent="0.2">
      <c r="B727" s="2" t="str">
        <f t="shared" si="69"/>
        <v/>
      </c>
      <c r="C727" s="2" t="str">
        <f t="shared" si="70"/>
        <v/>
      </c>
      <c r="D727" s="2" t="str">
        <f t="shared" si="71"/>
        <v>Y</v>
      </c>
      <c r="E727" s="2">
        <f t="shared" si="72"/>
        <v>0</v>
      </c>
      <c r="F727" s="2" t="str">
        <f t="shared" si="73"/>
        <v/>
      </c>
      <c r="H727" s="121" t="s">
        <v>724</v>
      </c>
      <c r="I727" s="92"/>
      <c r="J727" s="93"/>
      <c r="K727" s="93"/>
      <c r="L727" s="94"/>
      <c r="M727" s="100"/>
      <c r="N727" s="96"/>
      <c r="O727" s="97"/>
      <c r="P727" s="98"/>
      <c r="Q727" s="101"/>
      <c r="R727" s="78" t="str">
        <f t="shared" si="68"/>
        <v/>
      </c>
    </row>
    <row r="728" spans="2:18" x14ac:dyDescent="0.2">
      <c r="B728" s="2" t="str">
        <f t="shared" si="69"/>
        <v/>
      </c>
      <c r="C728" s="2" t="str">
        <f t="shared" si="70"/>
        <v/>
      </c>
      <c r="D728" s="2" t="str">
        <f t="shared" si="71"/>
        <v>Y</v>
      </c>
      <c r="E728" s="2">
        <f t="shared" si="72"/>
        <v>0</v>
      </c>
      <c r="F728" s="2" t="str">
        <f t="shared" si="73"/>
        <v/>
      </c>
      <c r="H728" s="121" t="s">
        <v>725</v>
      </c>
      <c r="I728" s="92"/>
      <c r="J728" s="93"/>
      <c r="K728" s="93"/>
      <c r="L728" s="94"/>
      <c r="M728" s="100"/>
      <c r="N728" s="96"/>
      <c r="O728" s="97"/>
      <c r="P728" s="98"/>
      <c r="Q728" s="101"/>
      <c r="R728" s="78" t="str">
        <f t="shared" si="68"/>
        <v/>
      </c>
    </row>
    <row r="729" spans="2:18" x14ac:dyDescent="0.2">
      <c r="B729" s="2" t="str">
        <f t="shared" si="69"/>
        <v/>
      </c>
      <c r="C729" s="2" t="str">
        <f t="shared" si="70"/>
        <v/>
      </c>
      <c r="D729" s="2" t="str">
        <f t="shared" si="71"/>
        <v>Y</v>
      </c>
      <c r="E729" s="2">
        <f t="shared" si="72"/>
        <v>0</v>
      </c>
      <c r="F729" s="2" t="str">
        <f t="shared" si="73"/>
        <v/>
      </c>
      <c r="H729" s="121" t="s">
        <v>726</v>
      </c>
      <c r="I729" s="92"/>
      <c r="J729" s="93"/>
      <c r="K729" s="93"/>
      <c r="L729" s="94"/>
      <c r="M729" s="100"/>
      <c r="N729" s="96"/>
      <c r="O729" s="97"/>
      <c r="P729" s="98"/>
      <c r="Q729" s="101"/>
      <c r="R729" s="78" t="str">
        <f t="shared" si="68"/>
        <v/>
      </c>
    </row>
    <row r="730" spans="2:18" x14ac:dyDescent="0.2">
      <c r="B730" s="2" t="str">
        <f t="shared" si="69"/>
        <v/>
      </c>
      <c r="C730" s="2" t="str">
        <f t="shared" si="70"/>
        <v/>
      </c>
      <c r="D730" s="2" t="str">
        <f t="shared" si="71"/>
        <v>Y</v>
      </c>
      <c r="E730" s="2">
        <f t="shared" si="72"/>
        <v>0</v>
      </c>
      <c r="F730" s="2" t="str">
        <f t="shared" si="73"/>
        <v/>
      </c>
      <c r="H730" s="121" t="s">
        <v>727</v>
      </c>
      <c r="I730" s="92"/>
      <c r="J730" s="93"/>
      <c r="K730" s="93"/>
      <c r="L730" s="94"/>
      <c r="M730" s="100"/>
      <c r="N730" s="96"/>
      <c r="O730" s="97"/>
      <c r="P730" s="98"/>
      <c r="Q730" s="101"/>
      <c r="R730" s="78" t="str">
        <f t="shared" si="68"/>
        <v/>
      </c>
    </row>
    <row r="731" spans="2:18" x14ac:dyDescent="0.2">
      <c r="B731" s="2" t="str">
        <f t="shared" si="69"/>
        <v/>
      </c>
      <c r="C731" s="2" t="str">
        <f t="shared" si="70"/>
        <v/>
      </c>
      <c r="D731" s="2" t="str">
        <f t="shared" si="71"/>
        <v>Y</v>
      </c>
      <c r="E731" s="2">
        <f t="shared" si="72"/>
        <v>0</v>
      </c>
      <c r="F731" s="2" t="str">
        <f t="shared" si="73"/>
        <v/>
      </c>
      <c r="H731" s="121" t="s">
        <v>728</v>
      </c>
      <c r="I731" s="92"/>
      <c r="J731" s="93"/>
      <c r="K731" s="93"/>
      <c r="L731" s="94"/>
      <c r="M731" s="100"/>
      <c r="N731" s="96"/>
      <c r="O731" s="97"/>
      <c r="P731" s="98"/>
      <c r="Q731" s="101"/>
      <c r="R731" s="78" t="str">
        <f t="shared" si="68"/>
        <v/>
      </c>
    </row>
    <row r="732" spans="2:18" x14ac:dyDescent="0.2">
      <c r="B732" s="2" t="str">
        <f t="shared" si="69"/>
        <v/>
      </c>
      <c r="C732" s="2" t="str">
        <f t="shared" si="70"/>
        <v/>
      </c>
      <c r="D732" s="2" t="str">
        <f t="shared" si="71"/>
        <v>Y</v>
      </c>
      <c r="E732" s="2">
        <f t="shared" si="72"/>
        <v>0</v>
      </c>
      <c r="F732" s="2" t="str">
        <f t="shared" si="73"/>
        <v/>
      </c>
      <c r="H732" s="121" t="s">
        <v>729</v>
      </c>
      <c r="I732" s="92"/>
      <c r="J732" s="93"/>
      <c r="K732" s="93"/>
      <c r="L732" s="94"/>
      <c r="M732" s="100"/>
      <c r="N732" s="96"/>
      <c r="O732" s="97"/>
      <c r="P732" s="98"/>
      <c r="Q732" s="101"/>
      <c r="R732" s="78" t="str">
        <f t="shared" si="68"/>
        <v/>
      </c>
    </row>
    <row r="733" spans="2:18" x14ac:dyDescent="0.2">
      <c r="B733" s="2" t="str">
        <f t="shared" si="69"/>
        <v/>
      </c>
      <c r="C733" s="2" t="str">
        <f t="shared" si="70"/>
        <v/>
      </c>
      <c r="D733" s="2" t="str">
        <f t="shared" si="71"/>
        <v>Y</v>
      </c>
      <c r="E733" s="2">
        <f t="shared" si="72"/>
        <v>0</v>
      </c>
      <c r="F733" s="2" t="str">
        <f t="shared" si="73"/>
        <v/>
      </c>
      <c r="H733" s="121" t="s">
        <v>730</v>
      </c>
      <c r="I733" s="92"/>
      <c r="J733" s="93"/>
      <c r="K733" s="93"/>
      <c r="L733" s="94"/>
      <c r="M733" s="100"/>
      <c r="N733" s="96"/>
      <c r="O733" s="97"/>
      <c r="P733" s="98"/>
      <c r="Q733" s="101"/>
      <c r="R733" s="78" t="str">
        <f t="shared" si="68"/>
        <v/>
      </c>
    </row>
    <row r="734" spans="2:18" x14ac:dyDescent="0.2">
      <c r="B734" s="2" t="str">
        <f t="shared" si="69"/>
        <v/>
      </c>
      <c r="C734" s="2" t="str">
        <f t="shared" si="70"/>
        <v/>
      </c>
      <c r="D734" s="2" t="str">
        <f t="shared" si="71"/>
        <v>Y</v>
      </c>
      <c r="E734" s="2">
        <f t="shared" si="72"/>
        <v>0</v>
      </c>
      <c r="F734" s="2" t="str">
        <f t="shared" si="73"/>
        <v/>
      </c>
      <c r="H734" s="121" t="s">
        <v>731</v>
      </c>
      <c r="I734" s="92"/>
      <c r="J734" s="93"/>
      <c r="K734" s="93"/>
      <c r="L734" s="94"/>
      <c r="M734" s="100"/>
      <c r="N734" s="96"/>
      <c r="O734" s="97"/>
      <c r="P734" s="98"/>
      <c r="Q734" s="101"/>
      <c r="R734" s="78" t="str">
        <f t="shared" si="68"/>
        <v/>
      </c>
    </row>
    <row r="735" spans="2:18" x14ac:dyDescent="0.2">
      <c r="B735" s="2" t="str">
        <f t="shared" si="69"/>
        <v/>
      </c>
      <c r="C735" s="2" t="str">
        <f t="shared" si="70"/>
        <v/>
      </c>
      <c r="D735" s="2" t="str">
        <f t="shared" si="71"/>
        <v>Y</v>
      </c>
      <c r="E735" s="2">
        <f t="shared" si="72"/>
        <v>0</v>
      </c>
      <c r="F735" s="2" t="str">
        <f t="shared" si="73"/>
        <v/>
      </c>
      <c r="H735" s="121" t="s">
        <v>732</v>
      </c>
      <c r="I735" s="92"/>
      <c r="J735" s="93"/>
      <c r="K735" s="93"/>
      <c r="L735" s="94"/>
      <c r="M735" s="100"/>
      <c r="N735" s="96"/>
      <c r="O735" s="97"/>
      <c r="P735" s="98"/>
      <c r="Q735" s="101"/>
      <c r="R735" s="78" t="str">
        <f t="shared" si="68"/>
        <v/>
      </c>
    </row>
    <row r="736" spans="2:18" x14ac:dyDescent="0.2">
      <c r="B736" s="2" t="str">
        <f t="shared" si="69"/>
        <v/>
      </c>
      <c r="C736" s="2" t="str">
        <f t="shared" si="70"/>
        <v/>
      </c>
      <c r="D736" s="2" t="str">
        <f t="shared" si="71"/>
        <v>Y</v>
      </c>
      <c r="E736" s="2">
        <f t="shared" si="72"/>
        <v>0</v>
      </c>
      <c r="F736" s="2" t="str">
        <f t="shared" si="73"/>
        <v/>
      </c>
      <c r="H736" s="121" t="s">
        <v>733</v>
      </c>
      <c r="I736" s="92"/>
      <c r="J736" s="93"/>
      <c r="K736" s="93"/>
      <c r="L736" s="94"/>
      <c r="M736" s="100"/>
      <c r="N736" s="96"/>
      <c r="O736" s="97"/>
      <c r="P736" s="98"/>
      <c r="Q736" s="101"/>
      <c r="R736" s="78" t="str">
        <f t="shared" si="68"/>
        <v/>
      </c>
    </row>
    <row r="737" spans="2:18" x14ac:dyDescent="0.2">
      <c r="B737" s="2" t="str">
        <f t="shared" si="69"/>
        <v/>
      </c>
      <c r="C737" s="2" t="str">
        <f t="shared" si="70"/>
        <v/>
      </c>
      <c r="D737" s="2" t="str">
        <f t="shared" si="71"/>
        <v>Y</v>
      </c>
      <c r="E737" s="2">
        <f t="shared" si="72"/>
        <v>0</v>
      </c>
      <c r="F737" s="2" t="str">
        <f t="shared" si="73"/>
        <v/>
      </c>
      <c r="H737" s="121" t="s">
        <v>734</v>
      </c>
      <c r="I737" s="92"/>
      <c r="J737" s="93"/>
      <c r="K737" s="93"/>
      <c r="L737" s="94"/>
      <c r="M737" s="100"/>
      <c r="N737" s="96"/>
      <c r="O737" s="97"/>
      <c r="P737" s="98"/>
      <c r="Q737" s="101"/>
      <c r="R737" s="78" t="str">
        <f t="shared" si="68"/>
        <v/>
      </c>
    </row>
    <row r="738" spans="2:18" x14ac:dyDescent="0.2">
      <c r="B738" s="2" t="str">
        <f t="shared" si="69"/>
        <v/>
      </c>
      <c r="C738" s="2" t="str">
        <f t="shared" si="70"/>
        <v/>
      </c>
      <c r="D738" s="2" t="str">
        <f t="shared" si="71"/>
        <v>Y</v>
      </c>
      <c r="E738" s="2">
        <f t="shared" si="72"/>
        <v>0</v>
      </c>
      <c r="F738" s="2" t="str">
        <f t="shared" si="73"/>
        <v/>
      </c>
      <c r="H738" s="121" t="s">
        <v>735</v>
      </c>
      <c r="I738" s="92"/>
      <c r="J738" s="93"/>
      <c r="K738" s="93"/>
      <c r="L738" s="94"/>
      <c r="M738" s="100"/>
      <c r="N738" s="96"/>
      <c r="O738" s="97"/>
      <c r="P738" s="98"/>
      <c r="Q738" s="101"/>
      <c r="R738" s="78" t="str">
        <f t="shared" si="68"/>
        <v/>
      </c>
    </row>
    <row r="739" spans="2:18" x14ac:dyDescent="0.2">
      <c r="B739" s="2" t="str">
        <f t="shared" si="69"/>
        <v/>
      </c>
      <c r="C739" s="2" t="str">
        <f t="shared" si="70"/>
        <v/>
      </c>
      <c r="D739" s="2" t="str">
        <f t="shared" si="71"/>
        <v>Y</v>
      </c>
      <c r="E739" s="2">
        <f t="shared" si="72"/>
        <v>0</v>
      </c>
      <c r="F739" s="2" t="str">
        <f t="shared" si="73"/>
        <v/>
      </c>
      <c r="H739" s="121" t="s">
        <v>736</v>
      </c>
      <c r="I739" s="92"/>
      <c r="J739" s="93"/>
      <c r="K739" s="93"/>
      <c r="L739" s="94"/>
      <c r="M739" s="100"/>
      <c r="N739" s="96"/>
      <c r="O739" s="97"/>
      <c r="P739" s="98"/>
      <c r="Q739" s="101"/>
      <c r="R739" s="78" t="str">
        <f t="shared" si="68"/>
        <v/>
      </c>
    </row>
    <row r="740" spans="2:18" x14ac:dyDescent="0.2">
      <c r="B740" s="2" t="str">
        <f t="shared" si="69"/>
        <v/>
      </c>
      <c r="C740" s="2" t="str">
        <f t="shared" si="70"/>
        <v/>
      </c>
      <c r="D740" s="2" t="str">
        <f t="shared" si="71"/>
        <v>Y</v>
      </c>
      <c r="E740" s="2">
        <f t="shared" si="72"/>
        <v>0</v>
      </c>
      <c r="F740" s="2" t="str">
        <f t="shared" si="73"/>
        <v/>
      </c>
      <c r="H740" s="121" t="s">
        <v>737</v>
      </c>
      <c r="I740" s="92"/>
      <c r="J740" s="93"/>
      <c r="K740" s="93"/>
      <c r="L740" s="94"/>
      <c r="M740" s="100"/>
      <c r="N740" s="96"/>
      <c r="O740" s="97"/>
      <c r="P740" s="98"/>
      <c r="Q740" s="101"/>
      <c r="R740" s="78" t="str">
        <f t="shared" si="68"/>
        <v/>
      </c>
    </row>
    <row r="741" spans="2:18" x14ac:dyDescent="0.2">
      <c r="B741" s="2" t="str">
        <f t="shared" si="69"/>
        <v/>
      </c>
      <c r="C741" s="2" t="str">
        <f t="shared" si="70"/>
        <v/>
      </c>
      <c r="D741" s="2" t="str">
        <f t="shared" si="71"/>
        <v>Y</v>
      </c>
      <c r="E741" s="2">
        <f t="shared" si="72"/>
        <v>0</v>
      </c>
      <c r="F741" s="2" t="str">
        <f t="shared" si="73"/>
        <v/>
      </c>
      <c r="H741" s="121" t="s">
        <v>738</v>
      </c>
      <c r="I741" s="92"/>
      <c r="J741" s="93"/>
      <c r="K741" s="93"/>
      <c r="L741" s="94"/>
      <c r="M741" s="100"/>
      <c r="N741" s="96"/>
      <c r="O741" s="97"/>
      <c r="P741" s="98"/>
      <c r="Q741" s="101"/>
      <c r="R741" s="78" t="str">
        <f t="shared" si="68"/>
        <v/>
      </c>
    </row>
    <row r="742" spans="2:18" x14ac:dyDescent="0.2">
      <c r="B742" s="2" t="str">
        <f t="shared" si="69"/>
        <v/>
      </c>
      <c r="C742" s="2" t="str">
        <f t="shared" si="70"/>
        <v/>
      </c>
      <c r="D742" s="2" t="str">
        <f t="shared" si="71"/>
        <v>Y</v>
      </c>
      <c r="E742" s="2">
        <f t="shared" si="72"/>
        <v>0</v>
      </c>
      <c r="F742" s="2" t="str">
        <f t="shared" si="73"/>
        <v/>
      </c>
      <c r="H742" s="121" t="s">
        <v>739</v>
      </c>
      <c r="I742" s="92"/>
      <c r="J742" s="93"/>
      <c r="K742" s="93"/>
      <c r="L742" s="94"/>
      <c r="M742" s="100"/>
      <c r="N742" s="96"/>
      <c r="O742" s="97"/>
      <c r="P742" s="98"/>
      <c r="Q742" s="101"/>
      <c r="R742" s="78" t="str">
        <f t="shared" si="68"/>
        <v/>
      </c>
    </row>
    <row r="743" spans="2:18" x14ac:dyDescent="0.2">
      <c r="B743" s="2" t="str">
        <f t="shared" si="69"/>
        <v/>
      </c>
      <c r="C743" s="2" t="str">
        <f t="shared" si="70"/>
        <v/>
      </c>
      <c r="D743" s="2" t="str">
        <f t="shared" si="71"/>
        <v>Y</v>
      </c>
      <c r="E743" s="2">
        <f t="shared" si="72"/>
        <v>0</v>
      </c>
      <c r="F743" s="2" t="str">
        <f t="shared" si="73"/>
        <v/>
      </c>
      <c r="H743" s="121" t="s">
        <v>740</v>
      </c>
      <c r="I743" s="92"/>
      <c r="J743" s="93"/>
      <c r="K743" s="93"/>
      <c r="L743" s="94"/>
      <c r="M743" s="100"/>
      <c r="N743" s="96"/>
      <c r="O743" s="97"/>
      <c r="P743" s="98"/>
      <c r="Q743" s="101"/>
      <c r="R743" s="78" t="str">
        <f t="shared" si="68"/>
        <v/>
      </c>
    </row>
    <row r="744" spans="2:18" x14ac:dyDescent="0.2">
      <c r="B744" s="2" t="str">
        <f t="shared" si="69"/>
        <v/>
      </c>
      <c r="C744" s="2" t="str">
        <f t="shared" si="70"/>
        <v/>
      </c>
      <c r="D744" s="2" t="str">
        <f t="shared" si="71"/>
        <v>Y</v>
      </c>
      <c r="E744" s="2">
        <f t="shared" si="72"/>
        <v>0</v>
      </c>
      <c r="F744" s="2" t="str">
        <f t="shared" si="73"/>
        <v/>
      </c>
      <c r="H744" s="121" t="s">
        <v>741</v>
      </c>
      <c r="I744" s="92"/>
      <c r="J744" s="93"/>
      <c r="K744" s="93"/>
      <c r="L744" s="94"/>
      <c r="M744" s="100"/>
      <c r="N744" s="96"/>
      <c r="O744" s="97"/>
      <c r="P744" s="98"/>
      <c r="Q744" s="101"/>
      <c r="R744" s="78" t="str">
        <f t="shared" si="68"/>
        <v/>
      </c>
    </row>
    <row r="745" spans="2:18" x14ac:dyDescent="0.2">
      <c r="B745" s="2" t="str">
        <f t="shared" si="69"/>
        <v/>
      </c>
      <c r="C745" s="2" t="str">
        <f t="shared" si="70"/>
        <v/>
      </c>
      <c r="D745" s="2" t="str">
        <f t="shared" si="71"/>
        <v>Y</v>
      </c>
      <c r="E745" s="2">
        <f t="shared" si="72"/>
        <v>0</v>
      </c>
      <c r="F745" s="2" t="str">
        <f t="shared" si="73"/>
        <v/>
      </c>
      <c r="H745" s="121" t="s">
        <v>742</v>
      </c>
      <c r="I745" s="92"/>
      <c r="J745" s="93"/>
      <c r="K745" s="93"/>
      <c r="L745" s="94"/>
      <c r="M745" s="100"/>
      <c r="N745" s="96"/>
      <c r="O745" s="97"/>
      <c r="P745" s="98"/>
      <c r="Q745" s="101"/>
      <c r="R745" s="78" t="str">
        <f t="shared" si="68"/>
        <v/>
      </c>
    </row>
    <row r="746" spans="2:18" x14ac:dyDescent="0.2">
      <c r="B746" s="2" t="str">
        <f t="shared" si="69"/>
        <v/>
      </c>
      <c r="C746" s="2" t="str">
        <f t="shared" si="70"/>
        <v/>
      </c>
      <c r="D746" s="2" t="str">
        <f t="shared" si="71"/>
        <v>Y</v>
      </c>
      <c r="E746" s="2">
        <f t="shared" si="72"/>
        <v>0</v>
      </c>
      <c r="F746" s="2" t="str">
        <f t="shared" si="73"/>
        <v/>
      </c>
      <c r="H746" s="121" t="s">
        <v>743</v>
      </c>
      <c r="I746" s="92"/>
      <c r="J746" s="93"/>
      <c r="K746" s="93"/>
      <c r="L746" s="94"/>
      <c r="M746" s="100"/>
      <c r="N746" s="96"/>
      <c r="O746" s="97"/>
      <c r="P746" s="98"/>
      <c r="Q746" s="101"/>
      <c r="R746" s="78" t="str">
        <f t="shared" si="68"/>
        <v/>
      </c>
    </row>
    <row r="747" spans="2:18" x14ac:dyDescent="0.2">
      <c r="B747" s="2" t="str">
        <f t="shared" si="69"/>
        <v/>
      </c>
      <c r="C747" s="2" t="str">
        <f t="shared" si="70"/>
        <v/>
      </c>
      <c r="D747" s="2" t="str">
        <f t="shared" si="71"/>
        <v>Y</v>
      </c>
      <c r="E747" s="2">
        <f t="shared" si="72"/>
        <v>0</v>
      </c>
      <c r="F747" s="2" t="str">
        <f t="shared" si="73"/>
        <v/>
      </c>
      <c r="H747" s="121" t="s">
        <v>744</v>
      </c>
      <c r="I747" s="92"/>
      <c r="J747" s="93"/>
      <c r="K747" s="93"/>
      <c r="L747" s="94"/>
      <c r="M747" s="100"/>
      <c r="N747" s="96"/>
      <c r="O747" s="97"/>
      <c r="P747" s="98"/>
      <c r="Q747" s="101"/>
      <c r="R747" s="78" t="str">
        <f t="shared" si="68"/>
        <v/>
      </c>
    </row>
    <row r="748" spans="2:18" x14ac:dyDescent="0.2">
      <c r="B748" s="2" t="str">
        <f t="shared" si="69"/>
        <v/>
      </c>
      <c r="C748" s="2" t="str">
        <f t="shared" si="70"/>
        <v/>
      </c>
      <c r="D748" s="2" t="str">
        <f t="shared" si="71"/>
        <v>Y</v>
      </c>
      <c r="E748" s="2">
        <f t="shared" si="72"/>
        <v>0</v>
      </c>
      <c r="F748" s="2" t="str">
        <f t="shared" si="73"/>
        <v/>
      </c>
      <c r="H748" s="121" t="s">
        <v>745</v>
      </c>
      <c r="I748" s="92"/>
      <c r="J748" s="93"/>
      <c r="K748" s="93"/>
      <c r="L748" s="94"/>
      <c r="M748" s="100"/>
      <c r="N748" s="96"/>
      <c r="O748" s="97"/>
      <c r="P748" s="98"/>
      <c r="Q748" s="101"/>
      <c r="R748" s="78" t="str">
        <f t="shared" si="68"/>
        <v/>
      </c>
    </row>
    <row r="749" spans="2:18" x14ac:dyDescent="0.2">
      <c r="B749" s="2" t="str">
        <f t="shared" si="69"/>
        <v/>
      </c>
      <c r="C749" s="2" t="str">
        <f t="shared" si="70"/>
        <v/>
      </c>
      <c r="D749" s="2" t="str">
        <f t="shared" si="71"/>
        <v>Y</v>
      </c>
      <c r="E749" s="2">
        <f t="shared" si="72"/>
        <v>0</v>
      </c>
      <c r="F749" s="2" t="str">
        <f t="shared" si="73"/>
        <v/>
      </c>
      <c r="H749" s="121" t="s">
        <v>746</v>
      </c>
      <c r="I749" s="92"/>
      <c r="J749" s="93"/>
      <c r="K749" s="93"/>
      <c r="L749" s="94"/>
      <c r="M749" s="100"/>
      <c r="N749" s="96"/>
      <c r="O749" s="97"/>
      <c r="P749" s="98"/>
      <c r="Q749" s="101"/>
      <c r="R749" s="78" t="str">
        <f t="shared" si="68"/>
        <v/>
      </c>
    </row>
    <row r="750" spans="2:18" x14ac:dyDescent="0.2">
      <c r="B750" s="2" t="str">
        <f t="shared" si="69"/>
        <v/>
      </c>
      <c r="C750" s="2" t="str">
        <f t="shared" si="70"/>
        <v/>
      </c>
      <c r="D750" s="2" t="str">
        <f t="shared" si="71"/>
        <v>Y</v>
      </c>
      <c r="E750" s="2">
        <f t="shared" si="72"/>
        <v>0</v>
      </c>
      <c r="F750" s="2" t="str">
        <f t="shared" si="73"/>
        <v/>
      </c>
      <c r="H750" s="121" t="s">
        <v>747</v>
      </c>
      <c r="I750" s="92"/>
      <c r="J750" s="93"/>
      <c r="K750" s="93"/>
      <c r="L750" s="94"/>
      <c r="M750" s="100"/>
      <c r="N750" s="96"/>
      <c r="O750" s="97"/>
      <c r="P750" s="98"/>
      <c r="Q750" s="101"/>
      <c r="R750" s="78" t="str">
        <f t="shared" si="68"/>
        <v/>
      </c>
    </row>
    <row r="751" spans="2:18" x14ac:dyDescent="0.2">
      <c r="B751" s="2" t="str">
        <f t="shared" si="69"/>
        <v/>
      </c>
      <c r="C751" s="2" t="str">
        <f t="shared" si="70"/>
        <v/>
      </c>
      <c r="D751" s="2" t="str">
        <f t="shared" si="71"/>
        <v>Y</v>
      </c>
      <c r="E751" s="2">
        <f t="shared" si="72"/>
        <v>0</v>
      </c>
      <c r="F751" s="2" t="str">
        <f t="shared" si="73"/>
        <v/>
      </c>
      <c r="H751" s="121" t="s">
        <v>748</v>
      </c>
      <c r="I751" s="92"/>
      <c r="J751" s="93"/>
      <c r="K751" s="93"/>
      <c r="L751" s="94"/>
      <c r="M751" s="100"/>
      <c r="N751" s="96"/>
      <c r="O751" s="97"/>
      <c r="P751" s="98"/>
      <c r="Q751" s="101"/>
      <c r="R751" s="78" t="str">
        <f t="shared" si="68"/>
        <v/>
      </c>
    </row>
    <row r="752" spans="2:18" x14ac:dyDescent="0.2">
      <c r="B752" s="2" t="str">
        <f t="shared" si="69"/>
        <v/>
      </c>
      <c r="C752" s="2" t="str">
        <f t="shared" si="70"/>
        <v/>
      </c>
      <c r="D752" s="2" t="str">
        <f t="shared" si="71"/>
        <v>Y</v>
      </c>
      <c r="E752" s="2">
        <f t="shared" si="72"/>
        <v>0</v>
      </c>
      <c r="F752" s="2" t="str">
        <f t="shared" si="73"/>
        <v/>
      </c>
      <c r="H752" s="121" t="s">
        <v>749</v>
      </c>
      <c r="I752" s="92"/>
      <c r="J752" s="93"/>
      <c r="K752" s="93"/>
      <c r="L752" s="94"/>
      <c r="M752" s="100"/>
      <c r="N752" s="96"/>
      <c r="O752" s="97"/>
      <c r="P752" s="98"/>
      <c r="Q752" s="101"/>
      <c r="R752" s="78" t="str">
        <f t="shared" si="68"/>
        <v/>
      </c>
    </row>
    <row r="753" spans="2:18" x14ac:dyDescent="0.2">
      <c r="B753" s="2" t="str">
        <f t="shared" si="69"/>
        <v/>
      </c>
      <c r="C753" s="2" t="str">
        <f t="shared" si="70"/>
        <v/>
      </c>
      <c r="D753" s="2" t="str">
        <f t="shared" si="71"/>
        <v>Y</v>
      </c>
      <c r="E753" s="2">
        <f t="shared" si="72"/>
        <v>0</v>
      </c>
      <c r="F753" s="2" t="str">
        <f t="shared" si="73"/>
        <v/>
      </c>
      <c r="H753" s="121" t="s">
        <v>750</v>
      </c>
      <c r="I753" s="92"/>
      <c r="J753" s="93"/>
      <c r="K753" s="93"/>
      <c r="L753" s="94"/>
      <c r="M753" s="100"/>
      <c r="N753" s="96"/>
      <c r="O753" s="97"/>
      <c r="P753" s="98"/>
      <c r="Q753" s="101"/>
      <c r="R753" s="78" t="str">
        <f t="shared" si="68"/>
        <v/>
      </c>
    </row>
    <row r="754" spans="2:18" x14ac:dyDescent="0.2">
      <c r="B754" s="2" t="str">
        <f t="shared" si="69"/>
        <v/>
      </c>
      <c r="C754" s="2" t="str">
        <f t="shared" si="70"/>
        <v/>
      </c>
      <c r="D754" s="2" t="str">
        <f t="shared" si="71"/>
        <v>Y</v>
      </c>
      <c r="E754" s="2">
        <f t="shared" si="72"/>
        <v>0</v>
      </c>
      <c r="F754" s="2" t="str">
        <f t="shared" si="73"/>
        <v/>
      </c>
      <c r="H754" s="121" t="s">
        <v>751</v>
      </c>
      <c r="I754" s="92"/>
      <c r="J754" s="93"/>
      <c r="K754" s="93"/>
      <c r="L754" s="94"/>
      <c r="M754" s="100"/>
      <c r="N754" s="96"/>
      <c r="O754" s="97"/>
      <c r="P754" s="98"/>
      <c r="Q754" s="101"/>
      <c r="R754" s="78" t="str">
        <f t="shared" si="68"/>
        <v/>
      </c>
    </row>
    <row r="755" spans="2:18" x14ac:dyDescent="0.2">
      <c r="B755" s="2" t="str">
        <f t="shared" si="69"/>
        <v/>
      </c>
      <c r="C755" s="2" t="str">
        <f t="shared" si="70"/>
        <v/>
      </c>
      <c r="D755" s="2" t="str">
        <f t="shared" si="71"/>
        <v>Y</v>
      </c>
      <c r="E755" s="2">
        <f t="shared" si="72"/>
        <v>0</v>
      </c>
      <c r="F755" s="2" t="str">
        <f t="shared" si="73"/>
        <v/>
      </c>
      <c r="H755" s="121" t="s">
        <v>752</v>
      </c>
      <c r="I755" s="92"/>
      <c r="J755" s="93"/>
      <c r="K755" s="93"/>
      <c r="L755" s="94"/>
      <c r="M755" s="100"/>
      <c r="N755" s="96"/>
      <c r="O755" s="97"/>
      <c r="P755" s="98"/>
      <c r="Q755" s="101"/>
      <c r="R755" s="78" t="str">
        <f t="shared" si="68"/>
        <v/>
      </c>
    </row>
    <row r="756" spans="2:18" x14ac:dyDescent="0.2">
      <c r="B756" s="2" t="str">
        <f t="shared" si="69"/>
        <v/>
      </c>
      <c r="C756" s="2" t="str">
        <f t="shared" si="70"/>
        <v/>
      </c>
      <c r="D756" s="2" t="str">
        <f t="shared" si="71"/>
        <v>Y</v>
      </c>
      <c r="E756" s="2">
        <f t="shared" si="72"/>
        <v>0</v>
      </c>
      <c r="F756" s="2" t="str">
        <f t="shared" si="73"/>
        <v/>
      </c>
      <c r="H756" s="121" t="s">
        <v>753</v>
      </c>
      <c r="I756" s="92"/>
      <c r="J756" s="93"/>
      <c r="K756" s="93"/>
      <c r="L756" s="94"/>
      <c r="M756" s="100"/>
      <c r="N756" s="96"/>
      <c r="O756" s="97"/>
      <c r="P756" s="98"/>
      <c r="Q756" s="101"/>
      <c r="R756" s="78" t="str">
        <f t="shared" si="68"/>
        <v/>
      </c>
    </row>
    <row r="757" spans="2:18" x14ac:dyDescent="0.2">
      <c r="B757" s="2" t="str">
        <f t="shared" si="69"/>
        <v/>
      </c>
      <c r="C757" s="2" t="str">
        <f t="shared" si="70"/>
        <v/>
      </c>
      <c r="D757" s="2" t="str">
        <f t="shared" si="71"/>
        <v>Y</v>
      </c>
      <c r="E757" s="2">
        <f t="shared" si="72"/>
        <v>0</v>
      </c>
      <c r="F757" s="2" t="str">
        <f t="shared" si="73"/>
        <v/>
      </c>
      <c r="H757" s="121" t="s">
        <v>754</v>
      </c>
      <c r="I757" s="92"/>
      <c r="J757" s="93"/>
      <c r="K757" s="93"/>
      <c r="L757" s="94"/>
      <c r="M757" s="100"/>
      <c r="N757" s="96"/>
      <c r="O757" s="97"/>
      <c r="P757" s="98"/>
      <c r="Q757" s="101"/>
      <c r="R757" s="78" t="str">
        <f t="shared" si="68"/>
        <v/>
      </c>
    </row>
    <row r="758" spans="2:18" x14ac:dyDescent="0.2">
      <c r="B758" s="2" t="str">
        <f t="shared" si="69"/>
        <v/>
      </c>
      <c r="C758" s="2" t="str">
        <f t="shared" si="70"/>
        <v/>
      </c>
      <c r="D758" s="2" t="str">
        <f t="shared" si="71"/>
        <v>Y</v>
      </c>
      <c r="E758" s="2">
        <f t="shared" si="72"/>
        <v>0</v>
      </c>
      <c r="F758" s="2" t="str">
        <f t="shared" si="73"/>
        <v/>
      </c>
      <c r="H758" s="121" t="s">
        <v>755</v>
      </c>
      <c r="I758" s="92"/>
      <c r="J758" s="93"/>
      <c r="K758" s="93"/>
      <c r="L758" s="94"/>
      <c r="M758" s="100"/>
      <c r="N758" s="96"/>
      <c r="O758" s="97"/>
      <c r="P758" s="98"/>
      <c r="Q758" s="101"/>
      <c r="R758" s="78" t="str">
        <f t="shared" si="68"/>
        <v/>
      </c>
    </row>
    <row r="759" spans="2:18" x14ac:dyDescent="0.2">
      <c r="B759" s="2" t="str">
        <f t="shared" si="69"/>
        <v/>
      </c>
      <c r="C759" s="2" t="str">
        <f t="shared" si="70"/>
        <v/>
      </c>
      <c r="D759" s="2" t="str">
        <f t="shared" si="71"/>
        <v>Y</v>
      </c>
      <c r="E759" s="2">
        <f t="shared" si="72"/>
        <v>0</v>
      </c>
      <c r="F759" s="2" t="str">
        <f t="shared" si="73"/>
        <v/>
      </c>
      <c r="H759" s="121" t="s">
        <v>756</v>
      </c>
      <c r="I759" s="92"/>
      <c r="J759" s="93"/>
      <c r="K759" s="93"/>
      <c r="L759" s="94"/>
      <c r="M759" s="100"/>
      <c r="N759" s="96"/>
      <c r="O759" s="97"/>
      <c r="P759" s="98"/>
      <c r="Q759" s="101"/>
      <c r="R759" s="78" t="str">
        <f t="shared" si="68"/>
        <v/>
      </c>
    </row>
    <row r="760" spans="2:18" x14ac:dyDescent="0.2">
      <c r="B760" s="2" t="str">
        <f t="shared" si="69"/>
        <v/>
      </c>
      <c r="C760" s="2" t="str">
        <f t="shared" si="70"/>
        <v/>
      </c>
      <c r="D760" s="2" t="str">
        <f t="shared" si="71"/>
        <v>Y</v>
      </c>
      <c r="E760" s="2">
        <f t="shared" si="72"/>
        <v>0</v>
      </c>
      <c r="F760" s="2" t="str">
        <f t="shared" si="73"/>
        <v/>
      </c>
      <c r="H760" s="121" t="s">
        <v>757</v>
      </c>
      <c r="I760" s="92"/>
      <c r="J760" s="93"/>
      <c r="K760" s="93"/>
      <c r="L760" s="94"/>
      <c r="M760" s="100"/>
      <c r="N760" s="96"/>
      <c r="O760" s="97"/>
      <c r="P760" s="98"/>
      <c r="Q760" s="101"/>
      <c r="R760" s="78" t="str">
        <f t="shared" si="68"/>
        <v/>
      </c>
    </row>
    <row r="761" spans="2:18" x14ac:dyDescent="0.2">
      <c r="B761" s="2" t="str">
        <f t="shared" si="69"/>
        <v/>
      </c>
      <c r="C761" s="2" t="str">
        <f t="shared" si="70"/>
        <v/>
      </c>
      <c r="D761" s="2" t="str">
        <f t="shared" si="71"/>
        <v>Y</v>
      </c>
      <c r="E761" s="2">
        <f t="shared" si="72"/>
        <v>0</v>
      </c>
      <c r="F761" s="2" t="str">
        <f t="shared" si="73"/>
        <v/>
      </c>
      <c r="H761" s="121" t="s">
        <v>758</v>
      </c>
      <c r="I761" s="92"/>
      <c r="J761" s="93"/>
      <c r="K761" s="93"/>
      <c r="L761" s="94"/>
      <c r="M761" s="100"/>
      <c r="N761" s="96"/>
      <c r="O761" s="97"/>
      <c r="P761" s="98"/>
      <c r="Q761" s="101"/>
      <c r="R761" s="78" t="str">
        <f t="shared" si="68"/>
        <v/>
      </c>
    </row>
    <row r="762" spans="2:18" x14ac:dyDescent="0.2">
      <c r="B762" s="2" t="str">
        <f t="shared" si="69"/>
        <v/>
      </c>
      <c r="C762" s="2" t="str">
        <f t="shared" si="70"/>
        <v/>
      </c>
      <c r="D762" s="2" t="str">
        <f t="shared" si="71"/>
        <v>Y</v>
      </c>
      <c r="E762" s="2">
        <f t="shared" si="72"/>
        <v>0</v>
      </c>
      <c r="F762" s="2" t="str">
        <f t="shared" si="73"/>
        <v/>
      </c>
      <c r="H762" s="121" t="s">
        <v>759</v>
      </c>
      <c r="I762" s="92"/>
      <c r="J762" s="93"/>
      <c r="K762" s="93"/>
      <c r="L762" s="94"/>
      <c r="M762" s="100"/>
      <c r="N762" s="96"/>
      <c r="O762" s="97"/>
      <c r="P762" s="98"/>
      <c r="Q762" s="101"/>
      <c r="R762" s="78" t="str">
        <f t="shared" si="68"/>
        <v/>
      </c>
    </row>
    <row r="763" spans="2:18" x14ac:dyDescent="0.2">
      <c r="B763" s="2" t="str">
        <f t="shared" si="69"/>
        <v/>
      </c>
      <c r="C763" s="2" t="str">
        <f t="shared" si="70"/>
        <v/>
      </c>
      <c r="D763" s="2" t="str">
        <f t="shared" si="71"/>
        <v>Y</v>
      </c>
      <c r="E763" s="2">
        <f t="shared" si="72"/>
        <v>0</v>
      </c>
      <c r="F763" s="2" t="str">
        <f t="shared" si="73"/>
        <v/>
      </c>
      <c r="H763" s="121" t="s">
        <v>760</v>
      </c>
      <c r="I763" s="92"/>
      <c r="J763" s="93"/>
      <c r="K763" s="93"/>
      <c r="L763" s="94"/>
      <c r="M763" s="100"/>
      <c r="N763" s="96"/>
      <c r="O763" s="97"/>
      <c r="P763" s="98"/>
      <c r="Q763" s="101"/>
      <c r="R763" s="78" t="str">
        <f t="shared" si="68"/>
        <v/>
      </c>
    </row>
    <row r="764" spans="2:18" x14ac:dyDescent="0.2">
      <c r="B764" s="2" t="str">
        <f t="shared" si="69"/>
        <v/>
      </c>
      <c r="C764" s="2" t="str">
        <f t="shared" si="70"/>
        <v/>
      </c>
      <c r="D764" s="2" t="str">
        <f t="shared" si="71"/>
        <v>Y</v>
      </c>
      <c r="E764" s="2">
        <f t="shared" si="72"/>
        <v>0</v>
      </c>
      <c r="F764" s="2" t="str">
        <f t="shared" si="73"/>
        <v/>
      </c>
      <c r="H764" s="121" t="s">
        <v>761</v>
      </c>
      <c r="I764" s="92"/>
      <c r="J764" s="93"/>
      <c r="K764" s="93"/>
      <c r="L764" s="94"/>
      <c r="M764" s="100"/>
      <c r="N764" s="96"/>
      <c r="O764" s="97"/>
      <c r="P764" s="98"/>
      <c r="Q764" s="101"/>
      <c r="R764" s="78" t="str">
        <f t="shared" si="68"/>
        <v/>
      </c>
    </row>
    <row r="765" spans="2:18" x14ac:dyDescent="0.2">
      <c r="B765" s="2" t="str">
        <f t="shared" si="69"/>
        <v/>
      </c>
      <c r="C765" s="2" t="str">
        <f t="shared" si="70"/>
        <v/>
      </c>
      <c r="D765" s="2" t="str">
        <f t="shared" si="71"/>
        <v>Y</v>
      </c>
      <c r="E765" s="2">
        <f t="shared" si="72"/>
        <v>0</v>
      </c>
      <c r="F765" s="2" t="str">
        <f t="shared" si="73"/>
        <v/>
      </c>
      <c r="H765" s="121" t="s">
        <v>762</v>
      </c>
      <c r="I765" s="92"/>
      <c r="J765" s="93"/>
      <c r="K765" s="93"/>
      <c r="L765" s="94"/>
      <c r="M765" s="100"/>
      <c r="N765" s="96"/>
      <c r="O765" s="97"/>
      <c r="P765" s="98"/>
      <c r="Q765" s="101"/>
      <c r="R765" s="78" t="str">
        <f t="shared" si="68"/>
        <v/>
      </c>
    </row>
    <row r="766" spans="2:18" x14ac:dyDescent="0.2">
      <c r="B766" s="2" t="str">
        <f t="shared" si="69"/>
        <v/>
      </c>
      <c r="C766" s="2" t="str">
        <f t="shared" si="70"/>
        <v/>
      </c>
      <c r="D766" s="2" t="str">
        <f t="shared" si="71"/>
        <v>Y</v>
      </c>
      <c r="E766" s="2">
        <f t="shared" si="72"/>
        <v>0</v>
      </c>
      <c r="F766" s="2" t="str">
        <f t="shared" si="73"/>
        <v/>
      </c>
      <c r="H766" s="121" t="s">
        <v>763</v>
      </c>
      <c r="I766" s="92"/>
      <c r="J766" s="93"/>
      <c r="K766" s="93"/>
      <c r="L766" s="94"/>
      <c r="M766" s="100"/>
      <c r="N766" s="96"/>
      <c r="O766" s="97"/>
      <c r="P766" s="98"/>
      <c r="Q766" s="101"/>
      <c r="R766" s="78" t="str">
        <f t="shared" si="68"/>
        <v/>
      </c>
    </row>
    <row r="767" spans="2:18" x14ac:dyDescent="0.2">
      <c r="B767" s="2" t="str">
        <f t="shared" si="69"/>
        <v/>
      </c>
      <c r="C767" s="2" t="str">
        <f t="shared" si="70"/>
        <v/>
      </c>
      <c r="D767" s="2" t="str">
        <f t="shared" si="71"/>
        <v>Y</v>
      </c>
      <c r="E767" s="2">
        <f t="shared" si="72"/>
        <v>0</v>
      </c>
      <c r="F767" s="2" t="str">
        <f t="shared" si="73"/>
        <v/>
      </c>
      <c r="H767" s="121" t="s">
        <v>764</v>
      </c>
      <c r="I767" s="92"/>
      <c r="J767" s="93"/>
      <c r="K767" s="93"/>
      <c r="L767" s="94"/>
      <c r="M767" s="100"/>
      <c r="N767" s="96"/>
      <c r="O767" s="97"/>
      <c r="P767" s="98"/>
      <c r="Q767" s="101"/>
      <c r="R767" s="78" t="str">
        <f t="shared" si="68"/>
        <v/>
      </c>
    </row>
    <row r="768" spans="2:18" x14ac:dyDescent="0.2">
      <c r="B768" s="2" t="str">
        <f t="shared" si="69"/>
        <v/>
      </c>
      <c r="C768" s="2" t="str">
        <f t="shared" si="70"/>
        <v/>
      </c>
      <c r="D768" s="2" t="str">
        <f t="shared" si="71"/>
        <v>Y</v>
      </c>
      <c r="E768" s="2">
        <f t="shared" si="72"/>
        <v>0</v>
      </c>
      <c r="F768" s="2" t="str">
        <f t="shared" si="73"/>
        <v/>
      </c>
      <c r="H768" s="121" t="s">
        <v>765</v>
      </c>
      <c r="I768" s="92"/>
      <c r="J768" s="93"/>
      <c r="K768" s="93"/>
      <c r="L768" s="94"/>
      <c r="M768" s="100"/>
      <c r="N768" s="96"/>
      <c r="O768" s="97"/>
      <c r="P768" s="98"/>
      <c r="Q768" s="101"/>
      <c r="R768" s="78" t="str">
        <f t="shared" si="68"/>
        <v/>
      </c>
    </row>
    <row r="769" spans="2:18" x14ac:dyDescent="0.2">
      <c r="B769" s="2" t="str">
        <f t="shared" si="69"/>
        <v/>
      </c>
      <c r="C769" s="2" t="str">
        <f t="shared" si="70"/>
        <v/>
      </c>
      <c r="D769" s="2" t="str">
        <f t="shared" si="71"/>
        <v>Y</v>
      </c>
      <c r="E769" s="2">
        <f t="shared" si="72"/>
        <v>0</v>
      </c>
      <c r="F769" s="2" t="str">
        <f t="shared" si="73"/>
        <v/>
      </c>
      <c r="H769" s="121" t="s">
        <v>766</v>
      </c>
      <c r="I769" s="92"/>
      <c r="J769" s="93"/>
      <c r="K769" s="93"/>
      <c r="L769" s="94"/>
      <c r="M769" s="100"/>
      <c r="N769" s="96"/>
      <c r="O769" s="97"/>
      <c r="P769" s="98"/>
      <c r="Q769" s="101"/>
      <c r="R769" s="78" t="str">
        <f t="shared" si="68"/>
        <v/>
      </c>
    </row>
    <row r="770" spans="2:18" x14ac:dyDescent="0.2">
      <c r="B770" s="2" t="str">
        <f t="shared" si="69"/>
        <v/>
      </c>
      <c r="C770" s="2" t="str">
        <f t="shared" si="70"/>
        <v/>
      </c>
      <c r="D770" s="2" t="str">
        <f t="shared" si="71"/>
        <v>Y</v>
      </c>
      <c r="E770" s="2">
        <f t="shared" si="72"/>
        <v>0</v>
      </c>
      <c r="F770" s="2" t="str">
        <f t="shared" si="73"/>
        <v/>
      </c>
      <c r="H770" s="121" t="s">
        <v>767</v>
      </c>
      <c r="I770" s="92"/>
      <c r="J770" s="93"/>
      <c r="K770" s="93"/>
      <c r="L770" s="94"/>
      <c r="M770" s="100"/>
      <c r="N770" s="96"/>
      <c r="O770" s="97"/>
      <c r="P770" s="98"/>
      <c r="Q770" s="101"/>
      <c r="R770" s="78" t="str">
        <f t="shared" si="68"/>
        <v/>
      </c>
    </row>
    <row r="771" spans="2:18" x14ac:dyDescent="0.2">
      <c r="B771" s="2" t="str">
        <f t="shared" si="69"/>
        <v/>
      </c>
      <c r="C771" s="2" t="str">
        <f t="shared" si="70"/>
        <v/>
      </c>
      <c r="D771" s="2" t="str">
        <f t="shared" si="71"/>
        <v>Y</v>
      </c>
      <c r="E771" s="2">
        <f t="shared" si="72"/>
        <v>0</v>
      </c>
      <c r="F771" s="2" t="str">
        <f t="shared" si="73"/>
        <v/>
      </c>
      <c r="H771" s="121" t="s">
        <v>768</v>
      </c>
      <c r="I771" s="92"/>
      <c r="J771" s="93"/>
      <c r="K771" s="93"/>
      <c r="L771" s="94"/>
      <c r="M771" s="100"/>
      <c r="N771" s="96"/>
      <c r="O771" s="97"/>
      <c r="P771" s="98"/>
      <c r="Q771" s="101"/>
      <c r="R771" s="78" t="str">
        <f t="shared" si="68"/>
        <v/>
      </c>
    </row>
    <row r="772" spans="2:18" x14ac:dyDescent="0.2">
      <c r="B772" s="2" t="str">
        <f t="shared" si="69"/>
        <v/>
      </c>
      <c r="C772" s="2" t="str">
        <f t="shared" si="70"/>
        <v/>
      </c>
      <c r="D772" s="2" t="str">
        <f t="shared" si="71"/>
        <v>Y</v>
      </c>
      <c r="E772" s="2">
        <f t="shared" si="72"/>
        <v>0</v>
      </c>
      <c r="F772" s="2" t="str">
        <f t="shared" si="73"/>
        <v/>
      </c>
      <c r="H772" s="121" t="s">
        <v>769</v>
      </c>
      <c r="I772" s="92"/>
      <c r="J772" s="93"/>
      <c r="K772" s="93"/>
      <c r="L772" s="94"/>
      <c r="M772" s="100"/>
      <c r="N772" s="96"/>
      <c r="O772" s="97"/>
      <c r="P772" s="98"/>
      <c r="Q772" s="101"/>
      <c r="R772" s="78" t="str">
        <f t="shared" si="68"/>
        <v/>
      </c>
    </row>
    <row r="773" spans="2:18" x14ac:dyDescent="0.2">
      <c r="B773" s="2" t="str">
        <f t="shared" si="69"/>
        <v/>
      </c>
      <c r="C773" s="2" t="str">
        <f t="shared" si="70"/>
        <v/>
      </c>
      <c r="D773" s="2" t="str">
        <f t="shared" si="71"/>
        <v>Y</v>
      </c>
      <c r="E773" s="2">
        <f t="shared" si="72"/>
        <v>0</v>
      </c>
      <c r="F773" s="2" t="str">
        <f t="shared" si="73"/>
        <v/>
      </c>
      <c r="H773" s="121" t="s">
        <v>770</v>
      </c>
      <c r="I773" s="92"/>
      <c r="J773" s="93"/>
      <c r="K773" s="93"/>
      <c r="L773" s="94"/>
      <c r="M773" s="100"/>
      <c r="N773" s="96"/>
      <c r="O773" s="97"/>
      <c r="P773" s="98"/>
      <c r="Q773" s="101"/>
      <c r="R773" s="78" t="str">
        <f t="shared" si="68"/>
        <v/>
      </c>
    </row>
    <row r="774" spans="2:18" x14ac:dyDescent="0.2">
      <c r="B774" s="2" t="str">
        <f t="shared" si="69"/>
        <v/>
      </c>
      <c r="C774" s="2" t="str">
        <f t="shared" si="70"/>
        <v/>
      </c>
      <c r="D774" s="2" t="str">
        <f t="shared" si="71"/>
        <v>Y</v>
      </c>
      <c r="E774" s="2">
        <f t="shared" si="72"/>
        <v>0</v>
      </c>
      <c r="F774" s="2" t="str">
        <f t="shared" si="73"/>
        <v/>
      </c>
      <c r="H774" s="121" t="s">
        <v>771</v>
      </c>
      <c r="I774" s="92"/>
      <c r="J774" s="93"/>
      <c r="K774" s="93"/>
      <c r="L774" s="94"/>
      <c r="M774" s="100"/>
      <c r="N774" s="96"/>
      <c r="O774" s="97"/>
      <c r="P774" s="98"/>
      <c r="Q774" s="101"/>
      <c r="R774" s="78" t="str">
        <f t="shared" si="68"/>
        <v/>
      </c>
    </row>
    <row r="775" spans="2:18" x14ac:dyDescent="0.2">
      <c r="B775" s="2" t="str">
        <f t="shared" si="69"/>
        <v/>
      </c>
      <c r="C775" s="2" t="str">
        <f t="shared" si="70"/>
        <v/>
      </c>
      <c r="D775" s="2" t="str">
        <f t="shared" si="71"/>
        <v>Y</v>
      </c>
      <c r="E775" s="2">
        <f t="shared" si="72"/>
        <v>0</v>
      </c>
      <c r="F775" s="2" t="str">
        <f t="shared" si="73"/>
        <v/>
      </c>
      <c r="H775" s="121" t="s">
        <v>772</v>
      </c>
      <c r="I775" s="92"/>
      <c r="J775" s="93"/>
      <c r="K775" s="93"/>
      <c r="L775" s="94"/>
      <c r="M775" s="100"/>
      <c r="N775" s="96"/>
      <c r="O775" s="97"/>
      <c r="P775" s="98"/>
      <c r="Q775" s="101"/>
      <c r="R775" s="78" t="str">
        <f t="shared" si="68"/>
        <v/>
      </c>
    </row>
    <row r="776" spans="2:18" x14ac:dyDescent="0.2">
      <c r="B776" s="2" t="str">
        <f t="shared" si="69"/>
        <v/>
      </c>
      <c r="C776" s="2" t="str">
        <f t="shared" si="70"/>
        <v/>
      </c>
      <c r="D776" s="2" t="str">
        <f t="shared" si="71"/>
        <v>Y</v>
      </c>
      <c r="E776" s="2">
        <f t="shared" si="72"/>
        <v>0</v>
      </c>
      <c r="F776" s="2" t="str">
        <f t="shared" si="73"/>
        <v/>
      </c>
      <c r="H776" s="121" t="s">
        <v>773</v>
      </c>
      <c r="I776" s="92"/>
      <c r="J776" s="93"/>
      <c r="K776" s="93"/>
      <c r="L776" s="94"/>
      <c r="M776" s="100"/>
      <c r="N776" s="96"/>
      <c r="O776" s="97"/>
      <c r="P776" s="98"/>
      <c r="Q776" s="101"/>
      <c r="R776" s="78" t="str">
        <f t="shared" si="68"/>
        <v/>
      </c>
    </row>
    <row r="777" spans="2:18" x14ac:dyDescent="0.2">
      <c r="B777" s="2" t="str">
        <f t="shared" si="69"/>
        <v/>
      </c>
      <c r="C777" s="2" t="str">
        <f t="shared" si="70"/>
        <v/>
      </c>
      <c r="D777" s="2" t="str">
        <f t="shared" si="71"/>
        <v>Y</v>
      </c>
      <c r="E777" s="2">
        <f t="shared" si="72"/>
        <v>0</v>
      </c>
      <c r="F777" s="2" t="str">
        <f t="shared" si="73"/>
        <v/>
      </c>
      <c r="H777" s="121" t="s">
        <v>774</v>
      </c>
      <c r="I777" s="92"/>
      <c r="J777" s="93"/>
      <c r="K777" s="93"/>
      <c r="L777" s="94"/>
      <c r="M777" s="100"/>
      <c r="N777" s="96"/>
      <c r="O777" s="97"/>
      <c r="P777" s="98"/>
      <c r="Q777" s="101"/>
      <c r="R777" s="78" t="str">
        <f t="shared" si="68"/>
        <v/>
      </c>
    </row>
    <row r="778" spans="2:18" x14ac:dyDescent="0.2">
      <c r="B778" s="2" t="str">
        <f t="shared" si="69"/>
        <v/>
      </c>
      <c r="C778" s="2" t="str">
        <f t="shared" si="70"/>
        <v/>
      </c>
      <c r="D778" s="2" t="str">
        <f t="shared" si="71"/>
        <v>Y</v>
      </c>
      <c r="E778" s="2">
        <f t="shared" si="72"/>
        <v>0</v>
      </c>
      <c r="F778" s="2" t="str">
        <f t="shared" si="73"/>
        <v/>
      </c>
      <c r="H778" s="121" t="s">
        <v>775</v>
      </c>
      <c r="I778" s="92"/>
      <c r="J778" s="93"/>
      <c r="K778" s="93"/>
      <c r="L778" s="94"/>
      <c r="M778" s="100"/>
      <c r="N778" s="96"/>
      <c r="O778" s="97"/>
      <c r="P778" s="98"/>
      <c r="Q778" s="101"/>
      <c r="R778" s="78" t="str">
        <f t="shared" si="68"/>
        <v/>
      </c>
    </row>
    <row r="779" spans="2:18" x14ac:dyDescent="0.2">
      <c r="B779" s="2" t="str">
        <f t="shared" si="69"/>
        <v/>
      </c>
      <c r="C779" s="2" t="str">
        <f t="shared" si="70"/>
        <v/>
      </c>
      <c r="D779" s="2" t="str">
        <f t="shared" si="71"/>
        <v>Y</v>
      </c>
      <c r="E779" s="2">
        <f t="shared" si="72"/>
        <v>0</v>
      </c>
      <c r="F779" s="2" t="str">
        <f t="shared" si="73"/>
        <v/>
      </c>
      <c r="H779" s="121" t="s">
        <v>776</v>
      </c>
      <c r="I779" s="92"/>
      <c r="J779" s="93"/>
      <c r="K779" s="93"/>
      <c r="L779" s="94"/>
      <c r="M779" s="100"/>
      <c r="N779" s="96"/>
      <c r="O779" s="97"/>
      <c r="P779" s="98"/>
      <c r="Q779" s="101"/>
      <c r="R779" s="78" t="str">
        <f t="shared" ref="R779:R842" si="74">IF(ISERROR(VLOOKUP(K779,LB_PROJECTS,2,FALSE)),"",VLOOKUP(K779,LB_PROJECTS,2,FALSE))</f>
        <v/>
      </c>
    </row>
    <row r="780" spans="2:18" x14ac:dyDescent="0.2">
      <c r="B780" s="2" t="str">
        <f t="shared" ref="B780:B843" si="75">IF(M780="","",IF(WEEKNUM(M780)&lt;10,VALUE(CONCATENATE(YEAR(M780),"0",WEEKNUM(M780))),VALUE(CONCATENATE(YEAR(M780),WEEKNUM(M780)))))</f>
        <v/>
      </c>
      <c r="C780" s="2" t="str">
        <f t="shared" ref="C780:C843" si="76">IF(P780="","",IF(WEEKNUM(P780)&lt;10,VALUE(CONCATENATE(YEAR(P780),"0",WEEKNUM(P780))),VALUE(CONCATENATE(YEAR(P780),WEEKNUM(P780)))))</f>
        <v/>
      </c>
      <c r="D780" s="2" t="str">
        <f t="shared" ref="D780:D843" si="77">IF(OR(O780="Not started",O780="In progress"),"N",IF(OR(O780="N/A",O780="Suspended",O780="Canceled"),"","Y"))</f>
        <v>Y</v>
      </c>
      <c r="E780" s="2">
        <f t="shared" ref="E780:E843" si="78">IF(OR(O780="Not started",O780="In progress",O780="Applied",O780="Closed"),1,0)</f>
        <v>0</v>
      </c>
      <c r="F780" s="2" t="str">
        <f t="shared" si="73"/>
        <v/>
      </c>
      <c r="H780" s="121" t="s">
        <v>777</v>
      </c>
      <c r="I780" s="92"/>
      <c r="J780" s="93"/>
      <c r="K780" s="93"/>
      <c r="L780" s="94"/>
      <c r="M780" s="100"/>
      <c r="N780" s="96"/>
      <c r="O780" s="97"/>
      <c r="P780" s="98"/>
      <c r="Q780" s="101"/>
      <c r="R780" s="78" t="str">
        <f t="shared" si="74"/>
        <v/>
      </c>
    </row>
    <row r="781" spans="2:18" x14ac:dyDescent="0.2">
      <c r="B781" s="2" t="str">
        <f t="shared" si="75"/>
        <v/>
      </c>
      <c r="C781" s="2" t="str">
        <f t="shared" si="76"/>
        <v/>
      </c>
      <c r="D781" s="2" t="str">
        <f t="shared" si="77"/>
        <v>Y</v>
      </c>
      <c r="E781" s="2">
        <f t="shared" si="78"/>
        <v>0</v>
      </c>
      <c r="F781" s="2" t="str">
        <f t="shared" si="73"/>
        <v/>
      </c>
      <c r="H781" s="121" t="s">
        <v>778</v>
      </c>
      <c r="I781" s="92"/>
      <c r="J781" s="93"/>
      <c r="K781" s="93"/>
      <c r="L781" s="94"/>
      <c r="M781" s="100"/>
      <c r="N781" s="96"/>
      <c r="O781" s="97"/>
      <c r="P781" s="98"/>
      <c r="Q781" s="101"/>
      <c r="R781" s="78" t="str">
        <f t="shared" si="74"/>
        <v/>
      </c>
    </row>
    <row r="782" spans="2:18" x14ac:dyDescent="0.2">
      <c r="B782" s="2" t="str">
        <f t="shared" si="75"/>
        <v/>
      </c>
      <c r="C782" s="2" t="str">
        <f t="shared" si="76"/>
        <v/>
      </c>
      <c r="D782" s="2" t="str">
        <f t="shared" si="77"/>
        <v>Y</v>
      </c>
      <c r="E782" s="2">
        <f t="shared" si="78"/>
        <v>0</v>
      </c>
      <c r="F782" s="2" t="str">
        <f t="shared" ref="F782:F845" si="79">IF(N782="",B782,IF(WEEKNUM(N782)&lt;10,VALUE(CONCATENATE(YEAR(N782),"0",WEEKNUM(N782))),VALUE(CONCATENATE(YEAR(N782),WEEKNUM(N782)))))</f>
        <v/>
      </c>
      <c r="H782" s="121" t="s">
        <v>779</v>
      </c>
      <c r="I782" s="92"/>
      <c r="J782" s="93"/>
      <c r="K782" s="93"/>
      <c r="L782" s="94"/>
      <c r="M782" s="100"/>
      <c r="N782" s="96"/>
      <c r="O782" s="97"/>
      <c r="P782" s="98"/>
      <c r="Q782" s="101"/>
      <c r="R782" s="78" t="str">
        <f t="shared" si="74"/>
        <v/>
      </c>
    </row>
    <row r="783" spans="2:18" x14ac:dyDescent="0.2">
      <c r="B783" s="2" t="str">
        <f t="shared" si="75"/>
        <v/>
      </c>
      <c r="C783" s="2" t="str">
        <f t="shared" si="76"/>
        <v/>
      </c>
      <c r="D783" s="2" t="str">
        <f t="shared" si="77"/>
        <v>Y</v>
      </c>
      <c r="E783" s="2">
        <f t="shared" si="78"/>
        <v>0</v>
      </c>
      <c r="F783" s="2" t="str">
        <f t="shared" si="79"/>
        <v/>
      </c>
      <c r="H783" s="121" t="s">
        <v>780</v>
      </c>
      <c r="I783" s="92"/>
      <c r="J783" s="93"/>
      <c r="K783" s="93"/>
      <c r="L783" s="94"/>
      <c r="M783" s="100"/>
      <c r="N783" s="96"/>
      <c r="O783" s="97"/>
      <c r="P783" s="98"/>
      <c r="Q783" s="101"/>
      <c r="R783" s="78" t="str">
        <f t="shared" si="74"/>
        <v/>
      </c>
    </row>
    <row r="784" spans="2:18" x14ac:dyDescent="0.2">
      <c r="B784" s="2" t="str">
        <f t="shared" si="75"/>
        <v/>
      </c>
      <c r="C784" s="2" t="str">
        <f t="shared" si="76"/>
        <v/>
      </c>
      <c r="D784" s="2" t="str">
        <f t="shared" si="77"/>
        <v>Y</v>
      </c>
      <c r="E784" s="2">
        <f t="shared" si="78"/>
        <v>0</v>
      </c>
      <c r="F784" s="2" t="str">
        <f t="shared" si="79"/>
        <v/>
      </c>
      <c r="H784" s="121" t="s">
        <v>781</v>
      </c>
      <c r="I784" s="92"/>
      <c r="J784" s="93"/>
      <c r="K784" s="93"/>
      <c r="L784" s="94"/>
      <c r="M784" s="100"/>
      <c r="N784" s="96"/>
      <c r="O784" s="97"/>
      <c r="P784" s="98"/>
      <c r="Q784" s="101"/>
      <c r="R784" s="78" t="str">
        <f t="shared" si="74"/>
        <v/>
      </c>
    </row>
    <row r="785" spans="2:18" x14ac:dyDescent="0.2">
      <c r="B785" s="2" t="str">
        <f t="shared" si="75"/>
        <v/>
      </c>
      <c r="C785" s="2" t="str">
        <f t="shared" si="76"/>
        <v/>
      </c>
      <c r="D785" s="2" t="str">
        <f t="shared" si="77"/>
        <v>Y</v>
      </c>
      <c r="E785" s="2">
        <f t="shared" si="78"/>
        <v>0</v>
      </c>
      <c r="F785" s="2" t="str">
        <f t="shared" si="79"/>
        <v/>
      </c>
      <c r="H785" s="121" t="s">
        <v>782</v>
      </c>
      <c r="I785" s="92"/>
      <c r="J785" s="93"/>
      <c r="K785" s="93"/>
      <c r="L785" s="94"/>
      <c r="M785" s="100"/>
      <c r="N785" s="96"/>
      <c r="O785" s="97"/>
      <c r="P785" s="98"/>
      <c r="Q785" s="101"/>
      <c r="R785" s="78" t="str">
        <f t="shared" si="74"/>
        <v/>
      </c>
    </row>
    <row r="786" spans="2:18" x14ac:dyDescent="0.2">
      <c r="B786" s="2" t="str">
        <f t="shared" si="75"/>
        <v/>
      </c>
      <c r="C786" s="2" t="str">
        <f t="shared" si="76"/>
        <v/>
      </c>
      <c r="D786" s="2" t="str">
        <f t="shared" si="77"/>
        <v>Y</v>
      </c>
      <c r="E786" s="2">
        <f t="shared" si="78"/>
        <v>0</v>
      </c>
      <c r="F786" s="2" t="str">
        <f t="shared" si="79"/>
        <v/>
      </c>
      <c r="H786" s="121" t="s">
        <v>783</v>
      </c>
      <c r="I786" s="92"/>
      <c r="J786" s="93"/>
      <c r="K786" s="93"/>
      <c r="L786" s="94"/>
      <c r="M786" s="100"/>
      <c r="N786" s="96"/>
      <c r="O786" s="97"/>
      <c r="P786" s="98"/>
      <c r="Q786" s="101"/>
      <c r="R786" s="78" t="str">
        <f t="shared" si="74"/>
        <v/>
      </c>
    </row>
    <row r="787" spans="2:18" x14ac:dyDescent="0.2">
      <c r="B787" s="2" t="str">
        <f t="shared" si="75"/>
        <v/>
      </c>
      <c r="C787" s="2" t="str">
        <f t="shared" si="76"/>
        <v/>
      </c>
      <c r="D787" s="2" t="str">
        <f t="shared" si="77"/>
        <v>Y</v>
      </c>
      <c r="E787" s="2">
        <f t="shared" si="78"/>
        <v>0</v>
      </c>
      <c r="F787" s="2" t="str">
        <f t="shared" si="79"/>
        <v/>
      </c>
      <c r="H787" s="121" t="s">
        <v>784</v>
      </c>
      <c r="I787" s="92"/>
      <c r="J787" s="93"/>
      <c r="K787" s="93"/>
      <c r="L787" s="94"/>
      <c r="M787" s="100"/>
      <c r="N787" s="96"/>
      <c r="O787" s="97"/>
      <c r="P787" s="98"/>
      <c r="Q787" s="101"/>
      <c r="R787" s="78" t="str">
        <f t="shared" si="74"/>
        <v/>
      </c>
    </row>
    <row r="788" spans="2:18" x14ac:dyDescent="0.2">
      <c r="B788" s="2" t="str">
        <f t="shared" si="75"/>
        <v/>
      </c>
      <c r="C788" s="2" t="str">
        <f t="shared" si="76"/>
        <v/>
      </c>
      <c r="D788" s="2" t="str">
        <f t="shared" si="77"/>
        <v>Y</v>
      </c>
      <c r="E788" s="2">
        <f t="shared" si="78"/>
        <v>0</v>
      </c>
      <c r="F788" s="2" t="str">
        <f t="shared" si="79"/>
        <v/>
      </c>
      <c r="H788" s="121" t="s">
        <v>785</v>
      </c>
      <c r="I788" s="92"/>
      <c r="J788" s="93"/>
      <c r="K788" s="93"/>
      <c r="L788" s="94"/>
      <c r="M788" s="100"/>
      <c r="N788" s="96"/>
      <c r="O788" s="97"/>
      <c r="P788" s="98"/>
      <c r="Q788" s="101"/>
      <c r="R788" s="78" t="str">
        <f t="shared" si="74"/>
        <v/>
      </c>
    </row>
    <row r="789" spans="2:18" x14ac:dyDescent="0.2">
      <c r="B789" s="2" t="str">
        <f t="shared" si="75"/>
        <v/>
      </c>
      <c r="C789" s="2" t="str">
        <f t="shared" si="76"/>
        <v/>
      </c>
      <c r="D789" s="2" t="str">
        <f t="shared" si="77"/>
        <v>Y</v>
      </c>
      <c r="E789" s="2">
        <f t="shared" si="78"/>
        <v>0</v>
      </c>
      <c r="F789" s="2" t="str">
        <f t="shared" si="79"/>
        <v/>
      </c>
      <c r="H789" s="121" t="s">
        <v>786</v>
      </c>
      <c r="I789" s="92"/>
      <c r="J789" s="93"/>
      <c r="K789" s="93"/>
      <c r="L789" s="94"/>
      <c r="M789" s="100"/>
      <c r="N789" s="96"/>
      <c r="O789" s="97"/>
      <c r="P789" s="98"/>
      <c r="Q789" s="101"/>
      <c r="R789" s="78" t="str">
        <f t="shared" si="74"/>
        <v/>
      </c>
    </row>
    <row r="790" spans="2:18" x14ac:dyDescent="0.2">
      <c r="B790" s="2" t="str">
        <f t="shared" si="75"/>
        <v/>
      </c>
      <c r="C790" s="2" t="str">
        <f t="shared" si="76"/>
        <v/>
      </c>
      <c r="D790" s="2" t="str">
        <f t="shared" si="77"/>
        <v>Y</v>
      </c>
      <c r="E790" s="2">
        <f t="shared" si="78"/>
        <v>0</v>
      </c>
      <c r="F790" s="2" t="str">
        <f t="shared" si="79"/>
        <v/>
      </c>
      <c r="H790" s="121" t="s">
        <v>787</v>
      </c>
      <c r="I790" s="92"/>
      <c r="J790" s="93"/>
      <c r="K790" s="93"/>
      <c r="L790" s="94"/>
      <c r="M790" s="100"/>
      <c r="N790" s="96"/>
      <c r="O790" s="97"/>
      <c r="P790" s="98"/>
      <c r="Q790" s="101"/>
      <c r="R790" s="78" t="str">
        <f t="shared" si="74"/>
        <v/>
      </c>
    </row>
    <row r="791" spans="2:18" x14ac:dyDescent="0.2">
      <c r="B791" s="2" t="str">
        <f t="shared" si="75"/>
        <v/>
      </c>
      <c r="C791" s="2" t="str">
        <f t="shared" si="76"/>
        <v/>
      </c>
      <c r="D791" s="2" t="str">
        <f t="shared" si="77"/>
        <v>Y</v>
      </c>
      <c r="E791" s="2">
        <f t="shared" si="78"/>
        <v>0</v>
      </c>
      <c r="F791" s="2" t="str">
        <f t="shared" si="79"/>
        <v/>
      </c>
      <c r="H791" s="121" t="s">
        <v>788</v>
      </c>
      <c r="I791" s="92"/>
      <c r="J791" s="93"/>
      <c r="K791" s="93"/>
      <c r="L791" s="94"/>
      <c r="M791" s="100"/>
      <c r="N791" s="96"/>
      <c r="O791" s="97"/>
      <c r="P791" s="98"/>
      <c r="Q791" s="101"/>
      <c r="R791" s="78" t="str">
        <f t="shared" si="74"/>
        <v/>
      </c>
    </row>
    <row r="792" spans="2:18" x14ac:dyDescent="0.2">
      <c r="B792" s="2" t="str">
        <f t="shared" si="75"/>
        <v/>
      </c>
      <c r="C792" s="2" t="str">
        <f t="shared" si="76"/>
        <v/>
      </c>
      <c r="D792" s="2" t="str">
        <f t="shared" si="77"/>
        <v>Y</v>
      </c>
      <c r="E792" s="2">
        <f t="shared" si="78"/>
        <v>0</v>
      </c>
      <c r="F792" s="2" t="str">
        <f t="shared" si="79"/>
        <v/>
      </c>
      <c r="H792" s="121" t="s">
        <v>789</v>
      </c>
      <c r="I792" s="92"/>
      <c r="J792" s="93"/>
      <c r="K792" s="93"/>
      <c r="L792" s="94"/>
      <c r="M792" s="100"/>
      <c r="N792" s="96"/>
      <c r="O792" s="97"/>
      <c r="P792" s="98"/>
      <c r="Q792" s="101"/>
      <c r="R792" s="78" t="str">
        <f t="shared" si="74"/>
        <v/>
      </c>
    </row>
    <row r="793" spans="2:18" x14ac:dyDescent="0.2">
      <c r="B793" s="2" t="str">
        <f t="shared" si="75"/>
        <v/>
      </c>
      <c r="C793" s="2" t="str">
        <f t="shared" si="76"/>
        <v/>
      </c>
      <c r="D793" s="2" t="str">
        <f t="shared" si="77"/>
        <v>Y</v>
      </c>
      <c r="E793" s="2">
        <f t="shared" si="78"/>
        <v>0</v>
      </c>
      <c r="F793" s="2" t="str">
        <f t="shared" si="79"/>
        <v/>
      </c>
      <c r="H793" s="121" t="s">
        <v>790</v>
      </c>
      <c r="I793" s="92"/>
      <c r="J793" s="93"/>
      <c r="K793" s="93"/>
      <c r="L793" s="94"/>
      <c r="M793" s="100"/>
      <c r="N793" s="96"/>
      <c r="O793" s="97"/>
      <c r="P793" s="98"/>
      <c r="Q793" s="101"/>
      <c r="R793" s="78" t="str">
        <f t="shared" si="74"/>
        <v/>
      </c>
    </row>
    <row r="794" spans="2:18" x14ac:dyDescent="0.2">
      <c r="B794" s="2" t="str">
        <f t="shared" si="75"/>
        <v/>
      </c>
      <c r="C794" s="2" t="str">
        <f t="shared" si="76"/>
        <v/>
      </c>
      <c r="D794" s="2" t="str">
        <f t="shared" si="77"/>
        <v>Y</v>
      </c>
      <c r="E794" s="2">
        <f t="shared" si="78"/>
        <v>0</v>
      </c>
      <c r="F794" s="2" t="str">
        <f t="shared" si="79"/>
        <v/>
      </c>
      <c r="H794" s="121" t="s">
        <v>791</v>
      </c>
      <c r="I794" s="92"/>
      <c r="J794" s="93"/>
      <c r="K794" s="93"/>
      <c r="L794" s="94"/>
      <c r="M794" s="100"/>
      <c r="N794" s="96"/>
      <c r="O794" s="97"/>
      <c r="P794" s="98"/>
      <c r="Q794" s="101"/>
      <c r="R794" s="78" t="str">
        <f t="shared" si="74"/>
        <v/>
      </c>
    </row>
    <row r="795" spans="2:18" x14ac:dyDescent="0.2">
      <c r="B795" s="2" t="str">
        <f t="shared" si="75"/>
        <v/>
      </c>
      <c r="C795" s="2" t="str">
        <f t="shared" si="76"/>
        <v/>
      </c>
      <c r="D795" s="2" t="str">
        <f t="shared" si="77"/>
        <v>Y</v>
      </c>
      <c r="E795" s="2">
        <f t="shared" si="78"/>
        <v>0</v>
      </c>
      <c r="F795" s="2" t="str">
        <f t="shared" si="79"/>
        <v/>
      </c>
      <c r="H795" s="121" t="s">
        <v>792</v>
      </c>
      <c r="I795" s="92"/>
      <c r="J795" s="93"/>
      <c r="K795" s="93"/>
      <c r="L795" s="94"/>
      <c r="M795" s="100"/>
      <c r="N795" s="96"/>
      <c r="O795" s="97"/>
      <c r="P795" s="98"/>
      <c r="Q795" s="101"/>
      <c r="R795" s="78" t="str">
        <f t="shared" si="74"/>
        <v/>
      </c>
    </row>
    <row r="796" spans="2:18" x14ac:dyDescent="0.2">
      <c r="B796" s="2" t="str">
        <f t="shared" si="75"/>
        <v/>
      </c>
      <c r="C796" s="2" t="str">
        <f t="shared" si="76"/>
        <v/>
      </c>
      <c r="D796" s="2" t="str">
        <f t="shared" si="77"/>
        <v>Y</v>
      </c>
      <c r="E796" s="2">
        <f t="shared" si="78"/>
        <v>0</v>
      </c>
      <c r="F796" s="2" t="str">
        <f t="shared" si="79"/>
        <v/>
      </c>
      <c r="H796" s="121" t="s">
        <v>793</v>
      </c>
      <c r="I796" s="92"/>
      <c r="J796" s="93"/>
      <c r="K796" s="93"/>
      <c r="L796" s="94"/>
      <c r="M796" s="100"/>
      <c r="N796" s="96"/>
      <c r="O796" s="97"/>
      <c r="P796" s="98"/>
      <c r="Q796" s="101"/>
      <c r="R796" s="78" t="str">
        <f t="shared" si="74"/>
        <v/>
      </c>
    </row>
    <row r="797" spans="2:18" x14ac:dyDescent="0.2">
      <c r="B797" s="2" t="str">
        <f t="shared" si="75"/>
        <v/>
      </c>
      <c r="C797" s="2" t="str">
        <f t="shared" si="76"/>
        <v/>
      </c>
      <c r="D797" s="2" t="str">
        <f t="shared" si="77"/>
        <v>Y</v>
      </c>
      <c r="E797" s="2">
        <f t="shared" si="78"/>
        <v>0</v>
      </c>
      <c r="F797" s="2" t="str">
        <f t="shared" si="79"/>
        <v/>
      </c>
      <c r="H797" s="121" t="s">
        <v>794</v>
      </c>
      <c r="I797" s="92"/>
      <c r="J797" s="93"/>
      <c r="K797" s="93"/>
      <c r="L797" s="94"/>
      <c r="M797" s="100"/>
      <c r="N797" s="96"/>
      <c r="O797" s="97"/>
      <c r="P797" s="98"/>
      <c r="Q797" s="101"/>
      <c r="R797" s="78" t="str">
        <f t="shared" si="74"/>
        <v/>
      </c>
    </row>
    <row r="798" spans="2:18" x14ac:dyDescent="0.2">
      <c r="B798" s="2" t="str">
        <f t="shared" si="75"/>
        <v/>
      </c>
      <c r="C798" s="2" t="str">
        <f t="shared" si="76"/>
        <v/>
      </c>
      <c r="D798" s="2" t="str">
        <f t="shared" si="77"/>
        <v>Y</v>
      </c>
      <c r="E798" s="2">
        <f t="shared" si="78"/>
        <v>0</v>
      </c>
      <c r="F798" s="2" t="str">
        <f t="shared" si="79"/>
        <v/>
      </c>
      <c r="H798" s="121" t="s">
        <v>795</v>
      </c>
      <c r="I798" s="92"/>
      <c r="J798" s="93"/>
      <c r="K798" s="93"/>
      <c r="L798" s="94"/>
      <c r="M798" s="100"/>
      <c r="N798" s="96"/>
      <c r="O798" s="97"/>
      <c r="P798" s="98"/>
      <c r="Q798" s="101"/>
      <c r="R798" s="78" t="str">
        <f t="shared" si="74"/>
        <v/>
      </c>
    </row>
    <row r="799" spans="2:18" x14ac:dyDescent="0.2">
      <c r="B799" s="2" t="str">
        <f t="shared" si="75"/>
        <v/>
      </c>
      <c r="C799" s="2" t="str">
        <f t="shared" si="76"/>
        <v/>
      </c>
      <c r="D799" s="2" t="str">
        <f t="shared" si="77"/>
        <v>Y</v>
      </c>
      <c r="E799" s="2">
        <f t="shared" si="78"/>
        <v>0</v>
      </c>
      <c r="F799" s="2" t="str">
        <f t="shared" si="79"/>
        <v/>
      </c>
      <c r="H799" s="121" t="s">
        <v>796</v>
      </c>
      <c r="I799" s="92"/>
      <c r="J799" s="93"/>
      <c r="K799" s="93"/>
      <c r="L799" s="94"/>
      <c r="M799" s="100"/>
      <c r="N799" s="96"/>
      <c r="O799" s="97"/>
      <c r="P799" s="98"/>
      <c r="Q799" s="101"/>
      <c r="R799" s="78" t="str">
        <f t="shared" si="74"/>
        <v/>
      </c>
    </row>
    <row r="800" spans="2:18" x14ac:dyDescent="0.2">
      <c r="B800" s="2" t="str">
        <f t="shared" si="75"/>
        <v/>
      </c>
      <c r="C800" s="2" t="str">
        <f t="shared" si="76"/>
        <v/>
      </c>
      <c r="D800" s="2" t="str">
        <f t="shared" si="77"/>
        <v>Y</v>
      </c>
      <c r="E800" s="2">
        <f t="shared" si="78"/>
        <v>0</v>
      </c>
      <c r="F800" s="2" t="str">
        <f t="shared" si="79"/>
        <v/>
      </c>
      <c r="H800" s="121" t="s">
        <v>797</v>
      </c>
      <c r="I800" s="92"/>
      <c r="J800" s="93"/>
      <c r="K800" s="93"/>
      <c r="L800" s="94"/>
      <c r="M800" s="100"/>
      <c r="N800" s="96"/>
      <c r="O800" s="97"/>
      <c r="P800" s="98"/>
      <c r="Q800" s="101"/>
      <c r="R800" s="78" t="str">
        <f t="shared" si="74"/>
        <v/>
      </c>
    </row>
    <row r="801" spans="2:18" x14ac:dyDescent="0.2">
      <c r="B801" s="2" t="str">
        <f t="shared" si="75"/>
        <v/>
      </c>
      <c r="C801" s="2" t="str">
        <f t="shared" si="76"/>
        <v/>
      </c>
      <c r="D801" s="2" t="str">
        <f t="shared" si="77"/>
        <v>Y</v>
      </c>
      <c r="E801" s="2">
        <f t="shared" si="78"/>
        <v>0</v>
      </c>
      <c r="F801" s="2" t="str">
        <f t="shared" si="79"/>
        <v/>
      </c>
      <c r="H801" s="121" t="s">
        <v>798</v>
      </c>
      <c r="I801" s="92"/>
      <c r="J801" s="93"/>
      <c r="K801" s="93"/>
      <c r="L801" s="94"/>
      <c r="M801" s="100"/>
      <c r="N801" s="96"/>
      <c r="O801" s="97"/>
      <c r="P801" s="98"/>
      <c r="Q801" s="101"/>
      <c r="R801" s="78" t="str">
        <f t="shared" si="74"/>
        <v/>
      </c>
    </row>
    <row r="802" spans="2:18" x14ac:dyDescent="0.2">
      <c r="B802" s="2" t="str">
        <f t="shared" si="75"/>
        <v/>
      </c>
      <c r="C802" s="2" t="str">
        <f t="shared" si="76"/>
        <v/>
      </c>
      <c r="D802" s="2" t="str">
        <f t="shared" si="77"/>
        <v>Y</v>
      </c>
      <c r="E802" s="2">
        <f t="shared" si="78"/>
        <v>0</v>
      </c>
      <c r="F802" s="2" t="str">
        <f t="shared" si="79"/>
        <v/>
      </c>
      <c r="H802" s="121" t="s">
        <v>799</v>
      </c>
      <c r="I802" s="92"/>
      <c r="J802" s="93"/>
      <c r="K802" s="93"/>
      <c r="L802" s="94"/>
      <c r="M802" s="100"/>
      <c r="N802" s="96"/>
      <c r="O802" s="97"/>
      <c r="P802" s="98"/>
      <c r="Q802" s="101"/>
      <c r="R802" s="78" t="str">
        <f t="shared" si="74"/>
        <v/>
      </c>
    </row>
    <row r="803" spans="2:18" x14ac:dyDescent="0.2">
      <c r="B803" s="2" t="str">
        <f t="shared" si="75"/>
        <v/>
      </c>
      <c r="C803" s="2" t="str">
        <f t="shared" si="76"/>
        <v/>
      </c>
      <c r="D803" s="2" t="str">
        <f t="shared" si="77"/>
        <v>Y</v>
      </c>
      <c r="E803" s="2">
        <f t="shared" si="78"/>
        <v>0</v>
      </c>
      <c r="F803" s="2" t="str">
        <f t="shared" si="79"/>
        <v/>
      </c>
      <c r="H803" s="121" t="s">
        <v>800</v>
      </c>
      <c r="I803" s="92"/>
      <c r="J803" s="93"/>
      <c r="K803" s="93"/>
      <c r="L803" s="94"/>
      <c r="M803" s="100"/>
      <c r="N803" s="96"/>
      <c r="O803" s="97"/>
      <c r="P803" s="98"/>
      <c r="Q803" s="101"/>
      <c r="R803" s="78" t="str">
        <f t="shared" si="74"/>
        <v/>
      </c>
    </row>
    <row r="804" spans="2:18" x14ac:dyDescent="0.2">
      <c r="B804" s="2" t="str">
        <f t="shared" si="75"/>
        <v/>
      </c>
      <c r="C804" s="2" t="str">
        <f t="shared" si="76"/>
        <v/>
      </c>
      <c r="D804" s="2" t="str">
        <f t="shared" si="77"/>
        <v>Y</v>
      </c>
      <c r="E804" s="2">
        <f t="shared" si="78"/>
        <v>0</v>
      </c>
      <c r="F804" s="2" t="str">
        <f t="shared" si="79"/>
        <v/>
      </c>
      <c r="H804" s="121" t="s">
        <v>801</v>
      </c>
      <c r="I804" s="92"/>
      <c r="J804" s="93"/>
      <c r="K804" s="93"/>
      <c r="L804" s="94"/>
      <c r="M804" s="100"/>
      <c r="N804" s="96"/>
      <c r="O804" s="97"/>
      <c r="P804" s="98"/>
      <c r="Q804" s="101"/>
      <c r="R804" s="78" t="str">
        <f t="shared" si="74"/>
        <v/>
      </c>
    </row>
    <row r="805" spans="2:18" x14ac:dyDescent="0.2">
      <c r="B805" s="2" t="str">
        <f t="shared" si="75"/>
        <v/>
      </c>
      <c r="C805" s="2" t="str">
        <f t="shared" si="76"/>
        <v/>
      </c>
      <c r="D805" s="2" t="str">
        <f t="shared" si="77"/>
        <v>Y</v>
      </c>
      <c r="E805" s="2">
        <f t="shared" si="78"/>
        <v>0</v>
      </c>
      <c r="F805" s="2" t="str">
        <f t="shared" si="79"/>
        <v/>
      </c>
      <c r="H805" s="121" t="s">
        <v>802</v>
      </c>
      <c r="I805" s="92"/>
      <c r="J805" s="93"/>
      <c r="K805" s="93"/>
      <c r="L805" s="94"/>
      <c r="M805" s="100"/>
      <c r="N805" s="96"/>
      <c r="O805" s="97"/>
      <c r="P805" s="98"/>
      <c r="Q805" s="101"/>
      <c r="R805" s="78" t="str">
        <f t="shared" si="74"/>
        <v/>
      </c>
    </row>
    <row r="806" spans="2:18" x14ac:dyDescent="0.2">
      <c r="B806" s="2" t="str">
        <f t="shared" si="75"/>
        <v/>
      </c>
      <c r="C806" s="2" t="str">
        <f t="shared" si="76"/>
        <v/>
      </c>
      <c r="D806" s="2" t="str">
        <f t="shared" si="77"/>
        <v>Y</v>
      </c>
      <c r="E806" s="2">
        <f t="shared" si="78"/>
        <v>0</v>
      </c>
      <c r="F806" s="2" t="str">
        <f t="shared" si="79"/>
        <v/>
      </c>
      <c r="H806" s="121" t="s">
        <v>803</v>
      </c>
      <c r="I806" s="92"/>
      <c r="J806" s="93"/>
      <c r="K806" s="93"/>
      <c r="L806" s="94"/>
      <c r="M806" s="100"/>
      <c r="N806" s="96"/>
      <c r="O806" s="97"/>
      <c r="P806" s="98"/>
      <c r="Q806" s="101"/>
      <c r="R806" s="78" t="str">
        <f t="shared" si="74"/>
        <v/>
      </c>
    </row>
    <row r="807" spans="2:18" x14ac:dyDescent="0.2">
      <c r="B807" s="2" t="str">
        <f t="shared" si="75"/>
        <v/>
      </c>
      <c r="C807" s="2" t="str">
        <f t="shared" si="76"/>
        <v/>
      </c>
      <c r="D807" s="2" t="str">
        <f t="shared" si="77"/>
        <v>Y</v>
      </c>
      <c r="E807" s="2">
        <f t="shared" si="78"/>
        <v>0</v>
      </c>
      <c r="F807" s="2" t="str">
        <f t="shared" si="79"/>
        <v/>
      </c>
      <c r="H807" s="121" t="s">
        <v>804</v>
      </c>
      <c r="I807" s="92"/>
      <c r="J807" s="93"/>
      <c r="K807" s="93"/>
      <c r="L807" s="94"/>
      <c r="M807" s="100"/>
      <c r="N807" s="96"/>
      <c r="O807" s="97"/>
      <c r="P807" s="98"/>
      <c r="Q807" s="101"/>
      <c r="R807" s="78" t="str">
        <f t="shared" si="74"/>
        <v/>
      </c>
    </row>
    <row r="808" spans="2:18" x14ac:dyDescent="0.2">
      <c r="B808" s="2" t="str">
        <f t="shared" si="75"/>
        <v/>
      </c>
      <c r="C808" s="2" t="str">
        <f t="shared" si="76"/>
        <v/>
      </c>
      <c r="D808" s="2" t="str">
        <f t="shared" si="77"/>
        <v>Y</v>
      </c>
      <c r="E808" s="2">
        <f t="shared" si="78"/>
        <v>0</v>
      </c>
      <c r="F808" s="2" t="str">
        <f t="shared" si="79"/>
        <v/>
      </c>
      <c r="H808" s="121" t="s">
        <v>805</v>
      </c>
      <c r="I808" s="92"/>
      <c r="J808" s="93"/>
      <c r="K808" s="93"/>
      <c r="L808" s="94"/>
      <c r="M808" s="100"/>
      <c r="N808" s="96"/>
      <c r="O808" s="97"/>
      <c r="P808" s="98"/>
      <c r="Q808" s="101"/>
      <c r="R808" s="78" t="str">
        <f t="shared" si="74"/>
        <v/>
      </c>
    </row>
    <row r="809" spans="2:18" x14ac:dyDescent="0.2">
      <c r="B809" s="2" t="str">
        <f t="shared" si="75"/>
        <v/>
      </c>
      <c r="C809" s="2" t="str">
        <f t="shared" si="76"/>
        <v/>
      </c>
      <c r="D809" s="2" t="str">
        <f t="shared" si="77"/>
        <v>Y</v>
      </c>
      <c r="E809" s="2">
        <f t="shared" si="78"/>
        <v>0</v>
      </c>
      <c r="F809" s="2" t="str">
        <f t="shared" si="79"/>
        <v/>
      </c>
      <c r="H809" s="121" t="s">
        <v>806</v>
      </c>
      <c r="I809" s="92"/>
      <c r="J809" s="93"/>
      <c r="K809" s="93"/>
      <c r="L809" s="94"/>
      <c r="M809" s="100"/>
      <c r="N809" s="96"/>
      <c r="O809" s="97"/>
      <c r="P809" s="98"/>
      <c r="Q809" s="101"/>
      <c r="R809" s="78" t="str">
        <f t="shared" si="74"/>
        <v/>
      </c>
    </row>
    <row r="810" spans="2:18" x14ac:dyDescent="0.2">
      <c r="B810" s="2" t="str">
        <f t="shared" si="75"/>
        <v/>
      </c>
      <c r="C810" s="2" t="str">
        <f t="shared" si="76"/>
        <v/>
      </c>
      <c r="D810" s="2" t="str">
        <f t="shared" si="77"/>
        <v>Y</v>
      </c>
      <c r="E810" s="2">
        <f t="shared" si="78"/>
        <v>0</v>
      </c>
      <c r="F810" s="2" t="str">
        <f t="shared" si="79"/>
        <v/>
      </c>
      <c r="H810" s="121" t="s">
        <v>807</v>
      </c>
      <c r="I810" s="92"/>
      <c r="J810" s="93"/>
      <c r="K810" s="93"/>
      <c r="L810" s="94"/>
      <c r="M810" s="100"/>
      <c r="N810" s="96"/>
      <c r="O810" s="97"/>
      <c r="P810" s="98"/>
      <c r="Q810" s="101"/>
      <c r="R810" s="78" t="str">
        <f t="shared" si="74"/>
        <v/>
      </c>
    </row>
    <row r="811" spans="2:18" x14ac:dyDescent="0.2">
      <c r="B811" s="2" t="str">
        <f t="shared" si="75"/>
        <v/>
      </c>
      <c r="C811" s="2" t="str">
        <f t="shared" si="76"/>
        <v/>
      </c>
      <c r="D811" s="2" t="str">
        <f t="shared" si="77"/>
        <v>Y</v>
      </c>
      <c r="E811" s="2">
        <f t="shared" si="78"/>
        <v>0</v>
      </c>
      <c r="F811" s="2" t="str">
        <f t="shared" si="79"/>
        <v/>
      </c>
      <c r="H811" s="121" t="s">
        <v>808</v>
      </c>
      <c r="I811" s="92"/>
      <c r="J811" s="93"/>
      <c r="K811" s="93"/>
      <c r="L811" s="94"/>
      <c r="M811" s="100"/>
      <c r="N811" s="96"/>
      <c r="O811" s="97"/>
      <c r="P811" s="98"/>
      <c r="Q811" s="101"/>
      <c r="R811" s="78" t="str">
        <f t="shared" si="74"/>
        <v/>
      </c>
    </row>
    <row r="812" spans="2:18" x14ac:dyDescent="0.2">
      <c r="B812" s="2" t="str">
        <f t="shared" si="75"/>
        <v/>
      </c>
      <c r="C812" s="2" t="str">
        <f t="shared" si="76"/>
        <v/>
      </c>
      <c r="D812" s="2" t="str">
        <f t="shared" si="77"/>
        <v>Y</v>
      </c>
      <c r="E812" s="2">
        <f t="shared" si="78"/>
        <v>0</v>
      </c>
      <c r="F812" s="2" t="str">
        <f t="shared" si="79"/>
        <v/>
      </c>
      <c r="H812" s="121" t="s">
        <v>809</v>
      </c>
      <c r="I812" s="92"/>
      <c r="J812" s="93"/>
      <c r="K812" s="93"/>
      <c r="L812" s="94"/>
      <c r="M812" s="100"/>
      <c r="N812" s="96"/>
      <c r="O812" s="97"/>
      <c r="P812" s="98"/>
      <c r="Q812" s="101"/>
      <c r="R812" s="78" t="str">
        <f t="shared" si="74"/>
        <v/>
      </c>
    </row>
    <row r="813" spans="2:18" x14ac:dyDescent="0.2">
      <c r="B813" s="2" t="str">
        <f t="shared" si="75"/>
        <v/>
      </c>
      <c r="C813" s="2" t="str">
        <f t="shared" si="76"/>
        <v/>
      </c>
      <c r="D813" s="2" t="str">
        <f t="shared" si="77"/>
        <v>Y</v>
      </c>
      <c r="E813" s="2">
        <f t="shared" si="78"/>
        <v>0</v>
      </c>
      <c r="F813" s="2" t="str">
        <f t="shared" si="79"/>
        <v/>
      </c>
      <c r="H813" s="121" t="s">
        <v>810</v>
      </c>
      <c r="I813" s="92"/>
      <c r="J813" s="93"/>
      <c r="K813" s="93"/>
      <c r="L813" s="94"/>
      <c r="M813" s="100"/>
      <c r="N813" s="96"/>
      <c r="O813" s="97"/>
      <c r="P813" s="98"/>
      <c r="Q813" s="101"/>
      <c r="R813" s="78" t="str">
        <f t="shared" si="74"/>
        <v/>
      </c>
    </row>
    <row r="814" spans="2:18" x14ac:dyDescent="0.2">
      <c r="B814" s="2" t="str">
        <f t="shared" si="75"/>
        <v/>
      </c>
      <c r="C814" s="2" t="str">
        <f t="shared" si="76"/>
        <v/>
      </c>
      <c r="D814" s="2" t="str">
        <f t="shared" si="77"/>
        <v>Y</v>
      </c>
      <c r="E814" s="2">
        <f t="shared" si="78"/>
        <v>0</v>
      </c>
      <c r="F814" s="2" t="str">
        <f t="shared" si="79"/>
        <v/>
      </c>
      <c r="H814" s="121" t="s">
        <v>811</v>
      </c>
      <c r="I814" s="92"/>
      <c r="J814" s="93"/>
      <c r="K814" s="93"/>
      <c r="L814" s="94"/>
      <c r="M814" s="100"/>
      <c r="N814" s="96"/>
      <c r="O814" s="97"/>
      <c r="P814" s="98"/>
      <c r="Q814" s="101"/>
      <c r="R814" s="78" t="str">
        <f t="shared" si="74"/>
        <v/>
      </c>
    </row>
    <row r="815" spans="2:18" x14ac:dyDescent="0.2">
      <c r="B815" s="2" t="str">
        <f t="shared" si="75"/>
        <v/>
      </c>
      <c r="C815" s="2" t="str">
        <f t="shared" si="76"/>
        <v/>
      </c>
      <c r="D815" s="2" t="str">
        <f t="shared" si="77"/>
        <v>Y</v>
      </c>
      <c r="E815" s="2">
        <f t="shared" si="78"/>
        <v>0</v>
      </c>
      <c r="F815" s="2" t="str">
        <f t="shared" si="79"/>
        <v/>
      </c>
      <c r="H815" s="121" t="s">
        <v>812</v>
      </c>
      <c r="I815" s="92"/>
      <c r="J815" s="93"/>
      <c r="K815" s="93"/>
      <c r="L815" s="94"/>
      <c r="M815" s="100"/>
      <c r="N815" s="96"/>
      <c r="O815" s="97"/>
      <c r="P815" s="98"/>
      <c r="Q815" s="101"/>
      <c r="R815" s="78" t="str">
        <f t="shared" si="74"/>
        <v/>
      </c>
    </row>
    <row r="816" spans="2:18" x14ac:dyDescent="0.2">
      <c r="B816" s="2" t="str">
        <f t="shared" si="75"/>
        <v/>
      </c>
      <c r="C816" s="2" t="str">
        <f t="shared" si="76"/>
        <v/>
      </c>
      <c r="D816" s="2" t="str">
        <f t="shared" si="77"/>
        <v>Y</v>
      </c>
      <c r="E816" s="2">
        <f t="shared" si="78"/>
        <v>0</v>
      </c>
      <c r="F816" s="2" t="str">
        <f t="shared" si="79"/>
        <v/>
      </c>
      <c r="H816" s="121" t="s">
        <v>813</v>
      </c>
      <c r="I816" s="92"/>
      <c r="J816" s="93"/>
      <c r="K816" s="93"/>
      <c r="L816" s="94"/>
      <c r="M816" s="100"/>
      <c r="N816" s="96"/>
      <c r="O816" s="97"/>
      <c r="P816" s="98"/>
      <c r="Q816" s="101"/>
      <c r="R816" s="78" t="str">
        <f t="shared" si="74"/>
        <v/>
      </c>
    </row>
    <row r="817" spans="2:18" x14ac:dyDescent="0.2">
      <c r="B817" s="2" t="str">
        <f t="shared" si="75"/>
        <v/>
      </c>
      <c r="C817" s="2" t="str">
        <f t="shared" si="76"/>
        <v/>
      </c>
      <c r="D817" s="2" t="str">
        <f t="shared" si="77"/>
        <v>Y</v>
      </c>
      <c r="E817" s="2">
        <f t="shared" si="78"/>
        <v>0</v>
      </c>
      <c r="F817" s="2" t="str">
        <f t="shared" si="79"/>
        <v/>
      </c>
      <c r="H817" s="121" t="s">
        <v>814</v>
      </c>
      <c r="I817" s="92"/>
      <c r="J817" s="93"/>
      <c r="K817" s="93"/>
      <c r="L817" s="94"/>
      <c r="M817" s="100"/>
      <c r="N817" s="96"/>
      <c r="O817" s="97"/>
      <c r="P817" s="98"/>
      <c r="Q817" s="101"/>
      <c r="R817" s="78" t="str">
        <f t="shared" si="74"/>
        <v/>
      </c>
    </row>
    <row r="818" spans="2:18" x14ac:dyDescent="0.2">
      <c r="B818" s="2" t="str">
        <f t="shared" si="75"/>
        <v/>
      </c>
      <c r="C818" s="2" t="str">
        <f t="shared" si="76"/>
        <v/>
      </c>
      <c r="D818" s="2" t="str">
        <f t="shared" si="77"/>
        <v>Y</v>
      </c>
      <c r="E818" s="2">
        <f t="shared" si="78"/>
        <v>0</v>
      </c>
      <c r="F818" s="2" t="str">
        <f t="shared" si="79"/>
        <v/>
      </c>
      <c r="H818" s="121" t="s">
        <v>815</v>
      </c>
      <c r="I818" s="92"/>
      <c r="J818" s="93"/>
      <c r="K818" s="93"/>
      <c r="L818" s="94"/>
      <c r="M818" s="100"/>
      <c r="N818" s="96"/>
      <c r="O818" s="97"/>
      <c r="P818" s="98"/>
      <c r="Q818" s="101"/>
      <c r="R818" s="78" t="str">
        <f t="shared" si="74"/>
        <v/>
      </c>
    </row>
    <row r="819" spans="2:18" x14ac:dyDescent="0.2">
      <c r="B819" s="2" t="str">
        <f t="shared" si="75"/>
        <v/>
      </c>
      <c r="C819" s="2" t="str">
        <f t="shared" si="76"/>
        <v/>
      </c>
      <c r="D819" s="2" t="str">
        <f t="shared" si="77"/>
        <v>Y</v>
      </c>
      <c r="E819" s="2">
        <f t="shared" si="78"/>
        <v>0</v>
      </c>
      <c r="F819" s="2" t="str">
        <f t="shared" si="79"/>
        <v/>
      </c>
      <c r="H819" s="121" t="s">
        <v>816</v>
      </c>
      <c r="I819" s="92"/>
      <c r="J819" s="93"/>
      <c r="K819" s="93"/>
      <c r="L819" s="94"/>
      <c r="M819" s="100"/>
      <c r="N819" s="96"/>
      <c r="O819" s="97"/>
      <c r="P819" s="98"/>
      <c r="Q819" s="101"/>
      <c r="R819" s="78" t="str">
        <f t="shared" si="74"/>
        <v/>
      </c>
    </row>
    <row r="820" spans="2:18" x14ac:dyDescent="0.2">
      <c r="B820" s="2" t="str">
        <f t="shared" si="75"/>
        <v/>
      </c>
      <c r="C820" s="2" t="str">
        <f t="shared" si="76"/>
        <v/>
      </c>
      <c r="D820" s="2" t="str">
        <f t="shared" si="77"/>
        <v>Y</v>
      </c>
      <c r="E820" s="2">
        <f t="shared" si="78"/>
        <v>0</v>
      </c>
      <c r="F820" s="2" t="str">
        <f t="shared" si="79"/>
        <v/>
      </c>
      <c r="H820" s="121" t="s">
        <v>817</v>
      </c>
      <c r="I820" s="92"/>
      <c r="J820" s="93"/>
      <c r="K820" s="93"/>
      <c r="L820" s="94"/>
      <c r="M820" s="100"/>
      <c r="N820" s="96"/>
      <c r="O820" s="97"/>
      <c r="P820" s="98"/>
      <c r="Q820" s="101"/>
      <c r="R820" s="78" t="str">
        <f t="shared" si="74"/>
        <v/>
      </c>
    </row>
    <row r="821" spans="2:18" x14ac:dyDescent="0.2">
      <c r="B821" s="2" t="str">
        <f t="shared" si="75"/>
        <v/>
      </c>
      <c r="C821" s="2" t="str">
        <f t="shared" si="76"/>
        <v/>
      </c>
      <c r="D821" s="2" t="str">
        <f t="shared" si="77"/>
        <v>Y</v>
      </c>
      <c r="E821" s="2">
        <f t="shared" si="78"/>
        <v>0</v>
      </c>
      <c r="F821" s="2" t="str">
        <f t="shared" si="79"/>
        <v/>
      </c>
      <c r="H821" s="121" t="s">
        <v>818</v>
      </c>
      <c r="I821" s="92"/>
      <c r="J821" s="93"/>
      <c r="K821" s="93"/>
      <c r="L821" s="94"/>
      <c r="M821" s="100"/>
      <c r="N821" s="96"/>
      <c r="O821" s="97"/>
      <c r="P821" s="98"/>
      <c r="Q821" s="101"/>
      <c r="R821" s="78" t="str">
        <f t="shared" si="74"/>
        <v/>
      </c>
    </row>
    <row r="822" spans="2:18" x14ac:dyDescent="0.2">
      <c r="B822" s="2" t="str">
        <f t="shared" si="75"/>
        <v/>
      </c>
      <c r="C822" s="2" t="str">
        <f t="shared" si="76"/>
        <v/>
      </c>
      <c r="D822" s="2" t="str">
        <f t="shared" si="77"/>
        <v>Y</v>
      </c>
      <c r="E822" s="2">
        <f t="shared" si="78"/>
        <v>0</v>
      </c>
      <c r="F822" s="2" t="str">
        <f t="shared" si="79"/>
        <v/>
      </c>
      <c r="H822" s="121" t="s">
        <v>819</v>
      </c>
      <c r="I822" s="92"/>
      <c r="J822" s="93"/>
      <c r="K822" s="93"/>
      <c r="L822" s="94"/>
      <c r="M822" s="100"/>
      <c r="N822" s="96"/>
      <c r="O822" s="97"/>
      <c r="P822" s="98"/>
      <c r="Q822" s="101"/>
      <c r="R822" s="78" t="str">
        <f t="shared" si="74"/>
        <v/>
      </c>
    </row>
    <row r="823" spans="2:18" x14ac:dyDescent="0.2">
      <c r="B823" s="2" t="str">
        <f t="shared" si="75"/>
        <v/>
      </c>
      <c r="C823" s="2" t="str">
        <f t="shared" si="76"/>
        <v/>
      </c>
      <c r="D823" s="2" t="str">
        <f t="shared" si="77"/>
        <v>Y</v>
      </c>
      <c r="E823" s="2">
        <f t="shared" si="78"/>
        <v>0</v>
      </c>
      <c r="F823" s="2" t="str">
        <f t="shared" si="79"/>
        <v/>
      </c>
      <c r="H823" s="121" t="s">
        <v>820</v>
      </c>
      <c r="I823" s="92"/>
      <c r="J823" s="93"/>
      <c r="K823" s="93"/>
      <c r="L823" s="94"/>
      <c r="M823" s="100"/>
      <c r="N823" s="96"/>
      <c r="O823" s="97"/>
      <c r="P823" s="98"/>
      <c r="Q823" s="101"/>
      <c r="R823" s="78" t="str">
        <f t="shared" si="74"/>
        <v/>
      </c>
    </row>
    <row r="824" spans="2:18" x14ac:dyDescent="0.2">
      <c r="B824" s="2" t="str">
        <f t="shared" si="75"/>
        <v/>
      </c>
      <c r="C824" s="2" t="str">
        <f t="shared" si="76"/>
        <v/>
      </c>
      <c r="D824" s="2" t="str">
        <f t="shared" si="77"/>
        <v>Y</v>
      </c>
      <c r="E824" s="2">
        <f t="shared" si="78"/>
        <v>0</v>
      </c>
      <c r="F824" s="2" t="str">
        <f t="shared" si="79"/>
        <v/>
      </c>
      <c r="H824" s="121" t="s">
        <v>821</v>
      </c>
      <c r="I824" s="92"/>
      <c r="J824" s="93"/>
      <c r="K824" s="93"/>
      <c r="L824" s="94"/>
      <c r="M824" s="100"/>
      <c r="N824" s="96"/>
      <c r="O824" s="97"/>
      <c r="P824" s="98"/>
      <c r="Q824" s="101"/>
      <c r="R824" s="78" t="str">
        <f t="shared" si="74"/>
        <v/>
      </c>
    </row>
    <row r="825" spans="2:18" x14ac:dyDescent="0.2">
      <c r="B825" s="2" t="str">
        <f t="shared" si="75"/>
        <v/>
      </c>
      <c r="C825" s="2" t="str">
        <f t="shared" si="76"/>
        <v/>
      </c>
      <c r="D825" s="2" t="str">
        <f t="shared" si="77"/>
        <v>Y</v>
      </c>
      <c r="E825" s="2">
        <f t="shared" si="78"/>
        <v>0</v>
      </c>
      <c r="F825" s="2" t="str">
        <f t="shared" si="79"/>
        <v/>
      </c>
      <c r="H825" s="121" t="s">
        <v>822</v>
      </c>
      <c r="I825" s="92"/>
      <c r="J825" s="93"/>
      <c r="K825" s="93"/>
      <c r="L825" s="94"/>
      <c r="M825" s="100"/>
      <c r="N825" s="96"/>
      <c r="O825" s="97"/>
      <c r="P825" s="98"/>
      <c r="Q825" s="101"/>
      <c r="R825" s="78" t="str">
        <f t="shared" si="74"/>
        <v/>
      </c>
    </row>
    <row r="826" spans="2:18" x14ac:dyDescent="0.2">
      <c r="B826" s="2" t="str">
        <f t="shared" si="75"/>
        <v/>
      </c>
      <c r="C826" s="2" t="str">
        <f t="shared" si="76"/>
        <v/>
      </c>
      <c r="D826" s="2" t="str">
        <f t="shared" si="77"/>
        <v>Y</v>
      </c>
      <c r="E826" s="2">
        <f t="shared" si="78"/>
        <v>0</v>
      </c>
      <c r="F826" s="2" t="str">
        <f t="shared" si="79"/>
        <v/>
      </c>
      <c r="H826" s="121" t="s">
        <v>823</v>
      </c>
      <c r="I826" s="92"/>
      <c r="J826" s="93"/>
      <c r="K826" s="93"/>
      <c r="L826" s="94"/>
      <c r="M826" s="100"/>
      <c r="N826" s="96"/>
      <c r="O826" s="97"/>
      <c r="P826" s="98"/>
      <c r="Q826" s="101"/>
      <c r="R826" s="78" t="str">
        <f t="shared" si="74"/>
        <v/>
      </c>
    </row>
    <row r="827" spans="2:18" x14ac:dyDescent="0.2">
      <c r="B827" s="2" t="str">
        <f t="shared" si="75"/>
        <v/>
      </c>
      <c r="C827" s="2" t="str">
        <f t="shared" si="76"/>
        <v/>
      </c>
      <c r="D827" s="2" t="str">
        <f t="shared" si="77"/>
        <v>Y</v>
      </c>
      <c r="E827" s="2">
        <f t="shared" si="78"/>
        <v>0</v>
      </c>
      <c r="F827" s="2" t="str">
        <f t="shared" si="79"/>
        <v/>
      </c>
      <c r="H827" s="121" t="s">
        <v>824</v>
      </c>
      <c r="I827" s="92"/>
      <c r="J827" s="93"/>
      <c r="K827" s="93"/>
      <c r="L827" s="94"/>
      <c r="M827" s="100"/>
      <c r="N827" s="96"/>
      <c r="O827" s="97"/>
      <c r="P827" s="98"/>
      <c r="Q827" s="101"/>
      <c r="R827" s="78" t="str">
        <f t="shared" si="74"/>
        <v/>
      </c>
    </row>
    <row r="828" spans="2:18" x14ac:dyDescent="0.2">
      <c r="B828" s="2" t="str">
        <f t="shared" si="75"/>
        <v/>
      </c>
      <c r="C828" s="2" t="str">
        <f t="shared" si="76"/>
        <v/>
      </c>
      <c r="D828" s="2" t="str">
        <f t="shared" si="77"/>
        <v>Y</v>
      </c>
      <c r="E828" s="2">
        <f t="shared" si="78"/>
        <v>0</v>
      </c>
      <c r="F828" s="2" t="str">
        <f t="shared" si="79"/>
        <v/>
      </c>
      <c r="H828" s="121" t="s">
        <v>825</v>
      </c>
      <c r="I828" s="92"/>
      <c r="J828" s="93"/>
      <c r="K828" s="93"/>
      <c r="L828" s="94"/>
      <c r="M828" s="100"/>
      <c r="N828" s="96"/>
      <c r="O828" s="97"/>
      <c r="P828" s="98"/>
      <c r="Q828" s="101"/>
      <c r="R828" s="78" t="str">
        <f t="shared" si="74"/>
        <v/>
      </c>
    </row>
    <row r="829" spans="2:18" x14ac:dyDescent="0.2">
      <c r="B829" s="2" t="str">
        <f t="shared" si="75"/>
        <v/>
      </c>
      <c r="C829" s="2" t="str">
        <f t="shared" si="76"/>
        <v/>
      </c>
      <c r="D829" s="2" t="str">
        <f t="shared" si="77"/>
        <v>Y</v>
      </c>
      <c r="E829" s="2">
        <f t="shared" si="78"/>
        <v>0</v>
      </c>
      <c r="F829" s="2" t="str">
        <f t="shared" si="79"/>
        <v/>
      </c>
      <c r="H829" s="121" t="s">
        <v>826</v>
      </c>
      <c r="I829" s="92"/>
      <c r="J829" s="93"/>
      <c r="K829" s="93"/>
      <c r="L829" s="94"/>
      <c r="M829" s="100"/>
      <c r="N829" s="96"/>
      <c r="O829" s="97"/>
      <c r="P829" s="98"/>
      <c r="Q829" s="101"/>
      <c r="R829" s="78" t="str">
        <f t="shared" si="74"/>
        <v/>
      </c>
    </row>
    <row r="830" spans="2:18" x14ac:dyDescent="0.2">
      <c r="B830" s="2" t="str">
        <f t="shared" si="75"/>
        <v/>
      </c>
      <c r="C830" s="2" t="str">
        <f t="shared" si="76"/>
        <v/>
      </c>
      <c r="D830" s="2" t="str">
        <f t="shared" si="77"/>
        <v>Y</v>
      </c>
      <c r="E830" s="2">
        <f t="shared" si="78"/>
        <v>0</v>
      </c>
      <c r="F830" s="2" t="str">
        <f t="shared" si="79"/>
        <v/>
      </c>
      <c r="H830" s="121" t="s">
        <v>827</v>
      </c>
      <c r="I830" s="92"/>
      <c r="J830" s="93"/>
      <c r="K830" s="93"/>
      <c r="L830" s="94"/>
      <c r="M830" s="100"/>
      <c r="N830" s="96"/>
      <c r="O830" s="97"/>
      <c r="P830" s="98"/>
      <c r="Q830" s="101"/>
      <c r="R830" s="78" t="str">
        <f t="shared" si="74"/>
        <v/>
      </c>
    </row>
    <row r="831" spans="2:18" x14ac:dyDescent="0.2">
      <c r="B831" s="2" t="str">
        <f t="shared" si="75"/>
        <v/>
      </c>
      <c r="C831" s="2" t="str">
        <f t="shared" si="76"/>
        <v/>
      </c>
      <c r="D831" s="2" t="str">
        <f t="shared" si="77"/>
        <v>Y</v>
      </c>
      <c r="E831" s="2">
        <f t="shared" si="78"/>
        <v>0</v>
      </c>
      <c r="F831" s="2" t="str">
        <f t="shared" si="79"/>
        <v/>
      </c>
      <c r="H831" s="121" t="s">
        <v>828</v>
      </c>
      <c r="I831" s="92"/>
      <c r="J831" s="93"/>
      <c r="K831" s="93"/>
      <c r="L831" s="94"/>
      <c r="M831" s="100"/>
      <c r="N831" s="96"/>
      <c r="O831" s="97"/>
      <c r="P831" s="98"/>
      <c r="Q831" s="101"/>
      <c r="R831" s="78" t="str">
        <f t="shared" si="74"/>
        <v/>
      </c>
    </row>
    <row r="832" spans="2:18" x14ac:dyDescent="0.2">
      <c r="B832" s="2" t="str">
        <f t="shared" si="75"/>
        <v/>
      </c>
      <c r="C832" s="2" t="str">
        <f t="shared" si="76"/>
        <v/>
      </c>
      <c r="D832" s="2" t="str">
        <f t="shared" si="77"/>
        <v>Y</v>
      </c>
      <c r="E832" s="2">
        <f t="shared" si="78"/>
        <v>0</v>
      </c>
      <c r="F832" s="2" t="str">
        <f t="shared" si="79"/>
        <v/>
      </c>
      <c r="H832" s="121" t="s">
        <v>829</v>
      </c>
      <c r="I832" s="92"/>
      <c r="J832" s="93"/>
      <c r="K832" s="93"/>
      <c r="L832" s="94"/>
      <c r="M832" s="100"/>
      <c r="N832" s="96"/>
      <c r="O832" s="97"/>
      <c r="P832" s="98"/>
      <c r="Q832" s="101"/>
      <c r="R832" s="78" t="str">
        <f t="shared" si="74"/>
        <v/>
      </c>
    </row>
    <row r="833" spans="2:18" x14ac:dyDescent="0.2">
      <c r="B833" s="2" t="str">
        <f t="shared" si="75"/>
        <v/>
      </c>
      <c r="C833" s="2" t="str">
        <f t="shared" si="76"/>
        <v/>
      </c>
      <c r="D833" s="2" t="str">
        <f t="shared" si="77"/>
        <v>Y</v>
      </c>
      <c r="E833" s="2">
        <f t="shared" si="78"/>
        <v>0</v>
      </c>
      <c r="F833" s="2" t="str">
        <f t="shared" si="79"/>
        <v/>
      </c>
      <c r="H833" s="121" t="s">
        <v>830</v>
      </c>
      <c r="I833" s="92"/>
      <c r="J833" s="93"/>
      <c r="K833" s="93"/>
      <c r="L833" s="94"/>
      <c r="M833" s="100"/>
      <c r="N833" s="96"/>
      <c r="O833" s="97"/>
      <c r="P833" s="98"/>
      <c r="Q833" s="101"/>
      <c r="R833" s="78" t="str">
        <f t="shared" si="74"/>
        <v/>
      </c>
    </row>
    <row r="834" spans="2:18" x14ac:dyDescent="0.2">
      <c r="B834" s="2" t="str">
        <f t="shared" si="75"/>
        <v/>
      </c>
      <c r="C834" s="2" t="str">
        <f t="shared" si="76"/>
        <v/>
      </c>
      <c r="D834" s="2" t="str">
        <f t="shared" si="77"/>
        <v>Y</v>
      </c>
      <c r="E834" s="2">
        <f t="shared" si="78"/>
        <v>0</v>
      </c>
      <c r="F834" s="2" t="str">
        <f t="shared" si="79"/>
        <v/>
      </c>
      <c r="H834" s="121" t="s">
        <v>831</v>
      </c>
      <c r="I834" s="92"/>
      <c r="J834" s="93"/>
      <c r="K834" s="93"/>
      <c r="L834" s="94"/>
      <c r="M834" s="100"/>
      <c r="N834" s="96"/>
      <c r="O834" s="97"/>
      <c r="P834" s="98"/>
      <c r="Q834" s="101"/>
      <c r="R834" s="78" t="str">
        <f t="shared" si="74"/>
        <v/>
      </c>
    </row>
    <row r="835" spans="2:18" x14ac:dyDescent="0.2">
      <c r="B835" s="2" t="str">
        <f t="shared" si="75"/>
        <v/>
      </c>
      <c r="C835" s="2" t="str">
        <f t="shared" si="76"/>
        <v/>
      </c>
      <c r="D835" s="2" t="str">
        <f t="shared" si="77"/>
        <v>Y</v>
      </c>
      <c r="E835" s="2">
        <f t="shared" si="78"/>
        <v>0</v>
      </c>
      <c r="F835" s="2" t="str">
        <f t="shared" si="79"/>
        <v/>
      </c>
      <c r="H835" s="121" t="s">
        <v>832</v>
      </c>
      <c r="I835" s="92"/>
      <c r="J835" s="93"/>
      <c r="K835" s="93"/>
      <c r="L835" s="94"/>
      <c r="M835" s="100"/>
      <c r="N835" s="96"/>
      <c r="O835" s="97"/>
      <c r="P835" s="98"/>
      <c r="Q835" s="101"/>
      <c r="R835" s="78" t="str">
        <f t="shared" si="74"/>
        <v/>
      </c>
    </row>
    <row r="836" spans="2:18" x14ac:dyDescent="0.2">
      <c r="B836" s="2" t="str">
        <f t="shared" si="75"/>
        <v/>
      </c>
      <c r="C836" s="2" t="str">
        <f t="shared" si="76"/>
        <v/>
      </c>
      <c r="D836" s="2" t="str">
        <f t="shared" si="77"/>
        <v>Y</v>
      </c>
      <c r="E836" s="2">
        <f t="shared" si="78"/>
        <v>0</v>
      </c>
      <c r="F836" s="2" t="str">
        <f t="shared" si="79"/>
        <v/>
      </c>
      <c r="H836" s="121" t="s">
        <v>833</v>
      </c>
      <c r="I836" s="92"/>
      <c r="J836" s="93"/>
      <c r="K836" s="93"/>
      <c r="L836" s="94"/>
      <c r="M836" s="100"/>
      <c r="N836" s="96"/>
      <c r="O836" s="97"/>
      <c r="P836" s="98"/>
      <c r="Q836" s="101"/>
      <c r="R836" s="78" t="str">
        <f t="shared" si="74"/>
        <v/>
      </c>
    </row>
    <row r="837" spans="2:18" x14ac:dyDescent="0.2">
      <c r="B837" s="2" t="str">
        <f t="shared" si="75"/>
        <v/>
      </c>
      <c r="C837" s="2" t="str">
        <f t="shared" si="76"/>
        <v/>
      </c>
      <c r="D837" s="2" t="str">
        <f t="shared" si="77"/>
        <v>Y</v>
      </c>
      <c r="E837" s="2">
        <f t="shared" si="78"/>
        <v>0</v>
      </c>
      <c r="F837" s="2" t="str">
        <f t="shared" si="79"/>
        <v/>
      </c>
      <c r="H837" s="121" t="s">
        <v>834</v>
      </c>
      <c r="I837" s="92"/>
      <c r="J837" s="93"/>
      <c r="K837" s="93"/>
      <c r="L837" s="94"/>
      <c r="M837" s="100"/>
      <c r="N837" s="96"/>
      <c r="O837" s="97"/>
      <c r="P837" s="98"/>
      <c r="Q837" s="101"/>
      <c r="R837" s="78" t="str">
        <f t="shared" si="74"/>
        <v/>
      </c>
    </row>
    <row r="838" spans="2:18" x14ac:dyDescent="0.2">
      <c r="B838" s="2" t="str">
        <f t="shared" si="75"/>
        <v/>
      </c>
      <c r="C838" s="2" t="str">
        <f t="shared" si="76"/>
        <v/>
      </c>
      <c r="D838" s="2" t="str">
        <f t="shared" si="77"/>
        <v>Y</v>
      </c>
      <c r="E838" s="2">
        <f t="shared" si="78"/>
        <v>0</v>
      </c>
      <c r="F838" s="2" t="str">
        <f t="shared" si="79"/>
        <v/>
      </c>
      <c r="H838" s="121" t="s">
        <v>835</v>
      </c>
      <c r="I838" s="92"/>
      <c r="J838" s="93"/>
      <c r="K838" s="93"/>
      <c r="L838" s="94"/>
      <c r="M838" s="100"/>
      <c r="N838" s="96"/>
      <c r="O838" s="97"/>
      <c r="P838" s="98"/>
      <c r="Q838" s="101"/>
      <c r="R838" s="78" t="str">
        <f t="shared" si="74"/>
        <v/>
      </c>
    </row>
    <row r="839" spans="2:18" x14ac:dyDescent="0.2">
      <c r="B839" s="2" t="str">
        <f t="shared" si="75"/>
        <v/>
      </c>
      <c r="C839" s="2" t="str">
        <f t="shared" si="76"/>
        <v/>
      </c>
      <c r="D839" s="2" t="str">
        <f t="shared" si="77"/>
        <v>Y</v>
      </c>
      <c r="E839" s="2">
        <f t="shared" si="78"/>
        <v>0</v>
      </c>
      <c r="F839" s="2" t="str">
        <f t="shared" si="79"/>
        <v/>
      </c>
      <c r="H839" s="121" t="s">
        <v>836</v>
      </c>
      <c r="I839" s="92"/>
      <c r="J839" s="93"/>
      <c r="K839" s="93"/>
      <c r="L839" s="94"/>
      <c r="M839" s="100"/>
      <c r="N839" s="96"/>
      <c r="O839" s="97"/>
      <c r="P839" s="98"/>
      <c r="Q839" s="101"/>
      <c r="R839" s="78" t="str">
        <f t="shared" si="74"/>
        <v/>
      </c>
    </row>
    <row r="840" spans="2:18" x14ac:dyDescent="0.2">
      <c r="B840" s="2" t="str">
        <f t="shared" si="75"/>
        <v/>
      </c>
      <c r="C840" s="2" t="str">
        <f t="shared" si="76"/>
        <v/>
      </c>
      <c r="D840" s="2" t="str">
        <f t="shared" si="77"/>
        <v>Y</v>
      </c>
      <c r="E840" s="2">
        <f t="shared" si="78"/>
        <v>0</v>
      </c>
      <c r="F840" s="2" t="str">
        <f t="shared" si="79"/>
        <v/>
      </c>
      <c r="H840" s="121" t="s">
        <v>837</v>
      </c>
      <c r="I840" s="92"/>
      <c r="J840" s="93"/>
      <c r="K840" s="93"/>
      <c r="L840" s="94"/>
      <c r="M840" s="100"/>
      <c r="N840" s="96"/>
      <c r="O840" s="97"/>
      <c r="P840" s="98"/>
      <c r="Q840" s="101"/>
      <c r="R840" s="78" t="str">
        <f t="shared" si="74"/>
        <v/>
      </c>
    </row>
    <row r="841" spans="2:18" x14ac:dyDescent="0.2">
      <c r="B841" s="2" t="str">
        <f t="shared" si="75"/>
        <v/>
      </c>
      <c r="C841" s="2" t="str">
        <f t="shared" si="76"/>
        <v/>
      </c>
      <c r="D841" s="2" t="str">
        <f t="shared" si="77"/>
        <v>Y</v>
      </c>
      <c r="E841" s="2">
        <f t="shared" si="78"/>
        <v>0</v>
      </c>
      <c r="F841" s="2" t="str">
        <f t="shared" si="79"/>
        <v/>
      </c>
      <c r="H841" s="121" t="s">
        <v>838</v>
      </c>
      <c r="I841" s="92"/>
      <c r="J841" s="93"/>
      <c r="K841" s="93"/>
      <c r="L841" s="94"/>
      <c r="M841" s="100"/>
      <c r="N841" s="96"/>
      <c r="O841" s="97"/>
      <c r="P841" s="98"/>
      <c r="Q841" s="101"/>
      <c r="R841" s="78" t="str">
        <f t="shared" si="74"/>
        <v/>
      </c>
    </row>
    <row r="842" spans="2:18" x14ac:dyDescent="0.2">
      <c r="B842" s="2" t="str">
        <f t="shared" si="75"/>
        <v/>
      </c>
      <c r="C842" s="2" t="str">
        <f t="shared" si="76"/>
        <v/>
      </c>
      <c r="D842" s="2" t="str">
        <f t="shared" si="77"/>
        <v>Y</v>
      </c>
      <c r="E842" s="2">
        <f t="shared" si="78"/>
        <v>0</v>
      </c>
      <c r="F842" s="2" t="str">
        <f t="shared" si="79"/>
        <v/>
      </c>
      <c r="H842" s="121" t="s">
        <v>839</v>
      </c>
      <c r="I842" s="92"/>
      <c r="J842" s="93"/>
      <c r="K842" s="93"/>
      <c r="L842" s="94"/>
      <c r="M842" s="100"/>
      <c r="N842" s="96"/>
      <c r="O842" s="97"/>
      <c r="P842" s="98"/>
      <c r="Q842" s="101"/>
      <c r="R842" s="78" t="str">
        <f t="shared" si="74"/>
        <v/>
      </c>
    </row>
    <row r="843" spans="2:18" x14ac:dyDescent="0.2">
      <c r="B843" s="2" t="str">
        <f t="shared" si="75"/>
        <v/>
      </c>
      <c r="C843" s="2" t="str">
        <f t="shared" si="76"/>
        <v/>
      </c>
      <c r="D843" s="2" t="str">
        <f t="shared" si="77"/>
        <v>Y</v>
      </c>
      <c r="E843" s="2">
        <f t="shared" si="78"/>
        <v>0</v>
      </c>
      <c r="F843" s="2" t="str">
        <f t="shared" si="79"/>
        <v/>
      </c>
      <c r="H843" s="121" t="s">
        <v>840</v>
      </c>
      <c r="I843" s="92"/>
      <c r="J843" s="93"/>
      <c r="K843" s="93"/>
      <c r="L843" s="94"/>
      <c r="M843" s="100"/>
      <c r="N843" s="96"/>
      <c r="O843" s="97"/>
      <c r="P843" s="98"/>
      <c r="Q843" s="101"/>
      <c r="R843" s="78" t="str">
        <f t="shared" ref="R843:R906" si="80">IF(ISERROR(VLOOKUP(K843,LB_PROJECTS,2,FALSE)),"",VLOOKUP(K843,LB_PROJECTS,2,FALSE))</f>
        <v/>
      </c>
    </row>
    <row r="844" spans="2:18" x14ac:dyDescent="0.2">
      <c r="B844" s="2" t="str">
        <f t="shared" ref="B844:B907" si="81">IF(M844="","",IF(WEEKNUM(M844)&lt;10,VALUE(CONCATENATE(YEAR(M844),"0",WEEKNUM(M844))),VALUE(CONCATENATE(YEAR(M844),WEEKNUM(M844)))))</f>
        <v/>
      </c>
      <c r="C844" s="2" t="str">
        <f t="shared" ref="C844:C907" si="82">IF(P844="","",IF(WEEKNUM(P844)&lt;10,VALUE(CONCATENATE(YEAR(P844),"0",WEEKNUM(P844))),VALUE(CONCATENATE(YEAR(P844),WEEKNUM(P844)))))</f>
        <v/>
      </c>
      <c r="D844" s="2" t="str">
        <f t="shared" ref="D844:D907" si="83">IF(OR(O844="Not started",O844="In progress"),"N",IF(OR(O844="N/A",O844="Suspended",O844="Canceled"),"","Y"))</f>
        <v>Y</v>
      </c>
      <c r="E844" s="2">
        <f t="shared" ref="E844:E907" si="84">IF(OR(O844="Not started",O844="In progress",O844="Applied",O844="Closed"),1,0)</f>
        <v>0</v>
      </c>
      <c r="F844" s="2" t="str">
        <f t="shared" si="79"/>
        <v/>
      </c>
      <c r="H844" s="121" t="s">
        <v>841</v>
      </c>
      <c r="I844" s="92"/>
      <c r="J844" s="93"/>
      <c r="K844" s="93"/>
      <c r="L844" s="94"/>
      <c r="M844" s="100"/>
      <c r="N844" s="96"/>
      <c r="O844" s="97"/>
      <c r="P844" s="98"/>
      <c r="Q844" s="101"/>
      <c r="R844" s="78" t="str">
        <f t="shared" si="80"/>
        <v/>
      </c>
    </row>
    <row r="845" spans="2:18" x14ac:dyDescent="0.2">
      <c r="B845" s="2" t="str">
        <f t="shared" si="81"/>
        <v/>
      </c>
      <c r="C845" s="2" t="str">
        <f t="shared" si="82"/>
        <v/>
      </c>
      <c r="D845" s="2" t="str">
        <f t="shared" si="83"/>
        <v>Y</v>
      </c>
      <c r="E845" s="2">
        <f t="shared" si="84"/>
        <v>0</v>
      </c>
      <c r="F845" s="2" t="str">
        <f t="shared" si="79"/>
        <v/>
      </c>
      <c r="H845" s="121" t="s">
        <v>842</v>
      </c>
      <c r="I845" s="92"/>
      <c r="J845" s="93"/>
      <c r="K845" s="93"/>
      <c r="L845" s="94"/>
      <c r="M845" s="100"/>
      <c r="N845" s="96"/>
      <c r="O845" s="97"/>
      <c r="P845" s="98"/>
      <c r="Q845" s="101"/>
      <c r="R845" s="78" t="str">
        <f t="shared" si="80"/>
        <v/>
      </c>
    </row>
    <row r="846" spans="2:18" x14ac:dyDescent="0.2">
      <c r="B846" s="2" t="str">
        <f t="shared" si="81"/>
        <v/>
      </c>
      <c r="C846" s="2" t="str">
        <f t="shared" si="82"/>
        <v/>
      </c>
      <c r="D846" s="2" t="str">
        <f t="shared" si="83"/>
        <v>Y</v>
      </c>
      <c r="E846" s="2">
        <f t="shared" si="84"/>
        <v>0</v>
      </c>
      <c r="F846" s="2" t="str">
        <f t="shared" ref="F846:F909" si="85">IF(N846="",B846,IF(WEEKNUM(N846)&lt;10,VALUE(CONCATENATE(YEAR(N846),"0",WEEKNUM(N846))),VALUE(CONCATENATE(YEAR(N846),WEEKNUM(N846)))))</f>
        <v/>
      </c>
      <c r="H846" s="121" t="s">
        <v>843</v>
      </c>
      <c r="I846" s="92"/>
      <c r="J846" s="93"/>
      <c r="K846" s="93"/>
      <c r="L846" s="94"/>
      <c r="M846" s="100"/>
      <c r="N846" s="96"/>
      <c r="O846" s="97"/>
      <c r="P846" s="98"/>
      <c r="Q846" s="101"/>
      <c r="R846" s="78" t="str">
        <f t="shared" si="80"/>
        <v/>
      </c>
    </row>
    <row r="847" spans="2:18" x14ac:dyDescent="0.2">
      <c r="B847" s="2" t="str">
        <f t="shared" si="81"/>
        <v/>
      </c>
      <c r="C847" s="2" t="str">
        <f t="shared" si="82"/>
        <v/>
      </c>
      <c r="D847" s="2" t="str">
        <f t="shared" si="83"/>
        <v>Y</v>
      </c>
      <c r="E847" s="2">
        <f t="shared" si="84"/>
        <v>0</v>
      </c>
      <c r="F847" s="2" t="str">
        <f t="shared" si="85"/>
        <v/>
      </c>
      <c r="H847" s="121" t="s">
        <v>844</v>
      </c>
      <c r="I847" s="92"/>
      <c r="J847" s="93"/>
      <c r="K847" s="93"/>
      <c r="L847" s="94"/>
      <c r="M847" s="100"/>
      <c r="N847" s="96"/>
      <c r="O847" s="97"/>
      <c r="P847" s="98"/>
      <c r="Q847" s="101"/>
      <c r="R847" s="78" t="str">
        <f t="shared" si="80"/>
        <v/>
      </c>
    </row>
    <row r="848" spans="2:18" x14ac:dyDescent="0.2">
      <c r="B848" s="2" t="str">
        <f t="shared" si="81"/>
        <v/>
      </c>
      <c r="C848" s="2" t="str">
        <f t="shared" si="82"/>
        <v/>
      </c>
      <c r="D848" s="2" t="str">
        <f t="shared" si="83"/>
        <v>Y</v>
      </c>
      <c r="E848" s="2">
        <f t="shared" si="84"/>
        <v>0</v>
      </c>
      <c r="F848" s="2" t="str">
        <f t="shared" si="85"/>
        <v/>
      </c>
      <c r="H848" s="121" t="s">
        <v>845</v>
      </c>
      <c r="I848" s="92"/>
      <c r="J848" s="93"/>
      <c r="K848" s="93"/>
      <c r="L848" s="94"/>
      <c r="M848" s="100"/>
      <c r="N848" s="96"/>
      <c r="O848" s="97"/>
      <c r="P848" s="98"/>
      <c r="Q848" s="101"/>
      <c r="R848" s="78" t="str">
        <f t="shared" si="80"/>
        <v/>
      </c>
    </row>
    <row r="849" spans="2:18" x14ac:dyDescent="0.2">
      <c r="B849" s="2" t="str">
        <f t="shared" si="81"/>
        <v/>
      </c>
      <c r="C849" s="2" t="str">
        <f t="shared" si="82"/>
        <v/>
      </c>
      <c r="D849" s="2" t="str">
        <f t="shared" si="83"/>
        <v>Y</v>
      </c>
      <c r="E849" s="2">
        <f t="shared" si="84"/>
        <v>0</v>
      </c>
      <c r="F849" s="2" t="str">
        <f t="shared" si="85"/>
        <v/>
      </c>
      <c r="H849" s="121" t="s">
        <v>846</v>
      </c>
      <c r="I849" s="92"/>
      <c r="J849" s="93"/>
      <c r="K849" s="93"/>
      <c r="L849" s="94"/>
      <c r="M849" s="100"/>
      <c r="N849" s="96"/>
      <c r="O849" s="97"/>
      <c r="P849" s="98"/>
      <c r="Q849" s="101"/>
      <c r="R849" s="78" t="str">
        <f t="shared" si="80"/>
        <v/>
      </c>
    </row>
    <row r="850" spans="2:18" x14ac:dyDescent="0.2">
      <c r="B850" s="2" t="str">
        <f t="shared" si="81"/>
        <v/>
      </c>
      <c r="C850" s="2" t="str">
        <f t="shared" si="82"/>
        <v/>
      </c>
      <c r="D850" s="2" t="str">
        <f t="shared" si="83"/>
        <v>Y</v>
      </c>
      <c r="E850" s="2">
        <f t="shared" si="84"/>
        <v>0</v>
      </c>
      <c r="F850" s="2" t="str">
        <f t="shared" si="85"/>
        <v/>
      </c>
      <c r="H850" s="121" t="s">
        <v>847</v>
      </c>
      <c r="I850" s="92"/>
      <c r="J850" s="93"/>
      <c r="K850" s="93"/>
      <c r="L850" s="94"/>
      <c r="M850" s="100"/>
      <c r="N850" s="96"/>
      <c r="O850" s="97"/>
      <c r="P850" s="98"/>
      <c r="Q850" s="101"/>
      <c r="R850" s="78" t="str">
        <f t="shared" si="80"/>
        <v/>
      </c>
    </row>
    <row r="851" spans="2:18" x14ac:dyDescent="0.2">
      <c r="B851" s="2" t="str">
        <f t="shared" si="81"/>
        <v/>
      </c>
      <c r="C851" s="2" t="str">
        <f t="shared" si="82"/>
        <v/>
      </c>
      <c r="D851" s="2" t="str">
        <f t="shared" si="83"/>
        <v>Y</v>
      </c>
      <c r="E851" s="2">
        <f t="shared" si="84"/>
        <v>0</v>
      </c>
      <c r="F851" s="2" t="str">
        <f t="shared" si="85"/>
        <v/>
      </c>
      <c r="H851" s="121" t="s">
        <v>848</v>
      </c>
      <c r="I851" s="92"/>
      <c r="J851" s="93"/>
      <c r="K851" s="93"/>
      <c r="L851" s="94"/>
      <c r="M851" s="100"/>
      <c r="N851" s="96"/>
      <c r="O851" s="97"/>
      <c r="P851" s="98"/>
      <c r="Q851" s="101"/>
      <c r="R851" s="78" t="str">
        <f t="shared" si="80"/>
        <v/>
      </c>
    </row>
    <row r="852" spans="2:18" x14ac:dyDescent="0.2">
      <c r="B852" s="2" t="str">
        <f t="shared" si="81"/>
        <v/>
      </c>
      <c r="C852" s="2" t="str">
        <f t="shared" si="82"/>
        <v/>
      </c>
      <c r="D852" s="2" t="str">
        <f t="shared" si="83"/>
        <v>Y</v>
      </c>
      <c r="E852" s="2">
        <f t="shared" si="84"/>
        <v>0</v>
      </c>
      <c r="F852" s="2" t="str">
        <f t="shared" si="85"/>
        <v/>
      </c>
      <c r="H852" s="121" t="s">
        <v>849</v>
      </c>
      <c r="I852" s="92"/>
      <c r="J852" s="93"/>
      <c r="K852" s="93"/>
      <c r="L852" s="94"/>
      <c r="M852" s="100"/>
      <c r="N852" s="96"/>
      <c r="O852" s="97"/>
      <c r="P852" s="98"/>
      <c r="Q852" s="101"/>
      <c r="R852" s="78" t="str">
        <f t="shared" si="80"/>
        <v/>
      </c>
    </row>
    <row r="853" spans="2:18" x14ac:dyDescent="0.2">
      <c r="B853" s="2" t="str">
        <f t="shared" si="81"/>
        <v/>
      </c>
      <c r="C853" s="2" t="str">
        <f t="shared" si="82"/>
        <v/>
      </c>
      <c r="D853" s="2" t="str">
        <f t="shared" si="83"/>
        <v>Y</v>
      </c>
      <c r="E853" s="2">
        <f t="shared" si="84"/>
        <v>0</v>
      </c>
      <c r="F853" s="2" t="str">
        <f t="shared" si="85"/>
        <v/>
      </c>
      <c r="H853" s="121" t="s">
        <v>850</v>
      </c>
      <c r="I853" s="92"/>
      <c r="J853" s="93"/>
      <c r="K853" s="93"/>
      <c r="L853" s="94"/>
      <c r="M853" s="100"/>
      <c r="N853" s="96"/>
      <c r="O853" s="97"/>
      <c r="P853" s="98"/>
      <c r="Q853" s="101"/>
      <c r="R853" s="78" t="str">
        <f t="shared" si="80"/>
        <v/>
      </c>
    </row>
    <row r="854" spans="2:18" x14ac:dyDescent="0.2">
      <c r="B854" s="2" t="str">
        <f t="shared" si="81"/>
        <v/>
      </c>
      <c r="C854" s="2" t="str">
        <f t="shared" si="82"/>
        <v/>
      </c>
      <c r="D854" s="2" t="str">
        <f t="shared" si="83"/>
        <v>Y</v>
      </c>
      <c r="E854" s="2">
        <f t="shared" si="84"/>
        <v>0</v>
      </c>
      <c r="F854" s="2" t="str">
        <f t="shared" si="85"/>
        <v/>
      </c>
      <c r="H854" s="121" t="s">
        <v>851</v>
      </c>
      <c r="I854" s="92"/>
      <c r="J854" s="93"/>
      <c r="K854" s="93"/>
      <c r="L854" s="94"/>
      <c r="M854" s="100"/>
      <c r="N854" s="96"/>
      <c r="O854" s="97"/>
      <c r="P854" s="98"/>
      <c r="Q854" s="101"/>
      <c r="R854" s="78" t="str">
        <f t="shared" si="80"/>
        <v/>
      </c>
    </row>
    <row r="855" spans="2:18" x14ac:dyDescent="0.2">
      <c r="B855" s="2" t="str">
        <f t="shared" si="81"/>
        <v/>
      </c>
      <c r="C855" s="2" t="str">
        <f t="shared" si="82"/>
        <v/>
      </c>
      <c r="D855" s="2" t="str">
        <f t="shared" si="83"/>
        <v>Y</v>
      </c>
      <c r="E855" s="2">
        <f t="shared" si="84"/>
        <v>0</v>
      </c>
      <c r="F855" s="2" t="str">
        <f t="shared" si="85"/>
        <v/>
      </c>
      <c r="H855" s="121" t="s">
        <v>852</v>
      </c>
      <c r="I855" s="92"/>
      <c r="J855" s="93"/>
      <c r="K855" s="93"/>
      <c r="L855" s="94"/>
      <c r="M855" s="100"/>
      <c r="N855" s="96"/>
      <c r="O855" s="97"/>
      <c r="P855" s="98"/>
      <c r="Q855" s="101"/>
      <c r="R855" s="78" t="str">
        <f t="shared" si="80"/>
        <v/>
      </c>
    </row>
    <row r="856" spans="2:18" x14ac:dyDescent="0.2">
      <c r="B856" s="2" t="str">
        <f t="shared" si="81"/>
        <v/>
      </c>
      <c r="C856" s="2" t="str">
        <f t="shared" si="82"/>
        <v/>
      </c>
      <c r="D856" s="2" t="str">
        <f t="shared" si="83"/>
        <v>Y</v>
      </c>
      <c r="E856" s="2">
        <f t="shared" si="84"/>
        <v>0</v>
      </c>
      <c r="F856" s="2" t="str">
        <f t="shared" si="85"/>
        <v/>
      </c>
      <c r="H856" s="121" t="s">
        <v>853</v>
      </c>
      <c r="I856" s="92"/>
      <c r="J856" s="93"/>
      <c r="K856" s="93"/>
      <c r="L856" s="94"/>
      <c r="M856" s="100"/>
      <c r="N856" s="96"/>
      <c r="O856" s="97"/>
      <c r="P856" s="98"/>
      <c r="Q856" s="101"/>
      <c r="R856" s="78" t="str">
        <f t="shared" si="80"/>
        <v/>
      </c>
    </row>
    <row r="857" spans="2:18" x14ac:dyDescent="0.2">
      <c r="B857" s="2" t="str">
        <f t="shared" si="81"/>
        <v/>
      </c>
      <c r="C857" s="2" t="str">
        <f t="shared" si="82"/>
        <v/>
      </c>
      <c r="D857" s="2" t="str">
        <f t="shared" si="83"/>
        <v>Y</v>
      </c>
      <c r="E857" s="2">
        <f t="shared" si="84"/>
        <v>0</v>
      </c>
      <c r="F857" s="2" t="str">
        <f t="shared" si="85"/>
        <v/>
      </c>
      <c r="H857" s="121" t="s">
        <v>854</v>
      </c>
      <c r="I857" s="92"/>
      <c r="J857" s="93"/>
      <c r="K857" s="93"/>
      <c r="L857" s="94"/>
      <c r="M857" s="100"/>
      <c r="N857" s="96"/>
      <c r="O857" s="97"/>
      <c r="P857" s="98"/>
      <c r="Q857" s="101"/>
      <c r="R857" s="78" t="str">
        <f t="shared" si="80"/>
        <v/>
      </c>
    </row>
    <row r="858" spans="2:18" x14ac:dyDescent="0.2">
      <c r="B858" s="2" t="str">
        <f t="shared" si="81"/>
        <v/>
      </c>
      <c r="C858" s="2" t="str">
        <f t="shared" si="82"/>
        <v/>
      </c>
      <c r="D858" s="2" t="str">
        <f t="shared" si="83"/>
        <v>Y</v>
      </c>
      <c r="E858" s="2">
        <f t="shared" si="84"/>
        <v>0</v>
      </c>
      <c r="F858" s="2" t="str">
        <f t="shared" si="85"/>
        <v/>
      </c>
      <c r="H858" s="121" t="s">
        <v>855</v>
      </c>
      <c r="I858" s="92"/>
      <c r="J858" s="93"/>
      <c r="K858" s="93"/>
      <c r="L858" s="94"/>
      <c r="M858" s="100"/>
      <c r="N858" s="96"/>
      <c r="O858" s="97"/>
      <c r="P858" s="98"/>
      <c r="Q858" s="101"/>
      <c r="R858" s="78" t="str">
        <f t="shared" si="80"/>
        <v/>
      </c>
    </row>
    <row r="859" spans="2:18" x14ac:dyDescent="0.2">
      <c r="B859" s="2" t="str">
        <f t="shared" si="81"/>
        <v/>
      </c>
      <c r="C859" s="2" t="str">
        <f t="shared" si="82"/>
        <v/>
      </c>
      <c r="D859" s="2" t="str">
        <f t="shared" si="83"/>
        <v>Y</v>
      </c>
      <c r="E859" s="2">
        <f t="shared" si="84"/>
        <v>0</v>
      </c>
      <c r="F859" s="2" t="str">
        <f t="shared" si="85"/>
        <v/>
      </c>
      <c r="H859" s="121" t="s">
        <v>856</v>
      </c>
      <c r="I859" s="92"/>
      <c r="J859" s="93"/>
      <c r="K859" s="93"/>
      <c r="L859" s="94"/>
      <c r="M859" s="100"/>
      <c r="N859" s="96"/>
      <c r="O859" s="97"/>
      <c r="P859" s="98"/>
      <c r="Q859" s="101"/>
      <c r="R859" s="78" t="str">
        <f t="shared" si="80"/>
        <v/>
      </c>
    </row>
    <row r="860" spans="2:18" x14ac:dyDescent="0.2">
      <c r="B860" s="2" t="str">
        <f t="shared" si="81"/>
        <v/>
      </c>
      <c r="C860" s="2" t="str">
        <f t="shared" si="82"/>
        <v/>
      </c>
      <c r="D860" s="2" t="str">
        <f t="shared" si="83"/>
        <v>Y</v>
      </c>
      <c r="E860" s="2">
        <f t="shared" si="84"/>
        <v>0</v>
      </c>
      <c r="F860" s="2" t="str">
        <f t="shared" si="85"/>
        <v/>
      </c>
      <c r="H860" s="121" t="s">
        <v>857</v>
      </c>
      <c r="I860" s="92"/>
      <c r="J860" s="93"/>
      <c r="K860" s="93"/>
      <c r="L860" s="94"/>
      <c r="M860" s="100"/>
      <c r="N860" s="96"/>
      <c r="O860" s="97"/>
      <c r="P860" s="98"/>
      <c r="Q860" s="101"/>
      <c r="R860" s="78" t="str">
        <f t="shared" si="80"/>
        <v/>
      </c>
    </row>
    <row r="861" spans="2:18" x14ac:dyDescent="0.2">
      <c r="B861" s="2" t="str">
        <f t="shared" si="81"/>
        <v/>
      </c>
      <c r="C861" s="2" t="str">
        <f t="shared" si="82"/>
        <v/>
      </c>
      <c r="D861" s="2" t="str">
        <f t="shared" si="83"/>
        <v>Y</v>
      </c>
      <c r="E861" s="2">
        <f t="shared" si="84"/>
        <v>0</v>
      </c>
      <c r="F861" s="2" t="str">
        <f t="shared" si="85"/>
        <v/>
      </c>
      <c r="H861" s="121" t="s">
        <v>858</v>
      </c>
      <c r="I861" s="92"/>
      <c r="J861" s="93"/>
      <c r="K861" s="93"/>
      <c r="L861" s="94"/>
      <c r="M861" s="100"/>
      <c r="N861" s="96"/>
      <c r="O861" s="97"/>
      <c r="P861" s="98"/>
      <c r="Q861" s="101"/>
      <c r="R861" s="78" t="str">
        <f t="shared" si="80"/>
        <v/>
      </c>
    </row>
    <row r="862" spans="2:18" x14ac:dyDescent="0.2">
      <c r="B862" s="2" t="str">
        <f t="shared" si="81"/>
        <v/>
      </c>
      <c r="C862" s="2" t="str">
        <f t="shared" si="82"/>
        <v/>
      </c>
      <c r="D862" s="2" t="str">
        <f t="shared" si="83"/>
        <v>Y</v>
      </c>
      <c r="E862" s="2">
        <f t="shared" si="84"/>
        <v>0</v>
      </c>
      <c r="F862" s="2" t="str">
        <f t="shared" si="85"/>
        <v/>
      </c>
      <c r="H862" s="121" t="s">
        <v>859</v>
      </c>
      <c r="I862" s="92"/>
      <c r="J862" s="93"/>
      <c r="K862" s="93"/>
      <c r="L862" s="94"/>
      <c r="M862" s="100"/>
      <c r="N862" s="96"/>
      <c r="O862" s="97"/>
      <c r="P862" s="98"/>
      <c r="Q862" s="101"/>
      <c r="R862" s="78" t="str">
        <f t="shared" si="80"/>
        <v/>
      </c>
    </row>
    <row r="863" spans="2:18" x14ac:dyDescent="0.2">
      <c r="B863" s="2" t="str">
        <f t="shared" si="81"/>
        <v/>
      </c>
      <c r="C863" s="2" t="str">
        <f t="shared" si="82"/>
        <v/>
      </c>
      <c r="D863" s="2" t="str">
        <f t="shared" si="83"/>
        <v>Y</v>
      </c>
      <c r="E863" s="2">
        <f t="shared" si="84"/>
        <v>0</v>
      </c>
      <c r="F863" s="2" t="str">
        <f t="shared" si="85"/>
        <v/>
      </c>
      <c r="H863" s="121" t="s">
        <v>860</v>
      </c>
      <c r="I863" s="92"/>
      <c r="J863" s="93"/>
      <c r="K863" s="93"/>
      <c r="L863" s="94"/>
      <c r="M863" s="100"/>
      <c r="N863" s="96"/>
      <c r="O863" s="97"/>
      <c r="P863" s="98"/>
      <c r="Q863" s="101"/>
      <c r="R863" s="78" t="str">
        <f t="shared" si="80"/>
        <v/>
      </c>
    </row>
    <row r="864" spans="2:18" x14ac:dyDescent="0.2">
      <c r="B864" s="2" t="str">
        <f t="shared" si="81"/>
        <v/>
      </c>
      <c r="C864" s="2" t="str">
        <f t="shared" si="82"/>
        <v/>
      </c>
      <c r="D864" s="2" t="str">
        <f t="shared" si="83"/>
        <v>Y</v>
      </c>
      <c r="E864" s="2">
        <f t="shared" si="84"/>
        <v>0</v>
      </c>
      <c r="F864" s="2" t="str">
        <f t="shared" si="85"/>
        <v/>
      </c>
      <c r="H864" s="121" t="s">
        <v>861</v>
      </c>
      <c r="I864" s="92"/>
      <c r="J864" s="93"/>
      <c r="K864" s="93"/>
      <c r="L864" s="94"/>
      <c r="M864" s="100"/>
      <c r="N864" s="96"/>
      <c r="O864" s="97"/>
      <c r="P864" s="98"/>
      <c r="Q864" s="101"/>
      <c r="R864" s="78" t="str">
        <f t="shared" si="80"/>
        <v/>
      </c>
    </row>
    <row r="865" spans="2:18" x14ac:dyDescent="0.2">
      <c r="B865" s="2" t="str">
        <f t="shared" si="81"/>
        <v/>
      </c>
      <c r="C865" s="2" t="str">
        <f t="shared" si="82"/>
        <v/>
      </c>
      <c r="D865" s="2" t="str">
        <f t="shared" si="83"/>
        <v>Y</v>
      </c>
      <c r="E865" s="2">
        <f t="shared" si="84"/>
        <v>0</v>
      </c>
      <c r="F865" s="2" t="str">
        <f t="shared" si="85"/>
        <v/>
      </c>
      <c r="H865" s="121" t="s">
        <v>862</v>
      </c>
      <c r="I865" s="92"/>
      <c r="J865" s="93"/>
      <c r="K865" s="93"/>
      <c r="L865" s="94"/>
      <c r="M865" s="100"/>
      <c r="N865" s="96"/>
      <c r="O865" s="97"/>
      <c r="P865" s="98"/>
      <c r="Q865" s="101"/>
      <c r="R865" s="78" t="str">
        <f t="shared" si="80"/>
        <v/>
      </c>
    </row>
    <row r="866" spans="2:18" x14ac:dyDescent="0.2">
      <c r="B866" s="2" t="str">
        <f t="shared" si="81"/>
        <v/>
      </c>
      <c r="C866" s="2" t="str">
        <f t="shared" si="82"/>
        <v/>
      </c>
      <c r="D866" s="2" t="str">
        <f t="shared" si="83"/>
        <v>Y</v>
      </c>
      <c r="E866" s="2">
        <f t="shared" si="84"/>
        <v>0</v>
      </c>
      <c r="F866" s="2" t="str">
        <f t="shared" si="85"/>
        <v/>
      </c>
      <c r="H866" s="121" t="s">
        <v>863</v>
      </c>
      <c r="I866" s="92"/>
      <c r="J866" s="93"/>
      <c r="K866" s="93"/>
      <c r="L866" s="94"/>
      <c r="M866" s="100"/>
      <c r="N866" s="96"/>
      <c r="O866" s="97"/>
      <c r="P866" s="98"/>
      <c r="Q866" s="101"/>
      <c r="R866" s="78" t="str">
        <f t="shared" si="80"/>
        <v/>
      </c>
    </row>
    <row r="867" spans="2:18" x14ac:dyDescent="0.2">
      <c r="B867" s="2" t="str">
        <f t="shared" si="81"/>
        <v/>
      </c>
      <c r="C867" s="2" t="str">
        <f t="shared" si="82"/>
        <v/>
      </c>
      <c r="D867" s="2" t="str">
        <f t="shared" si="83"/>
        <v>Y</v>
      </c>
      <c r="E867" s="2">
        <f t="shared" si="84"/>
        <v>0</v>
      </c>
      <c r="F867" s="2" t="str">
        <f t="shared" si="85"/>
        <v/>
      </c>
      <c r="H867" s="121" t="s">
        <v>864</v>
      </c>
      <c r="I867" s="92"/>
      <c r="J867" s="93"/>
      <c r="K867" s="93"/>
      <c r="L867" s="94"/>
      <c r="M867" s="100"/>
      <c r="N867" s="96"/>
      <c r="O867" s="97"/>
      <c r="P867" s="98"/>
      <c r="Q867" s="101"/>
      <c r="R867" s="78" t="str">
        <f t="shared" si="80"/>
        <v/>
      </c>
    </row>
    <row r="868" spans="2:18" x14ac:dyDescent="0.2">
      <c r="B868" s="2" t="str">
        <f t="shared" si="81"/>
        <v/>
      </c>
      <c r="C868" s="2" t="str">
        <f t="shared" si="82"/>
        <v/>
      </c>
      <c r="D868" s="2" t="str">
        <f t="shared" si="83"/>
        <v>Y</v>
      </c>
      <c r="E868" s="2">
        <f t="shared" si="84"/>
        <v>0</v>
      </c>
      <c r="F868" s="2" t="str">
        <f t="shared" si="85"/>
        <v/>
      </c>
      <c r="H868" s="121" t="s">
        <v>865</v>
      </c>
      <c r="I868" s="92"/>
      <c r="J868" s="93"/>
      <c r="K868" s="93"/>
      <c r="L868" s="94"/>
      <c r="M868" s="100"/>
      <c r="N868" s="96"/>
      <c r="O868" s="97"/>
      <c r="P868" s="98"/>
      <c r="Q868" s="101"/>
      <c r="R868" s="78" t="str">
        <f t="shared" si="80"/>
        <v/>
      </c>
    </row>
    <row r="869" spans="2:18" x14ac:dyDescent="0.2">
      <c r="B869" s="2" t="str">
        <f t="shared" si="81"/>
        <v/>
      </c>
      <c r="C869" s="2" t="str">
        <f t="shared" si="82"/>
        <v/>
      </c>
      <c r="D869" s="2" t="str">
        <f t="shared" si="83"/>
        <v>Y</v>
      </c>
      <c r="E869" s="2">
        <f t="shared" si="84"/>
        <v>0</v>
      </c>
      <c r="F869" s="2" t="str">
        <f t="shared" si="85"/>
        <v/>
      </c>
      <c r="H869" s="121" t="s">
        <v>866</v>
      </c>
      <c r="I869" s="92"/>
      <c r="J869" s="93"/>
      <c r="K869" s="93"/>
      <c r="L869" s="94"/>
      <c r="M869" s="100"/>
      <c r="N869" s="96"/>
      <c r="O869" s="97"/>
      <c r="P869" s="98"/>
      <c r="Q869" s="101"/>
      <c r="R869" s="78" t="str">
        <f t="shared" si="80"/>
        <v/>
      </c>
    </row>
    <row r="870" spans="2:18" x14ac:dyDescent="0.2">
      <c r="B870" s="2" t="str">
        <f t="shared" si="81"/>
        <v/>
      </c>
      <c r="C870" s="2" t="str">
        <f t="shared" si="82"/>
        <v/>
      </c>
      <c r="D870" s="2" t="str">
        <f t="shared" si="83"/>
        <v>Y</v>
      </c>
      <c r="E870" s="2">
        <f t="shared" si="84"/>
        <v>0</v>
      </c>
      <c r="F870" s="2" t="str">
        <f t="shared" si="85"/>
        <v/>
      </c>
      <c r="H870" s="121" t="s">
        <v>867</v>
      </c>
      <c r="I870" s="92"/>
      <c r="J870" s="93"/>
      <c r="K870" s="93"/>
      <c r="L870" s="94"/>
      <c r="M870" s="100"/>
      <c r="N870" s="96"/>
      <c r="O870" s="97"/>
      <c r="P870" s="98"/>
      <c r="Q870" s="101"/>
      <c r="R870" s="78" t="str">
        <f t="shared" si="80"/>
        <v/>
      </c>
    </row>
    <row r="871" spans="2:18" x14ac:dyDescent="0.2">
      <c r="B871" s="2" t="str">
        <f t="shared" si="81"/>
        <v/>
      </c>
      <c r="C871" s="2" t="str">
        <f t="shared" si="82"/>
        <v/>
      </c>
      <c r="D871" s="2" t="str">
        <f t="shared" si="83"/>
        <v>Y</v>
      </c>
      <c r="E871" s="2">
        <f t="shared" si="84"/>
        <v>0</v>
      </c>
      <c r="F871" s="2" t="str">
        <f t="shared" si="85"/>
        <v/>
      </c>
      <c r="H871" s="121" t="s">
        <v>868</v>
      </c>
      <c r="I871" s="92"/>
      <c r="J871" s="93"/>
      <c r="K871" s="93"/>
      <c r="L871" s="94"/>
      <c r="M871" s="100"/>
      <c r="N871" s="96"/>
      <c r="O871" s="97"/>
      <c r="P871" s="98"/>
      <c r="Q871" s="101"/>
      <c r="R871" s="78" t="str">
        <f t="shared" si="80"/>
        <v/>
      </c>
    </row>
    <row r="872" spans="2:18" x14ac:dyDescent="0.2">
      <c r="B872" s="2" t="str">
        <f t="shared" si="81"/>
        <v/>
      </c>
      <c r="C872" s="2" t="str">
        <f t="shared" si="82"/>
        <v/>
      </c>
      <c r="D872" s="2" t="str">
        <f t="shared" si="83"/>
        <v>Y</v>
      </c>
      <c r="E872" s="2">
        <f t="shared" si="84"/>
        <v>0</v>
      </c>
      <c r="F872" s="2" t="str">
        <f t="shared" si="85"/>
        <v/>
      </c>
      <c r="H872" s="121" t="s">
        <v>869</v>
      </c>
      <c r="I872" s="92"/>
      <c r="J872" s="93"/>
      <c r="K872" s="93"/>
      <c r="L872" s="94"/>
      <c r="M872" s="100"/>
      <c r="N872" s="96"/>
      <c r="O872" s="97"/>
      <c r="P872" s="98"/>
      <c r="Q872" s="101"/>
      <c r="R872" s="78" t="str">
        <f t="shared" si="80"/>
        <v/>
      </c>
    </row>
    <row r="873" spans="2:18" x14ac:dyDescent="0.2">
      <c r="B873" s="2" t="str">
        <f t="shared" si="81"/>
        <v/>
      </c>
      <c r="C873" s="2" t="str">
        <f t="shared" si="82"/>
        <v/>
      </c>
      <c r="D873" s="2" t="str">
        <f t="shared" si="83"/>
        <v>Y</v>
      </c>
      <c r="E873" s="2">
        <f t="shared" si="84"/>
        <v>0</v>
      </c>
      <c r="F873" s="2" t="str">
        <f t="shared" si="85"/>
        <v/>
      </c>
      <c r="H873" s="121" t="s">
        <v>870</v>
      </c>
      <c r="I873" s="92"/>
      <c r="J873" s="93"/>
      <c r="K873" s="93"/>
      <c r="L873" s="94"/>
      <c r="M873" s="100"/>
      <c r="N873" s="96"/>
      <c r="O873" s="97"/>
      <c r="P873" s="98"/>
      <c r="Q873" s="101"/>
      <c r="R873" s="78" t="str">
        <f t="shared" si="80"/>
        <v/>
      </c>
    </row>
    <row r="874" spans="2:18" x14ac:dyDescent="0.2">
      <c r="B874" s="2" t="str">
        <f t="shared" si="81"/>
        <v/>
      </c>
      <c r="C874" s="2" t="str">
        <f t="shared" si="82"/>
        <v/>
      </c>
      <c r="D874" s="2" t="str">
        <f t="shared" si="83"/>
        <v>Y</v>
      </c>
      <c r="E874" s="2">
        <f t="shared" si="84"/>
        <v>0</v>
      </c>
      <c r="F874" s="2" t="str">
        <f t="shared" si="85"/>
        <v/>
      </c>
      <c r="H874" s="121" t="s">
        <v>871</v>
      </c>
      <c r="I874" s="92"/>
      <c r="J874" s="93"/>
      <c r="K874" s="93"/>
      <c r="L874" s="94"/>
      <c r="M874" s="100"/>
      <c r="N874" s="96"/>
      <c r="O874" s="97"/>
      <c r="P874" s="98"/>
      <c r="Q874" s="101"/>
      <c r="R874" s="78" t="str">
        <f t="shared" si="80"/>
        <v/>
      </c>
    </row>
    <row r="875" spans="2:18" x14ac:dyDescent="0.2">
      <c r="B875" s="2" t="str">
        <f t="shared" si="81"/>
        <v/>
      </c>
      <c r="C875" s="2" t="str">
        <f t="shared" si="82"/>
        <v/>
      </c>
      <c r="D875" s="2" t="str">
        <f t="shared" si="83"/>
        <v>Y</v>
      </c>
      <c r="E875" s="2">
        <f t="shared" si="84"/>
        <v>0</v>
      </c>
      <c r="F875" s="2" t="str">
        <f t="shared" si="85"/>
        <v/>
      </c>
      <c r="H875" s="121" t="s">
        <v>872</v>
      </c>
      <c r="I875" s="92"/>
      <c r="J875" s="93"/>
      <c r="K875" s="93"/>
      <c r="L875" s="94"/>
      <c r="M875" s="100"/>
      <c r="N875" s="96"/>
      <c r="O875" s="97"/>
      <c r="P875" s="98"/>
      <c r="Q875" s="101"/>
      <c r="R875" s="78" t="str">
        <f t="shared" si="80"/>
        <v/>
      </c>
    </row>
    <row r="876" spans="2:18" x14ac:dyDescent="0.2">
      <c r="B876" s="2" t="str">
        <f t="shared" si="81"/>
        <v/>
      </c>
      <c r="C876" s="2" t="str">
        <f t="shared" si="82"/>
        <v/>
      </c>
      <c r="D876" s="2" t="str">
        <f t="shared" si="83"/>
        <v>Y</v>
      </c>
      <c r="E876" s="2">
        <f t="shared" si="84"/>
        <v>0</v>
      </c>
      <c r="F876" s="2" t="str">
        <f t="shared" si="85"/>
        <v/>
      </c>
      <c r="H876" s="121" t="s">
        <v>873</v>
      </c>
      <c r="I876" s="92"/>
      <c r="J876" s="93"/>
      <c r="K876" s="93"/>
      <c r="L876" s="94"/>
      <c r="M876" s="100"/>
      <c r="N876" s="96"/>
      <c r="O876" s="97"/>
      <c r="P876" s="98"/>
      <c r="Q876" s="101"/>
      <c r="R876" s="78" t="str">
        <f t="shared" si="80"/>
        <v/>
      </c>
    </row>
    <row r="877" spans="2:18" x14ac:dyDescent="0.2">
      <c r="B877" s="2" t="str">
        <f t="shared" si="81"/>
        <v/>
      </c>
      <c r="C877" s="2" t="str">
        <f t="shared" si="82"/>
        <v/>
      </c>
      <c r="D877" s="2" t="str">
        <f t="shared" si="83"/>
        <v>Y</v>
      </c>
      <c r="E877" s="2">
        <f t="shared" si="84"/>
        <v>0</v>
      </c>
      <c r="F877" s="2" t="str">
        <f t="shared" si="85"/>
        <v/>
      </c>
      <c r="H877" s="121" t="s">
        <v>874</v>
      </c>
      <c r="I877" s="92"/>
      <c r="J877" s="93"/>
      <c r="K877" s="93"/>
      <c r="L877" s="94"/>
      <c r="M877" s="100"/>
      <c r="N877" s="96"/>
      <c r="O877" s="97"/>
      <c r="P877" s="98"/>
      <c r="Q877" s="101"/>
      <c r="R877" s="78" t="str">
        <f t="shared" si="80"/>
        <v/>
      </c>
    </row>
    <row r="878" spans="2:18" x14ac:dyDescent="0.2">
      <c r="B878" s="2" t="str">
        <f t="shared" si="81"/>
        <v/>
      </c>
      <c r="C878" s="2" t="str">
        <f t="shared" si="82"/>
        <v/>
      </c>
      <c r="D878" s="2" t="str">
        <f t="shared" si="83"/>
        <v>Y</v>
      </c>
      <c r="E878" s="2">
        <f t="shared" si="84"/>
        <v>0</v>
      </c>
      <c r="F878" s="2" t="str">
        <f t="shared" si="85"/>
        <v/>
      </c>
      <c r="H878" s="121" t="s">
        <v>875</v>
      </c>
      <c r="I878" s="92"/>
      <c r="J878" s="93"/>
      <c r="K878" s="93"/>
      <c r="L878" s="94"/>
      <c r="M878" s="100"/>
      <c r="N878" s="96"/>
      <c r="O878" s="97"/>
      <c r="P878" s="98"/>
      <c r="Q878" s="101"/>
      <c r="R878" s="78" t="str">
        <f t="shared" si="80"/>
        <v/>
      </c>
    </row>
    <row r="879" spans="2:18" x14ac:dyDescent="0.2">
      <c r="B879" s="2" t="str">
        <f t="shared" si="81"/>
        <v/>
      </c>
      <c r="C879" s="2" t="str">
        <f t="shared" si="82"/>
        <v/>
      </c>
      <c r="D879" s="2" t="str">
        <f t="shared" si="83"/>
        <v>Y</v>
      </c>
      <c r="E879" s="2">
        <f t="shared" si="84"/>
        <v>0</v>
      </c>
      <c r="F879" s="2" t="str">
        <f t="shared" si="85"/>
        <v/>
      </c>
      <c r="H879" s="121" t="s">
        <v>876</v>
      </c>
      <c r="I879" s="92"/>
      <c r="J879" s="93"/>
      <c r="K879" s="93"/>
      <c r="L879" s="94"/>
      <c r="M879" s="100"/>
      <c r="N879" s="96"/>
      <c r="O879" s="97"/>
      <c r="P879" s="98"/>
      <c r="Q879" s="101"/>
      <c r="R879" s="78" t="str">
        <f t="shared" si="80"/>
        <v/>
      </c>
    </row>
    <row r="880" spans="2:18" x14ac:dyDescent="0.2">
      <c r="B880" s="2" t="str">
        <f t="shared" si="81"/>
        <v/>
      </c>
      <c r="C880" s="2" t="str">
        <f t="shared" si="82"/>
        <v/>
      </c>
      <c r="D880" s="2" t="str">
        <f t="shared" si="83"/>
        <v>Y</v>
      </c>
      <c r="E880" s="2">
        <f t="shared" si="84"/>
        <v>0</v>
      </c>
      <c r="F880" s="2" t="str">
        <f t="shared" si="85"/>
        <v/>
      </c>
      <c r="H880" s="121" t="s">
        <v>877</v>
      </c>
      <c r="I880" s="92"/>
      <c r="J880" s="93"/>
      <c r="K880" s="93"/>
      <c r="L880" s="94"/>
      <c r="M880" s="100"/>
      <c r="N880" s="96"/>
      <c r="O880" s="97"/>
      <c r="P880" s="98"/>
      <c r="Q880" s="101"/>
      <c r="R880" s="78" t="str">
        <f t="shared" si="80"/>
        <v/>
      </c>
    </row>
    <row r="881" spans="2:18" x14ac:dyDescent="0.2">
      <c r="B881" s="2" t="str">
        <f t="shared" si="81"/>
        <v/>
      </c>
      <c r="C881" s="2" t="str">
        <f t="shared" si="82"/>
        <v/>
      </c>
      <c r="D881" s="2" t="str">
        <f t="shared" si="83"/>
        <v>Y</v>
      </c>
      <c r="E881" s="2">
        <f t="shared" si="84"/>
        <v>0</v>
      </c>
      <c r="F881" s="2" t="str">
        <f t="shared" si="85"/>
        <v/>
      </c>
      <c r="H881" s="121" t="s">
        <v>878</v>
      </c>
      <c r="I881" s="92"/>
      <c r="J881" s="93"/>
      <c r="K881" s="93"/>
      <c r="L881" s="94"/>
      <c r="M881" s="100"/>
      <c r="N881" s="96"/>
      <c r="O881" s="97"/>
      <c r="P881" s="98"/>
      <c r="Q881" s="101"/>
      <c r="R881" s="78" t="str">
        <f t="shared" si="80"/>
        <v/>
      </c>
    </row>
    <row r="882" spans="2:18" x14ac:dyDescent="0.2">
      <c r="B882" s="2" t="str">
        <f t="shared" si="81"/>
        <v/>
      </c>
      <c r="C882" s="2" t="str">
        <f t="shared" si="82"/>
        <v/>
      </c>
      <c r="D882" s="2" t="str">
        <f t="shared" si="83"/>
        <v>Y</v>
      </c>
      <c r="E882" s="2">
        <f t="shared" si="84"/>
        <v>0</v>
      </c>
      <c r="F882" s="2" t="str">
        <f t="shared" si="85"/>
        <v/>
      </c>
      <c r="H882" s="121" t="s">
        <v>879</v>
      </c>
      <c r="I882" s="92"/>
      <c r="J882" s="93"/>
      <c r="K882" s="93"/>
      <c r="L882" s="94"/>
      <c r="M882" s="100"/>
      <c r="N882" s="96"/>
      <c r="O882" s="97"/>
      <c r="P882" s="98"/>
      <c r="Q882" s="101"/>
      <c r="R882" s="78" t="str">
        <f t="shared" si="80"/>
        <v/>
      </c>
    </row>
    <row r="883" spans="2:18" x14ac:dyDescent="0.2">
      <c r="B883" s="2" t="str">
        <f t="shared" si="81"/>
        <v/>
      </c>
      <c r="C883" s="2" t="str">
        <f t="shared" si="82"/>
        <v/>
      </c>
      <c r="D883" s="2" t="str">
        <f t="shared" si="83"/>
        <v>Y</v>
      </c>
      <c r="E883" s="2">
        <f t="shared" si="84"/>
        <v>0</v>
      </c>
      <c r="F883" s="2" t="str">
        <f t="shared" si="85"/>
        <v/>
      </c>
      <c r="H883" s="121" t="s">
        <v>880</v>
      </c>
      <c r="I883" s="92"/>
      <c r="J883" s="93"/>
      <c r="K883" s="93"/>
      <c r="L883" s="94"/>
      <c r="M883" s="100"/>
      <c r="N883" s="96"/>
      <c r="O883" s="97"/>
      <c r="P883" s="98"/>
      <c r="Q883" s="101"/>
      <c r="R883" s="78" t="str">
        <f t="shared" si="80"/>
        <v/>
      </c>
    </row>
    <row r="884" spans="2:18" x14ac:dyDescent="0.2">
      <c r="B884" s="2" t="str">
        <f t="shared" si="81"/>
        <v/>
      </c>
      <c r="C884" s="2" t="str">
        <f t="shared" si="82"/>
        <v/>
      </c>
      <c r="D884" s="2" t="str">
        <f t="shared" si="83"/>
        <v>Y</v>
      </c>
      <c r="E884" s="2">
        <f t="shared" si="84"/>
        <v>0</v>
      </c>
      <c r="F884" s="2" t="str">
        <f t="shared" si="85"/>
        <v/>
      </c>
      <c r="H884" s="121" t="s">
        <v>881</v>
      </c>
      <c r="I884" s="92"/>
      <c r="J884" s="93"/>
      <c r="K884" s="93"/>
      <c r="L884" s="94"/>
      <c r="M884" s="100"/>
      <c r="N884" s="96"/>
      <c r="O884" s="97"/>
      <c r="P884" s="98"/>
      <c r="Q884" s="101"/>
      <c r="R884" s="78" t="str">
        <f t="shared" si="80"/>
        <v/>
      </c>
    </row>
    <row r="885" spans="2:18" x14ac:dyDescent="0.2">
      <c r="B885" s="2" t="str">
        <f t="shared" si="81"/>
        <v/>
      </c>
      <c r="C885" s="2" t="str">
        <f t="shared" si="82"/>
        <v/>
      </c>
      <c r="D885" s="2" t="str">
        <f t="shared" si="83"/>
        <v>Y</v>
      </c>
      <c r="E885" s="2">
        <f t="shared" si="84"/>
        <v>0</v>
      </c>
      <c r="F885" s="2" t="str">
        <f t="shared" si="85"/>
        <v/>
      </c>
      <c r="H885" s="121" t="s">
        <v>882</v>
      </c>
      <c r="I885" s="92"/>
      <c r="J885" s="93"/>
      <c r="K885" s="93"/>
      <c r="L885" s="94"/>
      <c r="M885" s="100"/>
      <c r="N885" s="96"/>
      <c r="O885" s="97"/>
      <c r="P885" s="98"/>
      <c r="Q885" s="101"/>
      <c r="R885" s="78" t="str">
        <f t="shared" si="80"/>
        <v/>
      </c>
    </row>
    <row r="886" spans="2:18" x14ac:dyDescent="0.2">
      <c r="B886" s="2" t="str">
        <f t="shared" si="81"/>
        <v/>
      </c>
      <c r="C886" s="2" t="str">
        <f t="shared" si="82"/>
        <v/>
      </c>
      <c r="D886" s="2" t="str">
        <f t="shared" si="83"/>
        <v>Y</v>
      </c>
      <c r="E886" s="2">
        <f t="shared" si="84"/>
        <v>0</v>
      </c>
      <c r="F886" s="2" t="str">
        <f t="shared" si="85"/>
        <v/>
      </c>
      <c r="H886" s="121" t="s">
        <v>883</v>
      </c>
      <c r="I886" s="92"/>
      <c r="J886" s="93"/>
      <c r="K886" s="93"/>
      <c r="L886" s="94"/>
      <c r="M886" s="100"/>
      <c r="N886" s="96"/>
      <c r="O886" s="97"/>
      <c r="P886" s="98"/>
      <c r="Q886" s="101"/>
      <c r="R886" s="78" t="str">
        <f t="shared" si="80"/>
        <v/>
      </c>
    </row>
    <row r="887" spans="2:18" x14ac:dyDescent="0.2">
      <c r="B887" s="2" t="str">
        <f t="shared" si="81"/>
        <v/>
      </c>
      <c r="C887" s="2" t="str">
        <f t="shared" si="82"/>
        <v/>
      </c>
      <c r="D887" s="2" t="str">
        <f t="shared" si="83"/>
        <v>Y</v>
      </c>
      <c r="E887" s="2">
        <f t="shared" si="84"/>
        <v>0</v>
      </c>
      <c r="F887" s="2" t="str">
        <f t="shared" si="85"/>
        <v/>
      </c>
      <c r="H887" s="121" t="s">
        <v>884</v>
      </c>
      <c r="I887" s="92"/>
      <c r="J887" s="93"/>
      <c r="K887" s="93"/>
      <c r="L887" s="94"/>
      <c r="M887" s="100"/>
      <c r="N887" s="96"/>
      <c r="O887" s="97"/>
      <c r="P887" s="98"/>
      <c r="Q887" s="101"/>
      <c r="R887" s="78" t="str">
        <f t="shared" si="80"/>
        <v/>
      </c>
    </row>
    <row r="888" spans="2:18" x14ac:dyDescent="0.2">
      <c r="B888" s="2" t="str">
        <f t="shared" si="81"/>
        <v/>
      </c>
      <c r="C888" s="2" t="str">
        <f t="shared" si="82"/>
        <v/>
      </c>
      <c r="D888" s="2" t="str">
        <f t="shared" si="83"/>
        <v>Y</v>
      </c>
      <c r="E888" s="2">
        <f t="shared" si="84"/>
        <v>0</v>
      </c>
      <c r="F888" s="2" t="str">
        <f t="shared" si="85"/>
        <v/>
      </c>
      <c r="H888" s="121" t="s">
        <v>885</v>
      </c>
      <c r="I888" s="92"/>
      <c r="J888" s="93"/>
      <c r="K888" s="93"/>
      <c r="L888" s="94"/>
      <c r="M888" s="100"/>
      <c r="N888" s="96"/>
      <c r="O888" s="97"/>
      <c r="P888" s="98"/>
      <c r="Q888" s="101"/>
      <c r="R888" s="78" t="str">
        <f t="shared" si="80"/>
        <v/>
      </c>
    </row>
    <row r="889" spans="2:18" x14ac:dyDescent="0.2">
      <c r="B889" s="2" t="str">
        <f t="shared" si="81"/>
        <v/>
      </c>
      <c r="C889" s="2" t="str">
        <f t="shared" si="82"/>
        <v/>
      </c>
      <c r="D889" s="2" t="str">
        <f t="shared" si="83"/>
        <v>Y</v>
      </c>
      <c r="E889" s="2">
        <f t="shared" si="84"/>
        <v>0</v>
      </c>
      <c r="F889" s="2" t="str">
        <f t="shared" si="85"/>
        <v/>
      </c>
      <c r="H889" s="121" t="s">
        <v>886</v>
      </c>
      <c r="I889" s="92"/>
      <c r="J889" s="93"/>
      <c r="K889" s="93"/>
      <c r="L889" s="94"/>
      <c r="M889" s="100"/>
      <c r="N889" s="96"/>
      <c r="O889" s="97"/>
      <c r="P889" s="98"/>
      <c r="Q889" s="101"/>
      <c r="R889" s="78" t="str">
        <f t="shared" si="80"/>
        <v/>
      </c>
    </row>
    <row r="890" spans="2:18" x14ac:dyDescent="0.2">
      <c r="B890" s="2" t="str">
        <f t="shared" si="81"/>
        <v/>
      </c>
      <c r="C890" s="2" t="str">
        <f t="shared" si="82"/>
        <v/>
      </c>
      <c r="D890" s="2" t="str">
        <f t="shared" si="83"/>
        <v>Y</v>
      </c>
      <c r="E890" s="2">
        <f t="shared" si="84"/>
        <v>0</v>
      </c>
      <c r="F890" s="2" t="str">
        <f t="shared" si="85"/>
        <v/>
      </c>
      <c r="H890" s="121" t="s">
        <v>887</v>
      </c>
      <c r="I890" s="92"/>
      <c r="J890" s="93"/>
      <c r="K890" s="93"/>
      <c r="L890" s="94"/>
      <c r="M890" s="100"/>
      <c r="N890" s="96"/>
      <c r="O890" s="97"/>
      <c r="P890" s="98"/>
      <c r="Q890" s="101"/>
      <c r="R890" s="78" t="str">
        <f t="shared" si="80"/>
        <v/>
      </c>
    </row>
    <row r="891" spans="2:18" x14ac:dyDescent="0.2">
      <c r="B891" s="2" t="str">
        <f t="shared" si="81"/>
        <v/>
      </c>
      <c r="C891" s="2" t="str">
        <f t="shared" si="82"/>
        <v/>
      </c>
      <c r="D891" s="2" t="str">
        <f t="shared" si="83"/>
        <v>Y</v>
      </c>
      <c r="E891" s="2">
        <f t="shared" si="84"/>
        <v>0</v>
      </c>
      <c r="F891" s="2" t="str">
        <f t="shared" si="85"/>
        <v/>
      </c>
      <c r="H891" s="121" t="s">
        <v>888</v>
      </c>
      <c r="I891" s="92"/>
      <c r="J891" s="93"/>
      <c r="K891" s="93"/>
      <c r="L891" s="94"/>
      <c r="M891" s="100"/>
      <c r="N891" s="96"/>
      <c r="O891" s="97"/>
      <c r="P891" s="98"/>
      <c r="Q891" s="101"/>
      <c r="R891" s="78" t="str">
        <f t="shared" si="80"/>
        <v/>
      </c>
    </row>
    <row r="892" spans="2:18" x14ac:dyDescent="0.2">
      <c r="B892" s="2" t="str">
        <f t="shared" si="81"/>
        <v/>
      </c>
      <c r="C892" s="2" t="str">
        <f t="shared" si="82"/>
        <v/>
      </c>
      <c r="D892" s="2" t="str">
        <f t="shared" si="83"/>
        <v>Y</v>
      </c>
      <c r="E892" s="2">
        <f t="shared" si="84"/>
        <v>0</v>
      </c>
      <c r="F892" s="2" t="str">
        <f t="shared" si="85"/>
        <v/>
      </c>
      <c r="H892" s="121" t="s">
        <v>889</v>
      </c>
      <c r="I892" s="92"/>
      <c r="J892" s="93"/>
      <c r="K892" s="93"/>
      <c r="L892" s="94"/>
      <c r="M892" s="100"/>
      <c r="N892" s="96"/>
      <c r="O892" s="97"/>
      <c r="P892" s="98"/>
      <c r="Q892" s="101"/>
      <c r="R892" s="78" t="str">
        <f t="shared" si="80"/>
        <v/>
      </c>
    </row>
    <row r="893" spans="2:18" x14ac:dyDescent="0.2">
      <c r="B893" s="2" t="str">
        <f t="shared" si="81"/>
        <v/>
      </c>
      <c r="C893" s="2" t="str">
        <f t="shared" si="82"/>
        <v/>
      </c>
      <c r="D893" s="2" t="str">
        <f t="shared" si="83"/>
        <v>Y</v>
      </c>
      <c r="E893" s="2">
        <f t="shared" si="84"/>
        <v>0</v>
      </c>
      <c r="F893" s="2" t="str">
        <f t="shared" si="85"/>
        <v/>
      </c>
      <c r="H893" s="121" t="s">
        <v>890</v>
      </c>
      <c r="I893" s="92"/>
      <c r="J893" s="93"/>
      <c r="K893" s="93"/>
      <c r="L893" s="94"/>
      <c r="M893" s="100"/>
      <c r="N893" s="96"/>
      <c r="O893" s="97"/>
      <c r="P893" s="98"/>
      <c r="Q893" s="101"/>
      <c r="R893" s="78" t="str">
        <f t="shared" si="80"/>
        <v/>
      </c>
    </row>
    <row r="894" spans="2:18" x14ac:dyDescent="0.2">
      <c r="B894" s="2" t="str">
        <f t="shared" si="81"/>
        <v/>
      </c>
      <c r="C894" s="2" t="str">
        <f t="shared" si="82"/>
        <v/>
      </c>
      <c r="D894" s="2" t="str">
        <f t="shared" si="83"/>
        <v>Y</v>
      </c>
      <c r="E894" s="2">
        <f t="shared" si="84"/>
        <v>0</v>
      </c>
      <c r="F894" s="2" t="str">
        <f t="shared" si="85"/>
        <v/>
      </c>
      <c r="H894" s="121" t="s">
        <v>891</v>
      </c>
      <c r="I894" s="92"/>
      <c r="J894" s="93"/>
      <c r="K894" s="93"/>
      <c r="L894" s="94"/>
      <c r="M894" s="100"/>
      <c r="N894" s="96"/>
      <c r="O894" s="97"/>
      <c r="P894" s="98"/>
      <c r="Q894" s="101"/>
      <c r="R894" s="78" t="str">
        <f t="shared" si="80"/>
        <v/>
      </c>
    </row>
    <row r="895" spans="2:18" x14ac:dyDescent="0.2">
      <c r="B895" s="2" t="str">
        <f t="shared" si="81"/>
        <v/>
      </c>
      <c r="C895" s="2" t="str">
        <f t="shared" si="82"/>
        <v/>
      </c>
      <c r="D895" s="2" t="str">
        <f t="shared" si="83"/>
        <v>Y</v>
      </c>
      <c r="E895" s="2">
        <f t="shared" si="84"/>
        <v>0</v>
      </c>
      <c r="F895" s="2" t="str">
        <f t="shared" si="85"/>
        <v/>
      </c>
      <c r="H895" s="121" t="s">
        <v>892</v>
      </c>
      <c r="I895" s="92"/>
      <c r="J895" s="93"/>
      <c r="K895" s="93"/>
      <c r="L895" s="94"/>
      <c r="M895" s="100"/>
      <c r="N895" s="96"/>
      <c r="O895" s="97"/>
      <c r="P895" s="98"/>
      <c r="Q895" s="101"/>
      <c r="R895" s="78" t="str">
        <f t="shared" si="80"/>
        <v/>
      </c>
    </row>
    <row r="896" spans="2:18" x14ac:dyDescent="0.2">
      <c r="B896" s="2" t="str">
        <f t="shared" si="81"/>
        <v/>
      </c>
      <c r="C896" s="2" t="str">
        <f t="shared" si="82"/>
        <v/>
      </c>
      <c r="D896" s="2" t="str">
        <f t="shared" si="83"/>
        <v>Y</v>
      </c>
      <c r="E896" s="2">
        <f t="shared" si="84"/>
        <v>0</v>
      </c>
      <c r="F896" s="2" t="str">
        <f t="shared" si="85"/>
        <v/>
      </c>
      <c r="H896" s="121" t="s">
        <v>893</v>
      </c>
      <c r="I896" s="92"/>
      <c r="J896" s="93"/>
      <c r="K896" s="93"/>
      <c r="L896" s="94"/>
      <c r="M896" s="100"/>
      <c r="N896" s="96"/>
      <c r="O896" s="97"/>
      <c r="P896" s="98"/>
      <c r="Q896" s="101"/>
      <c r="R896" s="78" t="str">
        <f t="shared" si="80"/>
        <v/>
      </c>
    </row>
    <row r="897" spans="2:18" x14ac:dyDescent="0.2">
      <c r="B897" s="2" t="str">
        <f t="shared" si="81"/>
        <v/>
      </c>
      <c r="C897" s="2" t="str">
        <f t="shared" si="82"/>
        <v/>
      </c>
      <c r="D897" s="2" t="str">
        <f t="shared" si="83"/>
        <v>Y</v>
      </c>
      <c r="E897" s="2">
        <f t="shared" si="84"/>
        <v>0</v>
      </c>
      <c r="F897" s="2" t="str">
        <f t="shared" si="85"/>
        <v/>
      </c>
      <c r="H897" s="121" t="s">
        <v>894</v>
      </c>
      <c r="I897" s="92"/>
      <c r="J897" s="93"/>
      <c r="K897" s="93"/>
      <c r="L897" s="94"/>
      <c r="M897" s="100"/>
      <c r="N897" s="96"/>
      <c r="O897" s="97"/>
      <c r="P897" s="98"/>
      <c r="Q897" s="101"/>
      <c r="R897" s="78" t="str">
        <f t="shared" si="80"/>
        <v/>
      </c>
    </row>
    <row r="898" spans="2:18" x14ac:dyDescent="0.2">
      <c r="B898" s="2" t="str">
        <f t="shared" si="81"/>
        <v/>
      </c>
      <c r="C898" s="2" t="str">
        <f t="shared" si="82"/>
        <v/>
      </c>
      <c r="D898" s="2" t="str">
        <f t="shared" si="83"/>
        <v>Y</v>
      </c>
      <c r="E898" s="2">
        <f t="shared" si="84"/>
        <v>0</v>
      </c>
      <c r="F898" s="2" t="str">
        <f t="shared" si="85"/>
        <v/>
      </c>
      <c r="H898" s="121" t="s">
        <v>895</v>
      </c>
      <c r="I898" s="92"/>
      <c r="J898" s="93"/>
      <c r="K898" s="93"/>
      <c r="L898" s="94"/>
      <c r="M898" s="100"/>
      <c r="N898" s="96"/>
      <c r="O898" s="97"/>
      <c r="P898" s="98"/>
      <c r="Q898" s="101"/>
      <c r="R898" s="78" t="str">
        <f t="shared" si="80"/>
        <v/>
      </c>
    </row>
    <row r="899" spans="2:18" x14ac:dyDescent="0.2">
      <c r="B899" s="2" t="str">
        <f t="shared" si="81"/>
        <v/>
      </c>
      <c r="C899" s="2" t="str">
        <f t="shared" si="82"/>
        <v/>
      </c>
      <c r="D899" s="2" t="str">
        <f t="shared" si="83"/>
        <v>Y</v>
      </c>
      <c r="E899" s="2">
        <f t="shared" si="84"/>
        <v>0</v>
      </c>
      <c r="F899" s="2" t="str">
        <f t="shared" si="85"/>
        <v/>
      </c>
      <c r="H899" s="121" t="s">
        <v>896</v>
      </c>
      <c r="I899" s="92"/>
      <c r="J899" s="93"/>
      <c r="K899" s="93"/>
      <c r="L899" s="94"/>
      <c r="M899" s="100"/>
      <c r="N899" s="96"/>
      <c r="O899" s="97"/>
      <c r="P899" s="98"/>
      <c r="Q899" s="101"/>
      <c r="R899" s="78" t="str">
        <f t="shared" si="80"/>
        <v/>
      </c>
    </row>
    <row r="900" spans="2:18" x14ac:dyDescent="0.2">
      <c r="B900" s="2" t="str">
        <f t="shared" si="81"/>
        <v/>
      </c>
      <c r="C900" s="2" t="str">
        <f t="shared" si="82"/>
        <v/>
      </c>
      <c r="D900" s="2" t="str">
        <f t="shared" si="83"/>
        <v>Y</v>
      </c>
      <c r="E900" s="2">
        <f t="shared" si="84"/>
        <v>0</v>
      </c>
      <c r="F900" s="2" t="str">
        <f t="shared" si="85"/>
        <v/>
      </c>
      <c r="H900" s="121" t="s">
        <v>897</v>
      </c>
      <c r="I900" s="92"/>
      <c r="J900" s="93"/>
      <c r="K900" s="93"/>
      <c r="L900" s="94"/>
      <c r="M900" s="100"/>
      <c r="N900" s="96"/>
      <c r="O900" s="97"/>
      <c r="P900" s="98"/>
      <c r="Q900" s="101"/>
      <c r="R900" s="78" t="str">
        <f t="shared" si="80"/>
        <v/>
      </c>
    </row>
    <row r="901" spans="2:18" x14ac:dyDescent="0.2">
      <c r="B901" s="2" t="str">
        <f t="shared" si="81"/>
        <v/>
      </c>
      <c r="C901" s="2" t="str">
        <f t="shared" si="82"/>
        <v/>
      </c>
      <c r="D901" s="2" t="str">
        <f t="shared" si="83"/>
        <v>Y</v>
      </c>
      <c r="E901" s="2">
        <f t="shared" si="84"/>
        <v>0</v>
      </c>
      <c r="F901" s="2" t="str">
        <f t="shared" si="85"/>
        <v/>
      </c>
      <c r="H901" s="121" t="s">
        <v>898</v>
      </c>
      <c r="I901" s="92"/>
      <c r="J901" s="93"/>
      <c r="K901" s="93"/>
      <c r="L901" s="94"/>
      <c r="M901" s="100"/>
      <c r="N901" s="96"/>
      <c r="O901" s="97"/>
      <c r="P901" s="98"/>
      <c r="Q901" s="101"/>
      <c r="R901" s="78" t="str">
        <f t="shared" si="80"/>
        <v/>
      </c>
    </row>
    <row r="902" spans="2:18" x14ac:dyDescent="0.2">
      <c r="B902" s="2" t="str">
        <f t="shared" si="81"/>
        <v/>
      </c>
      <c r="C902" s="2" t="str">
        <f t="shared" si="82"/>
        <v/>
      </c>
      <c r="D902" s="2" t="str">
        <f t="shared" si="83"/>
        <v>Y</v>
      </c>
      <c r="E902" s="2">
        <f t="shared" si="84"/>
        <v>0</v>
      </c>
      <c r="F902" s="2" t="str">
        <f t="shared" si="85"/>
        <v/>
      </c>
      <c r="H902" s="121" t="s">
        <v>899</v>
      </c>
      <c r="I902" s="92"/>
      <c r="J902" s="93"/>
      <c r="K902" s="93"/>
      <c r="L902" s="94"/>
      <c r="M902" s="100"/>
      <c r="N902" s="96"/>
      <c r="O902" s="97"/>
      <c r="P902" s="98"/>
      <c r="Q902" s="101"/>
      <c r="R902" s="78" t="str">
        <f t="shared" si="80"/>
        <v/>
      </c>
    </row>
    <row r="903" spans="2:18" x14ac:dyDescent="0.2">
      <c r="B903" s="2" t="str">
        <f t="shared" si="81"/>
        <v/>
      </c>
      <c r="C903" s="2" t="str">
        <f t="shared" si="82"/>
        <v/>
      </c>
      <c r="D903" s="2" t="str">
        <f t="shared" si="83"/>
        <v>Y</v>
      </c>
      <c r="E903" s="2">
        <f t="shared" si="84"/>
        <v>0</v>
      </c>
      <c r="F903" s="2" t="str">
        <f t="shared" si="85"/>
        <v/>
      </c>
      <c r="H903" s="121" t="s">
        <v>900</v>
      </c>
      <c r="I903" s="92"/>
      <c r="J903" s="93"/>
      <c r="K903" s="93"/>
      <c r="L903" s="94"/>
      <c r="M903" s="100"/>
      <c r="N903" s="96"/>
      <c r="O903" s="97"/>
      <c r="P903" s="98"/>
      <c r="Q903" s="101"/>
      <c r="R903" s="78" t="str">
        <f t="shared" si="80"/>
        <v/>
      </c>
    </row>
    <row r="904" spans="2:18" x14ac:dyDescent="0.2">
      <c r="B904" s="2" t="str">
        <f t="shared" si="81"/>
        <v/>
      </c>
      <c r="C904" s="2" t="str">
        <f t="shared" si="82"/>
        <v/>
      </c>
      <c r="D904" s="2" t="str">
        <f t="shared" si="83"/>
        <v>Y</v>
      </c>
      <c r="E904" s="2">
        <f t="shared" si="84"/>
        <v>0</v>
      </c>
      <c r="F904" s="2" t="str">
        <f t="shared" si="85"/>
        <v/>
      </c>
      <c r="H904" s="121" t="s">
        <v>901</v>
      </c>
      <c r="I904" s="92"/>
      <c r="J904" s="93"/>
      <c r="K904" s="93"/>
      <c r="L904" s="94"/>
      <c r="M904" s="100"/>
      <c r="N904" s="96"/>
      <c r="O904" s="97"/>
      <c r="P904" s="98"/>
      <c r="Q904" s="101"/>
      <c r="R904" s="78" t="str">
        <f t="shared" si="80"/>
        <v/>
      </c>
    </row>
    <row r="905" spans="2:18" x14ac:dyDescent="0.2">
      <c r="B905" s="2" t="str">
        <f t="shared" si="81"/>
        <v/>
      </c>
      <c r="C905" s="2" t="str">
        <f t="shared" si="82"/>
        <v/>
      </c>
      <c r="D905" s="2" t="str">
        <f t="shared" si="83"/>
        <v>Y</v>
      </c>
      <c r="E905" s="2">
        <f t="shared" si="84"/>
        <v>0</v>
      </c>
      <c r="F905" s="2" t="str">
        <f t="shared" si="85"/>
        <v/>
      </c>
      <c r="H905" s="121" t="s">
        <v>902</v>
      </c>
      <c r="I905" s="92"/>
      <c r="J905" s="93"/>
      <c r="K905" s="93"/>
      <c r="L905" s="94"/>
      <c r="M905" s="100"/>
      <c r="N905" s="96"/>
      <c r="O905" s="97"/>
      <c r="P905" s="98"/>
      <c r="Q905" s="101"/>
      <c r="R905" s="78" t="str">
        <f t="shared" si="80"/>
        <v/>
      </c>
    </row>
    <row r="906" spans="2:18" x14ac:dyDescent="0.2">
      <c r="B906" s="2" t="str">
        <f t="shared" si="81"/>
        <v/>
      </c>
      <c r="C906" s="2" t="str">
        <f t="shared" si="82"/>
        <v/>
      </c>
      <c r="D906" s="2" t="str">
        <f t="shared" si="83"/>
        <v>Y</v>
      </c>
      <c r="E906" s="2">
        <f t="shared" si="84"/>
        <v>0</v>
      </c>
      <c r="F906" s="2" t="str">
        <f t="shared" si="85"/>
        <v/>
      </c>
      <c r="H906" s="121" t="s">
        <v>903</v>
      </c>
      <c r="I906" s="92"/>
      <c r="J906" s="93"/>
      <c r="K906" s="93"/>
      <c r="L906" s="94"/>
      <c r="M906" s="100"/>
      <c r="N906" s="96"/>
      <c r="O906" s="97"/>
      <c r="P906" s="98"/>
      <c r="Q906" s="101"/>
      <c r="R906" s="78" t="str">
        <f t="shared" si="80"/>
        <v/>
      </c>
    </row>
    <row r="907" spans="2:18" x14ac:dyDescent="0.2">
      <c r="B907" s="2" t="str">
        <f t="shared" si="81"/>
        <v/>
      </c>
      <c r="C907" s="2" t="str">
        <f t="shared" si="82"/>
        <v/>
      </c>
      <c r="D907" s="2" t="str">
        <f t="shared" si="83"/>
        <v>Y</v>
      </c>
      <c r="E907" s="2">
        <f t="shared" si="84"/>
        <v>0</v>
      </c>
      <c r="F907" s="2" t="str">
        <f t="shared" si="85"/>
        <v/>
      </c>
      <c r="H907" s="121" t="s">
        <v>904</v>
      </c>
      <c r="I907" s="92"/>
      <c r="J907" s="93"/>
      <c r="K907" s="93"/>
      <c r="L907" s="94"/>
      <c r="M907" s="100"/>
      <c r="N907" s="96"/>
      <c r="O907" s="97"/>
      <c r="P907" s="98"/>
      <c r="Q907" s="101"/>
      <c r="R907" s="78" t="str">
        <f t="shared" ref="R907:R970" si="86">IF(ISERROR(VLOOKUP(K907,LB_PROJECTS,2,FALSE)),"",VLOOKUP(K907,LB_PROJECTS,2,FALSE))</f>
        <v/>
      </c>
    </row>
    <row r="908" spans="2:18" x14ac:dyDescent="0.2">
      <c r="B908" s="2" t="str">
        <f t="shared" ref="B908:B971" si="87">IF(M908="","",IF(WEEKNUM(M908)&lt;10,VALUE(CONCATENATE(YEAR(M908),"0",WEEKNUM(M908))),VALUE(CONCATENATE(YEAR(M908),WEEKNUM(M908)))))</f>
        <v/>
      </c>
      <c r="C908" s="2" t="str">
        <f t="shared" ref="C908:C971" si="88">IF(P908="","",IF(WEEKNUM(P908)&lt;10,VALUE(CONCATENATE(YEAR(P908),"0",WEEKNUM(P908))),VALUE(CONCATENATE(YEAR(P908),WEEKNUM(P908)))))</f>
        <v/>
      </c>
      <c r="D908" s="2" t="str">
        <f t="shared" ref="D908:D971" si="89">IF(OR(O908="Not started",O908="In progress"),"N",IF(OR(O908="N/A",O908="Suspended",O908="Canceled"),"","Y"))</f>
        <v>Y</v>
      </c>
      <c r="E908" s="2">
        <f t="shared" ref="E908:E971" si="90">IF(OR(O908="Not started",O908="In progress",O908="Applied",O908="Closed"),1,0)</f>
        <v>0</v>
      </c>
      <c r="F908" s="2" t="str">
        <f t="shared" si="85"/>
        <v/>
      </c>
      <c r="H908" s="121" t="s">
        <v>905</v>
      </c>
      <c r="I908" s="92"/>
      <c r="J908" s="93"/>
      <c r="K908" s="93"/>
      <c r="L908" s="94"/>
      <c r="M908" s="100"/>
      <c r="N908" s="96"/>
      <c r="O908" s="97"/>
      <c r="P908" s="98"/>
      <c r="Q908" s="101"/>
      <c r="R908" s="78" t="str">
        <f t="shared" si="86"/>
        <v/>
      </c>
    </row>
    <row r="909" spans="2:18" x14ac:dyDescent="0.2">
      <c r="B909" s="2" t="str">
        <f t="shared" si="87"/>
        <v/>
      </c>
      <c r="C909" s="2" t="str">
        <f t="shared" si="88"/>
        <v/>
      </c>
      <c r="D909" s="2" t="str">
        <f t="shared" si="89"/>
        <v>Y</v>
      </c>
      <c r="E909" s="2">
        <f t="shared" si="90"/>
        <v>0</v>
      </c>
      <c r="F909" s="2" t="str">
        <f t="shared" si="85"/>
        <v/>
      </c>
      <c r="H909" s="121" t="s">
        <v>906</v>
      </c>
      <c r="I909" s="92"/>
      <c r="J909" s="93"/>
      <c r="K909" s="93"/>
      <c r="L909" s="94"/>
      <c r="M909" s="100"/>
      <c r="N909" s="96"/>
      <c r="O909" s="97"/>
      <c r="P909" s="98"/>
      <c r="Q909" s="101"/>
      <c r="R909" s="78" t="str">
        <f t="shared" si="86"/>
        <v/>
      </c>
    </row>
    <row r="910" spans="2:18" x14ac:dyDescent="0.2">
      <c r="B910" s="2" t="str">
        <f t="shared" si="87"/>
        <v/>
      </c>
      <c r="C910" s="2" t="str">
        <f t="shared" si="88"/>
        <v/>
      </c>
      <c r="D910" s="2" t="str">
        <f t="shared" si="89"/>
        <v>Y</v>
      </c>
      <c r="E910" s="2">
        <f t="shared" si="90"/>
        <v>0</v>
      </c>
      <c r="F910" s="2" t="str">
        <f t="shared" ref="F910:F973" si="91">IF(N910="",B910,IF(WEEKNUM(N910)&lt;10,VALUE(CONCATENATE(YEAR(N910),"0",WEEKNUM(N910))),VALUE(CONCATENATE(YEAR(N910),WEEKNUM(N910)))))</f>
        <v/>
      </c>
      <c r="H910" s="121" t="s">
        <v>907</v>
      </c>
      <c r="I910" s="92"/>
      <c r="J910" s="93"/>
      <c r="K910" s="93"/>
      <c r="L910" s="94"/>
      <c r="M910" s="100"/>
      <c r="N910" s="96"/>
      <c r="O910" s="97"/>
      <c r="P910" s="98"/>
      <c r="Q910" s="101"/>
      <c r="R910" s="78" t="str">
        <f t="shared" si="86"/>
        <v/>
      </c>
    </row>
    <row r="911" spans="2:18" x14ac:dyDescent="0.2">
      <c r="B911" s="2" t="str">
        <f t="shared" si="87"/>
        <v/>
      </c>
      <c r="C911" s="2" t="str">
        <f t="shared" si="88"/>
        <v/>
      </c>
      <c r="D911" s="2" t="str">
        <f t="shared" si="89"/>
        <v>Y</v>
      </c>
      <c r="E911" s="2">
        <f t="shared" si="90"/>
        <v>0</v>
      </c>
      <c r="F911" s="2" t="str">
        <f t="shared" si="91"/>
        <v/>
      </c>
      <c r="H911" s="121" t="s">
        <v>908</v>
      </c>
      <c r="I911" s="92"/>
      <c r="J911" s="93"/>
      <c r="K911" s="93"/>
      <c r="L911" s="94"/>
      <c r="M911" s="100"/>
      <c r="N911" s="96"/>
      <c r="O911" s="97"/>
      <c r="P911" s="98"/>
      <c r="Q911" s="101"/>
      <c r="R911" s="78" t="str">
        <f t="shared" si="86"/>
        <v/>
      </c>
    </row>
    <row r="912" spans="2:18" x14ac:dyDescent="0.2">
      <c r="B912" s="2" t="str">
        <f t="shared" si="87"/>
        <v/>
      </c>
      <c r="C912" s="2" t="str">
        <f t="shared" si="88"/>
        <v/>
      </c>
      <c r="D912" s="2" t="str">
        <f t="shared" si="89"/>
        <v>Y</v>
      </c>
      <c r="E912" s="2">
        <f t="shared" si="90"/>
        <v>0</v>
      </c>
      <c r="F912" s="2" t="str">
        <f t="shared" si="91"/>
        <v/>
      </c>
      <c r="H912" s="121" t="s">
        <v>909</v>
      </c>
      <c r="I912" s="92"/>
      <c r="J912" s="93"/>
      <c r="K912" s="93"/>
      <c r="L912" s="94"/>
      <c r="M912" s="100"/>
      <c r="N912" s="96"/>
      <c r="O912" s="97"/>
      <c r="P912" s="98"/>
      <c r="Q912" s="101"/>
      <c r="R912" s="78" t="str">
        <f t="shared" si="86"/>
        <v/>
      </c>
    </row>
    <row r="913" spans="2:18" x14ac:dyDescent="0.2">
      <c r="B913" s="2" t="str">
        <f t="shared" si="87"/>
        <v/>
      </c>
      <c r="C913" s="2" t="str">
        <f t="shared" si="88"/>
        <v/>
      </c>
      <c r="D913" s="2" t="str">
        <f t="shared" si="89"/>
        <v>Y</v>
      </c>
      <c r="E913" s="2">
        <f t="shared" si="90"/>
        <v>0</v>
      </c>
      <c r="F913" s="2" t="str">
        <f t="shared" si="91"/>
        <v/>
      </c>
      <c r="H913" s="121" t="s">
        <v>910</v>
      </c>
      <c r="I913" s="92"/>
      <c r="J913" s="93"/>
      <c r="K913" s="93"/>
      <c r="L913" s="94"/>
      <c r="M913" s="100"/>
      <c r="N913" s="96"/>
      <c r="O913" s="97"/>
      <c r="P913" s="98"/>
      <c r="Q913" s="101"/>
      <c r="R913" s="78" t="str">
        <f t="shared" si="86"/>
        <v/>
      </c>
    </row>
    <row r="914" spans="2:18" x14ac:dyDescent="0.2">
      <c r="B914" s="2" t="str">
        <f t="shared" si="87"/>
        <v/>
      </c>
      <c r="C914" s="2" t="str">
        <f t="shared" si="88"/>
        <v/>
      </c>
      <c r="D914" s="2" t="str">
        <f t="shared" si="89"/>
        <v>Y</v>
      </c>
      <c r="E914" s="2">
        <f t="shared" si="90"/>
        <v>0</v>
      </c>
      <c r="F914" s="2" t="str">
        <f t="shared" si="91"/>
        <v/>
      </c>
      <c r="H914" s="121" t="s">
        <v>911</v>
      </c>
      <c r="I914" s="92"/>
      <c r="J914" s="93"/>
      <c r="K914" s="93"/>
      <c r="L914" s="94"/>
      <c r="M914" s="100"/>
      <c r="N914" s="96"/>
      <c r="O914" s="97"/>
      <c r="P914" s="98"/>
      <c r="Q914" s="101"/>
      <c r="R914" s="78" t="str">
        <f t="shared" si="86"/>
        <v/>
      </c>
    </row>
    <row r="915" spans="2:18" x14ac:dyDescent="0.2">
      <c r="B915" s="2" t="str">
        <f t="shared" si="87"/>
        <v/>
      </c>
      <c r="C915" s="2" t="str">
        <f t="shared" si="88"/>
        <v/>
      </c>
      <c r="D915" s="2" t="str">
        <f t="shared" si="89"/>
        <v>Y</v>
      </c>
      <c r="E915" s="2">
        <f t="shared" si="90"/>
        <v>0</v>
      </c>
      <c r="F915" s="2" t="str">
        <f t="shared" si="91"/>
        <v/>
      </c>
      <c r="H915" s="121" t="s">
        <v>912</v>
      </c>
      <c r="I915" s="92"/>
      <c r="J915" s="93"/>
      <c r="K915" s="93"/>
      <c r="L915" s="94"/>
      <c r="M915" s="100"/>
      <c r="N915" s="96"/>
      <c r="O915" s="97"/>
      <c r="P915" s="98"/>
      <c r="Q915" s="101"/>
      <c r="R915" s="78" t="str">
        <f t="shared" si="86"/>
        <v/>
      </c>
    </row>
    <row r="916" spans="2:18" x14ac:dyDescent="0.2">
      <c r="B916" s="2" t="str">
        <f t="shared" si="87"/>
        <v/>
      </c>
      <c r="C916" s="2" t="str">
        <f t="shared" si="88"/>
        <v/>
      </c>
      <c r="D916" s="2" t="str">
        <f t="shared" si="89"/>
        <v>Y</v>
      </c>
      <c r="E916" s="2">
        <f t="shared" si="90"/>
        <v>0</v>
      </c>
      <c r="F916" s="2" t="str">
        <f t="shared" si="91"/>
        <v/>
      </c>
      <c r="H916" s="121" t="s">
        <v>913</v>
      </c>
      <c r="I916" s="92"/>
      <c r="J916" s="93"/>
      <c r="K916" s="93"/>
      <c r="L916" s="94"/>
      <c r="M916" s="100"/>
      <c r="N916" s="96"/>
      <c r="O916" s="97"/>
      <c r="P916" s="98"/>
      <c r="Q916" s="101"/>
      <c r="R916" s="78" t="str">
        <f t="shared" si="86"/>
        <v/>
      </c>
    </row>
    <row r="917" spans="2:18" x14ac:dyDescent="0.2">
      <c r="B917" s="2" t="str">
        <f t="shared" si="87"/>
        <v/>
      </c>
      <c r="C917" s="2" t="str">
        <f t="shared" si="88"/>
        <v/>
      </c>
      <c r="D917" s="2" t="str">
        <f t="shared" si="89"/>
        <v>Y</v>
      </c>
      <c r="E917" s="2">
        <f t="shared" si="90"/>
        <v>0</v>
      </c>
      <c r="F917" s="2" t="str">
        <f t="shared" si="91"/>
        <v/>
      </c>
      <c r="H917" s="121" t="s">
        <v>914</v>
      </c>
      <c r="I917" s="92"/>
      <c r="J917" s="93"/>
      <c r="K917" s="93"/>
      <c r="L917" s="94"/>
      <c r="M917" s="100"/>
      <c r="N917" s="96"/>
      <c r="O917" s="97"/>
      <c r="P917" s="98"/>
      <c r="Q917" s="101"/>
      <c r="R917" s="78" t="str">
        <f t="shared" si="86"/>
        <v/>
      </c>
    </row>
    <row r="918" spans="2:18" x14ac:dyDescent="0.2">
      <c r="B918" s="2" t="str">
        <f t="shared" si="87"/>
        <v/>
      </c>
      <c r="C918" s="2" t="str">
        <f t="shared" si="88"/>
        <v/>
      </c>
      <c r="D918" s="2" t="str">
        <f t="shared" si="89"/>
        <v>Y</v>
      </c>
      <c r="E918" s="2">
        <f t="shared" si="90"/>
        <v>0</v>
      </c>
      <c r="F918" s="2" t="str">
        <f t="shared" si="91"/>
        <v/>
      </c>
      <c r="H918" s="121" t="s">
        <v>915</v>
      </c>
      <c r="I918" s="92"/>
      <c r="J918" s="93"/>
      <c r="K918" s="93"/>
      <c r="L918" s="94"/>
      <c r="M918" s="100"/>
      <c r="N918" s="96"/>
      <c r="O918" s="97"/>
      <c r="P918" s="98"/>
      <c r="Q918" s="101"/>
      <c r="R918" s="78" t="str">
        <f t="shared" si="86"/>
        <v/>
      </c>
    </row>
    <row r="919" spans="2:18" x14ac:dyDescent="0.2">
      <c r="B919" s="2" t="str">
        <f t="shared" si="87"/>
        <v/>
      </c>
      <c r="C919" s="2" t="str">
        <f t="shared" si="88"/>
        <v/>
      </c>
      <c r="D919" s="2" t="str">
        <f t="shared" si="89"/>
        <v>Y</v>
      </c>
      <c r="E919" s="2">
        <f t="shared" si="90"/>
        <v>0</v>
      </c>
      <c r="F919" s="2" t="str">
        <f t="shared" si="91"/>
        <v/>
      </c>
      <c r="H919" s="121" t="s">
        <v>916</v>
      </c>
      <c r="I919" s="92"/>
      <c r="J919" s="93"/>
      <c r="K919" s="93"/>
      <c r="L919" s="94"/>
      <c r="M919" s="100"/>
      <c r="N919" s="96"/>
      <c r="O919" s="97"/>
      <c r="P919" s="98"/>
      <c r="Q919" s="101"/>
      <c r="R919" s="78" t="str">
        <f t="shared" si="86"/>
        <v/>
      </c>
    </row>
    <row r="920" spans="2:18" x14ac:dyDescent="0.2">
      <c r="B920" s="2" t="str">
        <f t="shared" si="87"/>
        <v/>
      </c>
      <c r="C920" s="2" t="str">
        <f t="shared" si="88"/>
        <v/>
      </c>
      <c r="D920" s="2" t="str">
        <f t="shared" si="89"/>
        <v>Y</v>
      </c>
      <c r="E920" s="2">
        <f t="shared" si="90"/>
        <v>0</v>
      </c>
      <c r="F920" s="2" t="str">
        <f t="shared" si="91"/>
        <v/>
      </c>
      <c r="H920" s="121" t="s">
        <v>917</v>
      </c>
      <c r="I920" s="92"/>
      <c r="J920" s="93"/>
      <c r="K920" s="93"/>
      <c r="L920" s="94"/>
      <c r="M920" s="100"/>
      <c r="N920" s="96"/>
      <c r="O920" s="97"/>
      <c r="P920" s="98"/>
      <c r="Q920" s="101"/>
      <c r="R920" s="78" t="str">
        <f t="shared" si="86"/>
        <v/>
      </c>
    </row>
    <row r="921" spans="2:18" x14ac:dyDescent="0.2">
      <c r="B921" s="2" t="str">
        <f t="shared" si="87"/>
        <v/>
      </c>
      <c r="C921" s="2" t="str">
        <f t="shared" si="88"/>
        <v/>
      </c>
      <c r="D921" s="2" t="str">
        <f t="shared" si="89"/>
        <v>Y</v>
      </c>
      <c r="E921" s="2">
        <f t="shared" si="90"/>
        <v>0</v>
      </c>
      <c r="F921" s="2" t="str">
        <f t="shared" si="91"/>
        <v/>
      </c>
      <c r="H921" s="121" t="s">
        <v>918</v>
      </c>
      <c r="I921" s="92"/>
      <c r="J921" s="93"/>
      <c r="K921" s="93"/>
      <c r="L921" s="94"/>
      <c r="M921" s="100"/>
      <c r="N921" s="96"/>
      <c r="O921" s="97"/>
      <c r="P921" s="98"/>
      <c r="Q921" s="101"/>
      <c r="R921" s="78" t="str">
        <f t="shared" si="86"/>
        <v/>
      </c>
    </row>
    <row r="922" spans="2:18" x14ac:dyDescent="0.2">
      <c r="B922" s="2" t="str">
        <f t="shared" si="87"/>
        <v/>
      </c>
      <c r="C922" s="2" t="str">
        <f t="shared" si="88"/>
        <v/>
      </c>
      <c r="D922" s="2" t="str">
        <f t="shared" si="89"/>
        <v>Y</v>
      </c>
      <c r="E922" s="2">
        <f t="shared" si="90"/>
        <v>0</v>
      </c>
      <c r="F922" s="2" t="str">
        <f t="shared" si="91"/>
        <v/>
      </c>
      <c r="H922" s="121" t="s">
        <v>919</v>
      </c>
      <c r="I922" s="92"/>
      <c r="J922" s="93"/>
      <c r="K922" s="93"/>
      <c r="L922" s="94"/>
      <c r="M922" s="100"/>
      <c r="N922" s="96"/>
      <c r="O922" s="97"/>
      <c r="P922" s="98"/>
      <c r="Q922" s="101"/>
      <c r="R922" s="78" t="str">
        <f t="shared" si="86"/>
        <v/>
      </c>
    </row>
    <row r="923" spans="2:18" x14ac:dyDescent="0.2">
      <c r="B923" s="2" t="str">
        <f t="shared" si="87"/>
        <v/>
      </c>
      <c r="C923" s="2" t="str">
        <f t="shared" si="88"/>
        <v/>
      </c>
      <c r="D923" s="2" t="str">
        <f t="shared" si="89"/>
        <v>Y</v>
      </c>
      <c r="E923" s="2">
        <f t="shared" si="90"/>
        <v>0</v>
      </c>
      <c r="F923" s="2" t="str">
        <f t="shared" si="91"/>
        <v/>
      </c>
      <c r="H923" s="121" t="s">
        <v>920</v>
      </c>
      <c r="I923" s="92"/>
      <c r="J923" s="93"/>
      <c r="K923" s="93"/>
      <c r="L923" s="94"/>
      <c r="M923" s="100"/>
      <c r="N923" s="96"/>
      <c r="O923" s="97"/>
      <c r="P923" s="98"/>
      <c r="Q923" s="101"/>
      <c r="R923" s="78" t="str">
        <f t="shared" si="86"/>
        <v/>
      </c>
    </row>
    <row r="924" spans="2:18" x14ac:dyDescent="0.2">
      <c r="B924" s="2" t="str">
        <f t="shared" si="87"/>
        <v/>
      </c>
      <c r="C924" s="2" t="str">
        <f t="shared" si="88"/>
        <v/>
      </c>
      <c r="D924" s="2" t="str">
        <f t="shared" si="89"/>
        <v>Y</v>
      </c>
      <c r="E924" s="2">
        <f t="shared" si="90"/>
        <v>0</v>
      </c>
      <c r="F924" s="2" t="str">
        <f t="shared" si="91"/>
        <v/>
      </c>
      <c r="H924" s="121" t="s">
        <v>921</v>
      </c>
      <c r="I924" s="92"/>
      <c r="J924" s="93"/>
      <c r="K924" s="93"/>
      <c r="L924" s="94"/>
      <c r="M924" s="100"/>
      <c r="N924" s="96"/>
      <c r="O924" s="97"/>
      <c r="P924" s="98"/>
      <c r="Q924" s="101"/>
      <c r="R924" s="78" t="str">
        <f t="shared" si="86"/>
        <v/>
      </c>
    </row>
    <row r="925" spans="2:18" x14ac:dyDescent="0.2">
      <c r="B925" s="2" t="str">
        <f t="shared" si="87"/>
        <v/>
      </c>
      <c r="C925" s="2" t="str">
        <f t="shared" si="88"/>
        <v/>
      </c>
      <c r="D925" s="2" t="str">
        <f t="shared" si="89"/>
        <v>Y</v>
      </c>
      <c r="E925" s="2">
        <f t="shared" si="90"/>
        <v>0</v>
      </c>
      <c r="F925" s="2" t="str">
        <f t="shared" si="91"/>
        <v/>
      </c>
      <c r="H925" s="121" t="s">
        <v>922</v>
      </c>
      <c r="I925" s="92"/>
      <c r="J925" s="93"/>
      <c r="K925" s="93"/>
      <c r="L925" s="94"/>
      <c r="M925" s="100"/>
      <c r="N925" s="96"/>
      <c r="O925" s="97"/>
      <c r="P925" s="98"/>
      <c r="Q925" s="101"/>
      <c r="R925" s="78" t="str">
        <f t="shared" si="86"/>
        <v/>
      </c>
    </row>
    <row r="926" spans="2:18" x14ac:dyDescent="0.2">
      <c r="B926" s="2" t="str">
        <f t="shared" si="87"/>
        <v/>
      </c>
      <c r="C926" s="2" t="str">
        <f t="shared" si="88"/>
        <v/>
      </c>
      <c r="D926" s="2" t="str">
        <f t="shared" si="89"/>
        <v>Y</v>
      </c>
      <c r="E926" s="2">
        <f t="shared" si="90"/>
        <v>0</v>
      </c>
      <c r="F926" s="2" t="str">
        <f t="shared" si="91"/>
        <v/>
      </c>
      <c r="H926" s="121" t="s">
        <v>923</v>
      </c>
      <c r="I926" s="92"/>
      <c r="J926" s="93"/>
      <c r="K926" s="93"/>
      <c r="L926" s="94"/>
      <c r="M926" s="100"/>
      <c r="N926" s="96"/>
      <c r="O926" s="97"/>
      <c r="P926" s="98"/>
      <c r="Q926" s="101"/>
      <c r="R926" s="78" t="str">
        <f t="shared" si="86"/>
        <v/>
      </c>
    </row>
    <row r="927" spans="2:18" x14ac:dyDescent="0.2">
      <c r="B927" s="2" t="str">
        <f t="shared" si="87"/>
        <v/>
      </c>
      <c r="C927" s="2" t="str">
        <f t="shared" si="88"/>
        <v/>
      </c>
      <c r="D927" s="2" t="str">
        <f t="shared" si="89"/>
        <v>Y</v>
      </c>
      <c r="E927" s="2">
        <f t="shared" si="90"/>
        <v>0</v>
      </c>
      <c r="F927" s="2" t="str">
        <f t="shared" si="91"/>
        <v/>
      </c>
      <c r="H927" s="121" t="s">
        <v>924</v>
      </c>
      <c r="I927" s="92"/>
      <c r="J927" s="93"/>
      <c r="K927" s="93"/>
      <c r="L927" s="94"/>
      <c r="M927" s="100"/>
      <c r="N927" s="96"/>
      <c r="O927" s="97"/>
      <c r="P927" s="98"/>
      <c r="Q927" s="101"/>
      <c r="R927" s="78" t="str">
        <f t="shared" si="86"/>
        <v/>
      </c>
    </row>
    <row r="928" spans="2:18" x14ac:dyDescent="0.2">
      <c r="B928" s="2" t="str">
        <f t="shared" si="87"/>
        <v/>
      </c>
      <c r="C928" s="2" t="str">
        <f t="shared" si="88"/>
        <v/>
      </c>
      <c r="D928" s="2" t="str">
        <f t="shared" si="89"/>
        <v>Y</v>
      </c>
      <c r="E928" s="2">
        <f t="shared" si="90"/>
        <v>0</v>
      </c>
      <c r="F928" s="2" t="str">
        <f t="shared" si="91"/>
        <v/>
      </c>
      <c r="H928" s="121" t="s">
        <v>925</v>
      </c>
      <c r="I928" s="92"/>
      <c r="J928" s="93"/>
      <c r="K928" s="93"/>
      <c r="L928" s="94"/>
      <c r="M928" s="100"/>
      <c r="N928" s="96"/>
      <c r="O928" s="97"/>
      <c r="P928" s="98"/>
      <c r="Q928" s="101"/>
      <c r="R928" s="78" t="str">
        <f t="shared" si="86"/>
        <v/>
      </c>
    </row>
    <row r="929" spans="2:18" x14ac:dyDescent="0.2">
      <c r="B929" s="2" t="str">
        <f t="shared" si="87"/>
        <v/>
      </c>
      <c r="C929" s="2" t="str">
        <f t="shared" si="88"/>
        <v/>
      </c>
      <c r="D929" s="2" t="str">
        <f t="shared" si="89"/>
        <v>Y</v>
      </c>
      <c r="E929" s="2">
        <f t="shared" si="90"/>
        <v>0</v>
      </c>
      <c r="F929" s="2" t="str">
        <f t="shared" si="91"/>
        <v/>
      </c>
      <c r="H929" s="121" t="s">
        <v>926</v>
      </c>
      <c r="I929" s="92"/>
      <c r="J929" s="93"/>
      <c r="K929" s="93"/>
      <c r="L929" s="94"/>
      <c r="M929" s="100"/>
      <c r="N929" s="96"/>
      <c r="O929" s="97"/>
      <c r="P929" s="98"/>
      <c r="Q929" s="101"/>
      <c r="R929" s="78" t="str">
        <f t="shared" si="86"/>
        <v/>
      </c>
    </row>
    <row r="930" spans="2:18" x14ac:dyDescent="0.2">
      <c r="B930" s="2" t="str">
        <f t="shared" si="87"/>
        <v/>
      </c>
      <c r="C930" s="2" t="str">
        <f t="shared" si="88"/>
        <v/>
      </c>
      <c r="D930" s="2" t="str">
        <f t="shared" si="89"/>
        <v>Y</v>
      </c>
      <c r="E930" s="2">
        <f t="shared" si="90"/>
        <v>0</v>
      </c>
      <c r="F930" s="2" t="str">
        <f t="shared" si="91"/>
        <v/>
      </c>
      <c r="H930" s="121" t="s">
        <v>927</v>
      </c>
      <c r="I930" s="92"/>
      <c r="J930" s="93"/>
      <c r="K930" s="93"/>
      <c r="L930" s="94"/>
      <c r="M930" s="100"/>
      <c r="N930" s="96"/>
      <c r="O930" s="97"/>
      <c r="P930" s="98"/>
      <c r="Q930" s="101"/>
      <c r="R930" s="78" t="str">
        <f t="shared" si="86"/>
        <v/>
      </c>
    </row>
    <row r="931" spans="2:18" x14ac:dyDescent="0.2">
      <c r="B931" s="2" t="str">
        <f t="shared" si="87"/>
        <v/>
      </c>
      <c r="C931" s="2" t="str">
        <f t="shared" si="88"/>
        <v/>
      </c>
      <c r="D931" s="2" t="str">
        <f t="shared" si="89"/>
        <v>Y</v>
      </c>
      <c r="E931" s="2">
        <f t="shared" si="90"/>
        <v>0</v>
      </c>
      <c r="F931" s="2" t="str">
        <f t="shared" si="91"/>
        <v/>
      </c>
      <c r="H931" s="121" t="s">
        <v>928</v>
      </c>
      <c r="I931" s="92"/>
      <c r="J931" s="93"/>
      <c r="K931" s="93"/>
      <c r="L931" s="94"/>
      <c r="M931" s="100"/>
      <c r="N931" s="96"/>
      <c r="O931" s="97"/>
      <c r="P931" s="98"/>
      <c r="Q931" s="101"/>
      <c r="R931" s="78" t="str">
        <f t="shared" si="86"/>
        <v/>
      </c>
    </row>
    <row r="932" spans="2:18" x14ac:dyDescent="0.2">
      <c r="B932" s="2" t="str">
        <f t="shared" si="87"/>
        <v/>
      </c>
      <c r="C932" s="2" t="str">
        <f t="shared" si="88"/>
        <v/>
      </c>
      <c r="D932" s="2" t="str">
        <f t="shared" si="89"/>
        <v>Y</v>
      </c>
      <c r="E932" s="2">
        <f t="shared" si="90"/>
        <v>0</v>
      </c>
      <c r="F932" s="2" t="str">
        <f t="shared" si="91"/>
        <v/>
      </c>
      <c r="H932" s="121" t="s">
        <v>929</v>
      </c>
      <c r="I932" s="92"/>
      <c r="J932" s="93"/>
      <c r="K932" s="93"/>
      <c r="L932" s="94"/>
      <c r="M932" s="100"/>
      <c r="N932" s="96"/>
      <c r="O932" s="97"/>
      <c r="P932" s="98"/>
      <c r="Q932" s="101"/>
      <c r="R932" s="78" t="str">
        <f t="shared" si="86"/>
        <v/>
      </c>
    </row>
    <row r="933" spans="2:18" x14ac:dyDescent="0.2">
      <c r="B933" s="2" t="str">
        <f t="shared" si="87"/>
        <v/>
      </c>
      <c r="C933" s="2" t="str">
        <f t="shared" si="88"/>
        <v/>
      </c>
      <c r="D933" s="2" t="str">
        <f t="shared" si="89"/>
        <v>Y</v>
      </c>
      <c r="E933" s="2">
        <f t="shared" si="90"/>
        <v>0</v>
      </c>
      <c r="F933" s="2" t="str">
        <f t="shared" si="91"/>
        <v/>
      </c>
      <c r="H933" s="121" t="s">
        <v>930</v>
      </c>
      <c r="I933" s="92"/>
      <c r="J933" s="93"/>
      <c r="K933" s="93"/>
      <c r="L933" s="94"/>
      <c r="M933" s="100"/>
      <c r="N933" s="96"/>
      <c r="O933" s="97"/>
      <c r="P933" s="98"/>
      <c r="Q933" s="101"/>
      <c r="R933" s="78" t="str">
        <f t="shared" si="86"/>
        <v/>
      </c>
    </row>
    <row r="934" spans="2:18" x14ac:dyDescent="0.2">
      <c r="B934" s="2" t="str">
        <f t="shared" si="87"/>
        <v/>
      </c>
      <c r="C934" s="2" t="str">
        <f t="shared" si="88"/>
        <v/>
      </c>
      <c r="D934" s="2" t="str">
        <f t="shared" si="89"/>
        <v>Y</v>
      </c>
      <c r="E934" s="2">
        <f t="shared" si="90"/>
        <v>0</v>
      </c>
      <c r="F934" s="2" t="str">
        <f t="shared" si="91"/>
        <v/>
      </c>
      <c r="H934" s="121" t="s">
        <v>931</v>
      </c>
      <c r="I934" s="92"/>
      <c r="J934" s="93"/>
      <c r="K934" s="93"/>
      <c r="L934" s="94"/>
      <c r="M934" s="100"/>
      <c r="N934" s="96"/>
      <c r="O934" s="97"/>
      <c r="P934" s="98"/>
      <c r="Q934" s="101"/>
      <c r="R934" s="78" t="str">
        <f t="shared" si="86"/>
        <v/>
      </c>
    </row>
    <row r="935" spans="2:18" x14ac:dyDescent="0.2">
      <c r="B935" s="2" t="str">
        <f t="shared" si="87"/>
        <v/>
      </c>
      <c r="C935" s="2" t="str">
        <f t="shared" si="88"/>
        <v/>
      </c>
      <c r="D935" s="2" t="str">
        <f t="shared" si="89"/>
        <v>Y</v>
      </c>
      <c r="E935" s="2">
        <f t="shared" si="90"/>
        <v>0</v>
      </c>
      <c r="F935" s="2" t="str">
        <f t="shared" si="91"/>
        <v/>
      </c>
      <c r="H935" s="121" t="s">
        <v>932</v>
      </c>
      <c r="I935" s="92"/>
      <c r="J935" s="93"/>
      <c r="K935" s="93"/>
      <c r="L935" s="94"/>
      <c r="M935" s="100"/>
      <c r="N935" s="96"/>
      <c r="O935" s="97"/>
      <c r="P935" s="98"/>
      <c r="Q935" s="101"/>
      <c r="R935" s="78" t="str">
        <f t="shared" si="86"/>
        <v/>
      </c>
    </row>
    <row r="936" spans="2:18" x14ac:dyDescent="0.2">
      <c r="B936" s="2" t="str">
        <f t="shared" si="87"/>
        <v/>
      </c>
      <c r="C936" s="2" t="str">
        <f t="shared" si="88"/>
        <v/>
      </c>
      <c r="D936" s="2" t="str">
        <f t="shared" si="89"/>
        <v>Y</v>
      </c>
      <c r="E936" s="2">
        <f t="shared" si="90"/>
        <v>0</v>
      </c>
      <c r="F936" s="2" t="str">
        <f t="shared" si="91"/>
        <v/>
      </c>
      <c r="H936" s="121" t="s">
        <v>933</v>
      </c>
      <c r="I936" s="92"/>
      <c r="J936" s="93"/>
      <c r="K936" s="93"/>
      <c r="L936" s="94"/>
      <c r="M936" s="100"/>
      <c r="N936" s="96"/>
      <c r="O936" s="97"/>
      <c r="P936" s="98"/>
      <c r="Q936" s="101"/>
      <c r="R936" s="78" t="str">
        <f t="shared" si="86"/>
        <v/>
      </c>
    </row>
    <row r="937" spans="2:18" x14ac:dyDescent="0.2">
      <c r="B937" s="2" t="str">
        <f t="shared" si="87"/>
        <v/>
      </c>
      <c r="C937" s="2" t="str">
        <f t="shared" si="88"/>
        <v/>
      </c>
      <c r="D937" s="2" t="str">
        <f t="shared" si="89"/>
        <v>Y</v>
      </c>
      <c r="E937" s="2">
        <f t="shared" si="90"/>
        <v>0</v>
      </c>
      <c r="F937" s="2" t="str">
        <f t="shared" si="91"/>
        <v/>
      </c>
      <c r="H937" s="121" t="s">
        <v>934</v>
      </c>
      <c r="I937" s="92"/>
      <c r="J937" s="93"/>
      <c r="K937" s="93"/>
      <c r="L937" s="94"/>
      <c r="M937" s="100"/>
      <c r="N937" s="96"/>
      <c r="O937" s="97"/>
      <c r="P937" s="98"/>
      <c r="Q937" s="101"/>
      <c r="R937" s="78" t="str">
        <f t="shared" si="86"/>
        <v/>
      </c>
    </row>
    <row r="938" spans="2:18" x14ac:dyDescent="0.2">
      <c r="B938" s="2" t="str">
        <f t="shared" si="87"/>
        <v/>
      </c>
      <c r="C938" s="2" t="str">
        <f t="shared" si="88"/>
        <v/>
      </c>
      <c r="D938" s="2" t="str">
        <f t="shared" si="89"/>
        <v>Y</v>
      </c>
      <c r="E938" s="2">
        <f t="shared" si="90"/>
        <v>0</v>
      </c>
      <c r="F938" s="2" t="str">
        <f t="shared" si="91"/>
        <v/>
      </c>
      <c r="H938" s="121" t="s">
        <v>935</v>
      </c>
      <c r="I938" s="92"/>
      <c r="J938" s="93"/>
      <c r="K938" s="93"/>
      <c r="L938" s="94"/>
      <c r="M938" s="100"/>
      <c r="N938" s="96"/>
      <c r="O938" s="97"/>
      <c r="P938" s="98"/>
      <c r="Q938" s="101"/>
      <c r="R938" s="78" t="str">
        <f t="shared" si="86"/>
        <v/>
      </c>
    </row>
    <row r="939" spans="2:18" x14ac:dyDescent="0.2">
      <c r="B939" s="2" t="str">
        <f t="shared" si="87"/>
        <v/>
      </c>
      <c r="C939" s="2" t="str">
        <f t="shared" si="88"/>
        <v/>
      </c>
      <c r="D939" s="2" t="str">
        <f t="shared" si="89"/>
        <v>Y</v>
      </c>
      <c r="E939" s="2">
        <f t="shared" si="90"/>
        <v>0</v>
      </c>
      <c r="F939" s="2" t="str">
        <f t="shared" si="91"/>
        <v/>
      </c>
      <c r="H939" s="121" t="s">
        <v>936</v>
      </c>
      <c r="I939" s="92"/>
      <c r="J939" s="93"/>
      <c r="K939" s="93"/>
      <c r="L939" s="94"/>
      <c r="M939" s="100"/>
      <c r="N939" s="96"/>
      <c r="O939" s="97"/>
      <c r="P939" s="98"/>
      <c r="Q939" s="101"/>
      <c r="R939" s="78" t="str">
        <f t="shared" si="86"/>
        <v/>
      </c>
    </row>
    <row r="940" spans="2:18" x14ac:dyDescent="0.2">
      <c r="B940" s="2" t="str">
        <f t="shared" si="87"/>
        <v/>
      </c>
      <c r="C940" s="2" t="str">
        <f t="shared" si="88"/>
        <v/>
      </c>
      <c r="D940" s="2" t="str">
        <f t="shared" si="89"/>
        <v>Y</v>
      </c>
      <c r="E940" s="2">
        <f t="shared" si="90"/>
        <v>0</v>
      </c>
      <c r="F940" s="2" t="str">
        <f t="shared" si="91"/>
        <v/>
      </c>
      <c r="H940" s="121" t="s">
        <v>937</v>
      </c>
      <c r="I940" s="92"/>
      <c r="J940" s="93"/>
      <c r="K940" s="93"/>
      <c r="L940" s="94"/>
      <c r="M940" s="100"/>
      <c r="N940" s="96"/>
      <c r="O940" s="97"/>
      <c r="P940" s="98"/>
      <c r="Q940" s="101"/>
      <c r="R940" s="78" t="str">
        <f t="shared" si="86"/>
        <v/>
      </c>
    </row>
    <row r="941" spans="2:18" x14ac:dyDescent="0.2">
      <c r="B941" s="2" t="str">
        <f t="shared" si="87"/>
        <v/>
      </c>
      <c r="C941" s="2" t="str">
        <f t="shared" si="88"/>
        <v/>
      </c>
      <c r="D941" s="2" t="str">
        <f t="shared" si="89"/>
        <v>Y</v>
      </c>
      <c r="E941" s="2">
        <f t="shared" si="90"/>
        <v>0</v>
      </c>
      <c r="F941" s="2" t="str">
        <f t="shared" si="91"/>
        <v/>
      </c>
      <c r="H941" s="121" t="s">
        <v>938</v>
      </c>
      <c r="I941" s="92"/>
      <c r="J941" s="93"/>
      <c r="K941" s="93"/>
      <c r="L941" s="94"/>
      <c r="M941" s="100"/>
      <c r="N941" s="96"/>
      <c r="O941" s="97"/>
      <c r="P941" s="98"/>
      <c r="Q941" s="101"/>
      <c r="R941" s="78" t="str">
        <f t="shared" si="86"/>
        <v/>
      </c>
    </row>
    <row r="942" spans="2:18" x14ac:dyDescent="0.2">
      <c r="B942" s="2" t="str">
        <f t="shared" si="87"/>
        <v/>
      </c>
      <c r="C942" s="2" t="str">
        <f t="shared" si="88"/>
        <v/>
      </c>
      <c r="D942" s="2" t="str">
        <f t="shared" si="89"/>
        <v>Y</v>
      </c>
      <c r="E942" s="2">
        <f t="shared" si="90"/>
        <v>0</v>
      </c>
      <c r="F942" s="2" t="str">
        <f t="shared" si="91"/>
        <v/>
      </c>
      <c r="H942" s="121" t="s">
        <v>939</v>
      </c>
      <c r="I942" s="92"/>
      <c r="J942" s="93"/>
      <c r="K942" s="93"/>
      <c r="L942" s="94"/>
      <c r="M942" s="100"/>
      <c r="N942" s="96"/>
      <c r="O942" s="97"/>
      <c r="P942" s="98"/>
      <c r="Q942" s="101"/>
      <c r="R942" s="78" t="str">
        <f t="shared" si="86"/>
        <v/>
      </c>
    </row>
    <row r="943" spans="2:18" x14ac:dyDescent="0.2">
      <c r="B943" s="2" t="str">
        <f t="shared" si="87"/>
        <v/>
      </c>
      <c r="C943" s="2" t="str">
        <f t="shared" si="88"/>
        <v/>
      </c>
      <c r="D943" s="2" t="str">
        <f t="shared" si="89"/>
        <v>Y</v>
      </c>
      <c r="E943" s="2">
        <f t="shared" si="90"/>
        <v>0</v>
      </c>
      <c r="F943" s="2" t="str">
        <f t="shared" si="91"/>
        <v/>
      </c>
      <c r="H943" s="121" t="s">
        <v>940</v>
      </c>
      <c r="I943" s="92"/>
      <c r="J943" s="93"/>
      <c r="K943" s="93"/>
      <c r="L943" s="94"/>
      <c r="M943" s="100"/>
      <c r="N943" s="96"/>
      <c r="O943" s="97"/>
      <c r="P943" s="98"/>
      <c r="Q943" s="101"/>
      <c r="R943" s="78" t="str">
        <f t="shared" si="86"/>
        <v/>
      </c>
    </row>
    <row r="944" spans="2:18" x14ac:dyDescent="0.2">
      <c r="B944" s="2" t="str">
        <f t="shared" si="87"/>
        <v/>
      </c>
      <c r="C944" s="2" t="str">
        <f t="shared" si="88"/>
        <v/>
      </c>
      <c r="D944" s="2" t="str">
        <f t="shared" si="89"/>
        <v>Y</v>
      </c>
      <c r="E944" s="2">
        <f t="shared" si="90"/>
        <v>0</v>
      </c>
      <c r="F944" s="2" t="str">
        <f t="shared" si="91"/>
        <v/>
      </c>
      <c r="H944" s="121" t="s">
        <v>941</v>
      </c>
      <c r="I944" s="92"/>
      <c r="J944" s="93"/>
      <c r="K944" s="93"/>
      <c r="L944" s="94"/>
      <c r="M944" s="100"/>
      <c r="N944" s="96"/>
      <c r="O944" s="97"/>
      <c r="P944" s="98"/>
      <c r="Q944" s="101"/>
      <c r="R944" s="78" t="str">
        <f t="shared" si="86"/>
        <v/>
      </c>
    </row>
    <row r="945" spans="2:18" x14ac:dyDescent="0.2">
      <c r="B945" s="2" t="str">
        <f t="shared" si="87"/>
        <v/>
      </c>
      <c r="C945" s="2" t="str">
        <f t="shared" si="88"/>
        <v/>
      </c>
      <c r="D945" s="2" t="str">
        <f t="shared" si="89"/>
        <v>Y</v>
      </c>
      <c r="E945" s="2">
        <f t="shared" si="90"/>
        <v>0</v>
      </c>
      <c r="F945" s="2" t="str">
        <f t="shared" si="91"/>
        <v/>
      </c>
      <c r="H945" s="121" t="s">
        <v>942</v>
      </c>
      <c r="I945" s="92"/>
      <c r="J945" s="93"/>
      <c r="K945" s="93"/>
      <c r="L945" s="94"/>
      <c r="M945" s="100"/>
      <c r="N945" s="96"/>
      <c r="O945" s="97"/>
      <c r="P945" s="98"/>
      <c r="Q945" s="101"/>
      <c r="R945" s="78" t="str">
        <f t="shared" si="86"/>
        <v/>
      </c>
    </row>
    <row r="946" spans="2:18" x14ac:dyDescent="0.2">
      <c r="B946" s="2" t="str">
        <f t="shared" si="87"/>
        <v/>
      </c>
      <c r="C946" s="2" t="str">
        <f t="shared" si="88"/>
        <v/>
      </c>
      <c r="D946" s="2" t="str">
        <f t="shared" si="89"/>
        <v>Y</v>
      </c>
      <c r="E946" s="2">
        <f t="shared" si="90"/>
        <v>0</v>
      </c>
      <c r="F946" s="2" t="str">
        <f t="shared" si="91"/>
        <v/>
      </c>
      <c r="H946" s="121" t="s">
        <v>943</v>
      </c>
      <c r="I946" s="92"/>
      <c r="J946" s="93"/>
      <c r="K946" s="93"/>
      <c r="L946" s="94"/>
      <c r="M946" s="100"/>
      <c r="N946" s="96"/>
      <c r="O946" s="97"/>
      <c r="P946" s="98"/>
      <c r="Q946" s="101"/>
      <c r="R946" s="78" t="str">
        <f t="shared" si="86"/>
        <v/>
      </c>
    </row>
    <row r="947" spans="2:18" x14ac:dyDescent="0.2">
      <c r="B947" s="2" t="str">
        <f t="shared" si="87"/>
        <v/>
      </c>
      <c r="C947" s="2" t="str">
        <f t="shared" si="88"/>
        <v/>
      </c>
      <c r="D947" s="2" t="str">
        <f t="shared" si="89"/>
        <v>Y</v>
      </c>
      <c r="E947" s="2">
        <f t="shared" si="90"/>
        <v>0</v>
      </c>
      <c r="F947" s="2" t="str">
        <f t="shared" si="91"/>
        <v/>
      </c>
      <c r="H947" s="121" t="s">
        <v>944</v>
      </c>
      <c r="I947" s="92"/>
      <c r="J947" s="93"/>
      <c r="K947" s="93"/>
      <c r="L947" s="94"/>
      <c r="M947" s="100"/>
      <c r="N947" s="96"/>
      <c r="O947" s="97"/>
      <c r="P947" s="98"/>
      <c r="Q947" s="101"/>
      <c r="R947" s="78" t="str">
        <f t="shared" si="86"/>
        <v/>
      </c>
    </row>
    <row r="948" spans="2:18" x14ac:dyDescent="0.2">
      <c r="B948" s="2" t="str">
        <f t="shared" si="87"/>
        <v/>
      </c>
      <c r="C948" s="2" t="str">
        <f t="shared" si="88"/>
        <v/>
      </c>
      <c r="D948" s="2" t="str">
        <f t="shared" si="89"/>
        <v>Y</v>
      </c>
      <c r="E948" s="2">
        <f t="shared" si="90"/>
        <v>0</v>
      </c>
      <c r="F948" s="2" t="str">
        <f t="shared" si="91"/>
        <v/>
      </c>
      <c r="H948" s="121" t="s">
        <v>945</v>
      </c>
      <c r="I948" s="92"/>
      <c r="J948" s="93"/>
      <c r="K948" s="93"/>
      <c r="L948" s="94"/>
      <c r="M948" s="100"/>
      <c r="N948" s="96"/>
      <c r="O948" s="97"/>
      <c r="P948" s="98"/>
      <c r="Q948" s="101"/>
      <c r="R948" s="78" t="str">
        <f t="shared" si="86"/>
        <v/>
      </c>
    </row>
    <row r="949" spans="2:18" x14ac:dyDescent="0.2">
      <c r="B949" s="2" t="str">
        <f t="shared" si="87"/>
        <v/>
      </c>
      <c r="C949" s="2" t="str">
        <f t="shared" si="88"/>
        <v/>
      </c>
      <c r="D949" s="2" t="str">
        <f t="shared" si="89"/>
        <v>Y</v>
      </c>
      <c r="E949" s="2">
        <f t="shared" si="90"/>
        <v>0</v>
      </c>
      <c r="F949" s="2" t="str">
        <f t="shared" si="91"/>
        <v/>
      </c>
      <c r="H949" s="121" t="s">
        <v>946</v>
      </c>
      <c r="I949" s="92"/>
      <c r="J949" s="93"/>
      <c r="K949" s="93"/>
      <c r="L949" s="94"/>
      <c r="M949" s="100"/>
      <c r="N949" s="96"/>
      <c r="O949" s="97"/>
      <c r="P949" s="98"/>
      <c r="Q949" s="101"/>
      <c r="R949" s="78" t="str">
        <f t="shared" si="86"/>
        <v/>
      </c>
    </row>
    <row r="950" spans="2:18" x14ac:dyDescent="0.2">
      <c r="B950" s="2" t="str">
        <f t="shared" si="87"/>
        <v/>
      </c>
      <c r="C950" s="2" t="str">
        <f t="shared" si="88"/>
        <v/>
      </c>
      <c r="D950" s="2" t="str">
        <f t="shared" si="89"/>
        <v>Y</v>
      </c>
      <c r="E950" s="2">
        <f t="shared" si="90"/>
        <v>0</v>
      </c>
      <c r="F950" s="2" t="str">
        <f t="shared" si="91"/>
        <v/>
      </c>
      <c r="H950" s="121" t="s">
        <v>947</v>
      </c>
      <c r="I950" s="92"/>
      <c r="J950" s="93"/>
      <c r="K950" s="93"/>
      <c r="L950" s="94"/>
      <c r="M950" s="100"/>
      <c r="N950" s="96"/>
      <c r="O950" s="97"/>
      <c r="P950" s="98"/>
      <c r="Q950" s="101"/>
      <c r="R950" s="78" t="str">
        <f t="shared" si="86"/>
        <v/>
      </c>
    </row>
    <row r="951" spans="2:18" x14ac:dyDescent="0.2">
      <c r="B951" s="2" t="str">
        <f t="shared" si="87"/>
        <v/>
      </c>
      <c r="C951" s="2" t="str">
        <f t="shared" si="88"/>
        <v/>
      </c>
      <c r="D951" s="2" t="str">
        <f t="shared" si="89"/>
        <v>Y</v>
      </c>
      <c r="E951" s="2">
        <f t="shared" si="90"/>
        <v>0</v>
      </c>
      <c r="F951" s="2" t="str">
        <f t="shared" si="91"/>
        <v/>
      </c>
      <c r="H951" s="121" t="s">
        <v>948</v>
      </c>
      <c r="I951" s="92"/>
      <c r="J951" s="93"/>
      <c r="K951" s="93"/>
      <c r="L951" s="94"/>
      <c r="M951" s="100"/>
      <c r="N951" s="96"/>
      <c r="O951" s="97"/>
      <c r="P951" s="98"/>
      <c r="Q951" s="101"/>
      <c r="R951" s="78" t="str">
        <f t="shared" si="86"/>
        <v/>
      </c>
    </row>
    <row r="952" spans="2:18" x14ac:dyDescent="0.2">
      <c r="B952" s="2" t="str">
        <f t="shared" si="87"/>
        <v/>
      </c>
      <c r="C952" s="2" t="str">
        <f t="shared" si="88"/>
        <v/>
      </c>
      <c r="D952" s="2" t="str">
        <f t="shared" si="89"/>
        <v>Y</v>
      </c>
      <c r="E952" s="2">
        <f t="shared" si="90"/>
        <v>0</v>
      </c>
      <c r="F952" s="2" t="str">
        <f t="shared" si="91"/>
        <v/>
      </c>
      <c r="H952" s="121" t="s">
        <v>949</v>
      </c>
      <c r="I952" s="92"/>
      <c r="J952" s="93"/>
      <c r="K952" s="93"/>
      <c r="L952" s="94"/>
      <c r="M952" s="100"/>
      <c r="N952" s="96"/>
      <c r="O952" s="97"/>
      <c r="P952" s="98"/>
      <c r="Q952" s="101"/>
      <c r="R952" s="78" t="str">
        <f t="shared" si="86"/>
        <v/>
      </c>
    </row>
    <row r="953" spans="2:18" x14ac:dyDescent="0.2">
      <c r="B953" s="2" t="str">
        <f t="shared" si="87"/>
        <v/>
      </c>
      <c r="C953" s="2" t="str">
        <f t="shared" si="88"/>
        <v/>
      </c>
      <c r="D953" s="2" t="str">
        <f t="shared" si="89"/>
        <v>Y</v>
      </c>
      <c r="E953" s="2">
        <f t="shared" si="90"/>
        <v>0</v>
      </c>
      <c r="F953" s="2" t="str">
        <f t="shared" si="91"/>
        <v/>
      </c>
      <c r="H953" s="121" t="s">
        <v>950</v>
      </c>
      <c r="I953" s="92"/>
      <c r="J953" s="93"/>
      <c r="K953" s="93"/>
      <c r="L953" s="94"/>
      <c r="M953" s="100"/>
      <c r="N953" s="96"/>
      <c r="O953" s="97"/>
      <c r="P953" s="98"/>
      <c r="Q953" s="101"/>
      <c r="R953" s="78" t="str">
        <f t="shared" si="86"/>
        <v/>
      </c>
    </row>
    <row r="954" spans="2:18" x14ac:dyDescent="0.2">
      <c r="B954" s="2" t="str">
        <f t="shared" si="87"/>
        <v/>
      </c>
      <c r="C954" s="2" t="str">
        <f t="shared" si="88"/>
        <v/>
      </c>
      <c r="D954" s="2" t="str">
        <f t="shared" si="89"/>
        <v>Y</v>
      </c>
      <c r="E954" s="2">
        <f t="shared" si="90"/>
        <v>0</v>
      </c>
      <c r="F954" s="2" t="str">
        <f t="shared" si="91"/>
        <v/>
      </c>
      <c r="H954" s="121" t="s">
        <v>951</v>
      </c>
      <c r="I954" s="92"/>
      <c r="J954" s="93"/>
      <c r="K954" s="93"/>
      <c r="L954" s="94"/>
      <c r="M954" s="100"/>
      <c r="N954" s="96"/>
      <c r="O954" s="97"/>
      <c r="P954" s="98"/>
      <c r="Q954" s="101"/>
      <c r="R954" s="78" t="str">
        <f t="shared" si="86"/>
        <v/>
      </c>
    </row>
    <row r="955" spans="2:18" x14ac:dyDescent="0.2">
      <c r="B955" s="2" t="str">
        <f t="shared" si="87"/>
        <v/>
      </c>
      <c r="C955" s="2" t="str">
        <f t="shared" si="88"/>
        <v/>
      </c>
      <c r="D955" s="2" t="str">
        <f t="shared" si="89"/>
        <v>Y</v>
      </c>
      <c r="E955" s="2">
        <f t="shared" si="90"/>
        <v>0</v>
      </c>
      <c r="F955" s="2" t="str">
        <f t="shared" si="91"/>
        <v/>
      </c>
      <c r="H955" s="121" t="s">
        <v>952</v>
      </c>
      <c r="I955" s="92"/>
      <c r="J955" s="93"/>
      <c r="K955" s="93"/>
      <c r="L955" s="94"/>
      <c r="M955" s="100"/>
      <c r="N955" s="96"/>
      <c r="O955" s="97"/>
      <c r="P955" s="98"/>
      <c r="Q955" s="101"/>
      <c r="R955" s="78" t="str">
        <f t="shared" si="86"/>
        <v/>
      </c>
    </row>
    <row r="956" spans="2:18" x14ac:dyDescent="0.2">
      <c r="B956" s="2" t="str">
        <f t="shared" si="87"/>
        <v/>
      </c>
      <c r="C956" s="2" t="str">
        <f t="shared" si="88"/>
        <v/>
      </c>
      <c r="D956" s="2" t="str">
        <f t="shared" si="89"/>
        <v>Y</v>
      </c>
      <c r="E956" s="2">
        <f t="shared" si="90"/>
        <v>0</v>
      </c>
      <c r="F956" s="2" t="str">
        <f t="shared" si="91"/>
        <v/>
      </c>
      <c r="H956" s="121" t="s">
        <v>953</v>
      </c>
      <c r="I956" s="92"/>
      <c r="J956" s="93"/>
      <c r="K956" s="93"/>
      <c r="L956" s="94"/>
      <c r="M956" s="100"/>
      <c r="N956" s="96"/>
      <c r="O956" s="97"/>
      <c r="P956" s="98"/>
      <c r="Q956" s="101"/>
      <c r="R956" s="78" t="str">
        <f t="shared" si="86"/>
        <v/>
      </c>
    </row>
    <row r="957" spans="2:18" x14ac:dyDescent="0.2">
      <c r="B957" s="2" t="str">
        <f t="shared" si="87"/>
        <v/>
      </c>
      <c r="C957" s="2" t="str">
        <f t="shared" si="88"/>
        <v/>
      </c>
      <c r="D957" s="2" t="str">
        <f t="shared" si="89"/>
        <v>Y</v>
      </c>
      <c r="E957" s="2">
        <f t="shared" si="90"/>
        <v>0</v>
      </c>
      <c r="F957" s="2" t="str">
        <f t="shared" si="91"/>
        <v/>
      </c>
      <c r="H957" s="121" t="s">
        <v>954</v>
      </c>
      <c r="I957" s="92"/>
      <c r="J957" s="93"/>
      <c r="K957" s="93"/>
      <c r="L957" s="94"/>
      <c r="M957" s="100"/>
      <c r="N957" s="96"/>
      <c r="O957" s="97"/>
      <c r="P957" s="98"/>
      <c r="Q957" s="101"/>
      <c r="R957" s="78" t="str">
        <f t="shared" si="86"/>
        <v/>
      </c>
    </row>
    <row r="958" spans="2:18" x14ac:dyDescent="0.2">
      <c r="B958" s="2" t="str">
        <f t="shared" si="87"/>
        <v/>
      </c>
      <c r="C958" s="2" t="str">
        <f t="shared" si="88"/>
        <v/>
      </c>
      <c r="D958" s="2" t="str">
        <f t="shared" si="89"/>
        <v>Y</v>
      </c>
      <c r="E958" s="2">
        <f t="shared" si="90"/>
        <v>0</v>
      </c>
      <c r="F958" s="2" t="str">
        <f t="shared" si="91"/>
        <v/>
      </c>
      <c r="H958" s="121" t="s">
        <v>955</v>
      </c>
      <c r="I958" s="92"/>
      <c r="J958" s="93"/>
      <c r="K958" s="93"/>
      <c r="L958" s="94"/>
      <c r="M958" s="100"/>
      <c r="N958" s="96"/>
      <c r="O958" s="97"/>
      <c r="P958" s="98"/>
      <c r="Q958" s="101"/>
      <c r="R958" s="78" t="str">
        <f t="shared" si="86"/>
        <v/>
      </c>
    </row>
    <row r="959" spans="2:18" x14ac:dyDescent="0.2">
      <c r="B959" s="2" t="str">
        <f t="shared" si="87"/>
        <v/>
      </c>
      <c r="C959" s="2" t="str">
        <f t="shared" si="88"/>
        <v/>
      </c>
      <c r="D959" s="2" t="str">
        <f t="shared" si="89"/>
        <v>Y</v>
      </c>
      <c r="E959" s="2">
        <f t="shared" si="90"/>
        <v>0</v>
      </c>
      <c r="F959" s="2" t="str">
        <f t="shared" si="91"/>
        <v/>
      </c>
      <c r="H959" s="121" t="s">
        <v>956</v>
      </c>
      <c r="I959" s="92"/>
      <c r="J959" s="93"/>
      <c r="K959" s="93"/>
      <c r="L959" s="94"/>
      <c r="M959" s="100"/>
      <c r="N959" s="96"/>
      <c r="O959" s="97"/>
      <c r="P959" s="98"/>
      <c r="Q959" s="101"/>
      <c r="R959" s="78" t="str">
        <f t="shared" si="86"/>
        <v/>
      </c>
    </row>
    <row r="960" spans="2:18" x14ac:dyDescent="0.2">
      <c r="B960" s="2" t="str">
        <f t="shared" si="87"/>
        <v/>
      </c>
      <c r="C960" s="2" t="str">
        <f t="shared" si="88"/>
        <v/>
      </c>
      <c r="D960" s="2" t="str">
        <f t="shared" si="89"/>
        <v>Y</v>
      </c>
      <c r="E960" s="2">
        <f t="shared" si="90"/>
        <v>0</v>
      </c>
      <c r="F960" s="2" t="str">
        <f t="shared" si="91"/>
        <v/>
      </c>
      <c r="H960" s="121" t="s">
        <v>957</v>
      </c>
      <c r="I960" s="92"/>
      <c r="J960" s="93"/>
      <c r="K960" s="93"/>
      <c r="L960" s="94"/>
      <c r="M960" s="100"/>
      <c r="N960" s="96"/>
      <c r="O960" s="97"/>
      <c r="P960" s="98"/>
      <c r="Q960" s="101"/>
      <c r="R960" s="78" t="str">
        <f t="shared" si="86"/>
        <v/>
      </c>
    </row>
    <row r="961" spans="2:18" x14ac:dyDescent="0.2">
      <c r="B961" s="2" t="str">
        <f t="shared" si="87"/>
        <v/>
      </c>
      <c r="C961" s="2" t="str">
        <f t="shared" si="88"/>
        <v/>
      </c>
      <c r="D961" s="2" t="str">
        <f t="shared" si="89"/>
        <v>Y</v>
      </c>
      <c r="E961" s="2">
        <f t="shared" si="90"/>
        <v>0</v>
      </c>
      <c r="F961" s="2" t="str">
        <f t="shared" si="91"/>
        <v/>
      </c>
      <c r="H961" s="121" t="s">
        <v>958</v>
      </c>
      <c r="I961" s="92"/>
      <c r="J961" s="93"/>
      <c r="K961" s="93"/>
      <c r="L961" s="94"/>
      <c r="M961" s="100"/>
      <c r="N961" s="96"/>
      <c r="O961" s="97"/>
      <c r="P961" s="98"/>
      <c r="Q961" s="101"/>
      <c r="R961" s="78" t="str">
        <f t="shared" si="86"/>
        <v/>
      </c>
    </row>
    <row r="962" spans="2:18" x14ac:dyDescent="0.2">
      <c r="B962" s="2" t="str">
        <f t="shared" si="87"/>
        <v/>
      </c>
      <c r="C962" s="2" t="str">
        <f t="shared" si="88"/>
        <v/>
      </c>
      <c r="D962" s="2" t="str">
        <f t="shared" si="89"/>
        <v>Y</v>
      </c>
      <c r="E962" s="2">
        <f t="shared" si="90"/>
        <v>0</v>
      </c>
      <c r="F962" s="2" t="str">
        <f t="shared" si="91"/>
        <v/>
      </c>
      <c r="H962" s="121" t="s">
        <v>959</v>
      </c>
      <c r="I962" s="92"/>
      <c r="J962" s="93"/>
      <c r="K962" s="93"/>
      <c r="L962" s="94"/>
      <c r="M962" s="100"/>
      <c r="N962" s="96"/>
      <c r="O962" s="97"/>
      <c r="P962" s="98"/>
      <c r="Q962" s="101"/>
      <c r="R962" s="78" t="str">
        <f t="shared" si="86"/>
        <v/>
      </c>
    </row>
    <row r="963" spans="2:18" x14ac:dyDescent="0.2">
      <c r="B963" s="2" t="str">
        <f t="shared" si="87"/>
        <v/>
      </c>
      <c r="C963" s="2" t="str">
        <f t="shared" si="88"/>
        <v/>
      </c>
      <c r="D963" s="2" t="str">
        <f t="shared" si="89"/>
        <v>Y</v>
      </c>
      <c r="E963" s="2">
        <f t="shared" si="90"/>
        <v>0</v>
      </c>
      <c r="F963" s="2" t="str">
        <f t="shared" si="91"/>
        <v/>
      </c>
      <c r="H963" s="121" t="s">
        <v>960</v>
      </c>
      <c r="I963" s="92"/>
      <c r="J963" s="93"/>
      <c r="K963" s="93"/>
      <c r="L963" s="94"/>
      <c r="M963" s="100"/>
      <c r="N963" s="96"/>
      <c r="O963" s="97"/>
      <c r="P963" s="98"/>
      <c r="Q963" s="101"/>
      <c r="R963" s="78" t="str">
        <f t="shared" si="86"/>
        <v/>
      </c>
    </row>
    <row r="964" spans="2:18" x14ac:dyDescent="0.2">
      <c r="B964" s="2" t="str">
        <f t="shared" si="87"/>
        <v/>
      </c>
      <c r="C964" s="2" t="str">
        <f t="shared" si="88"/>
        <v/>
      </c>
      <c r="D964" s="2" t="str">
        <f t="shared" si="89"/>
        <v>Y</v>
      </c>
      <c r="E964" s="2">
        <f t="shared" si="90"/>
        <v>0</v>
      </c>
      <c r="F964" s="2" t="str">
        <f t="shared" si="91"/>
        <v/>
      </c>
      <c r="H964" s="121" t="s">
        <v>961</v>
      </c>
      <c r="I964" s="92"/>
      <c r="J964" s="93"/>
      <c r="K964" s="93"/>
      <c r="L964" s="94"/>
      <c r="M964" s="100"/>
      <c r="N964" s="96"/>
      <c r="O964" s="97"/>
      <c r="P964" s="98"/>
      <c r="Q964" s="101"/>
      <c r="R964" s="78" t="str">
        <f t="shared" si="86"/>
        <v/>
      </c>
    </row>
    <row r="965" spans="2:18" x14ac:dyDescent="0.2">
      <c r="B965" s="2" t="str">
        <f t="shared" si="87"/>
        <v/>
      </c>
      <c r="C965" s="2" t="str">
        <f t="shared" si="88"/>
        <v/>
      </c>
      <c r="D965" s="2" t="str">
        <f t="shared" si="89"/>
        <v>Y</v>
      </c>
      <c r="E965" s="2">
        <f t="shared" si="90"/>
        <v>0</v>
      </c>
      <c r="F965" s="2" t="str">
        <f t="shared" si="91"/>
        <v/>
      </c>
      <c r="H965" s="121" t="s">
        <v>962</v>
      </c>
      <c r="I965" s="92"/>
      <c r="J965" s="93"/>
      <c r="K965" s="93"/>
      <c r="L965" s="94"/>
      <c r="M965" s="100"/>
      <c r="N965" s="96"/>
      <c r="O965" s="97"/>
      <c r="P965" s="98"/>
      <c r="Q965" s="101"/>
      <c r="R965" s="78" t="str">
        <f t="shared" si="86"/>
        <v/>
      </c>
    </row>
    <row r="966" spans="2:18" x14ac:dyDescent="0.2">
      <c r="B966" s="2" t="str">
        <f t="shared" si="87"/>
        <v/>
      </c>
      <c r="C966" s="2" t="str">
        <f t="shared" si="88"/>
        <v/>
      </c>
      <c r="D966" s="2" t="str">
        <f t="shared" si="89"/>
        <v>Y</v>
      </c>
      <c r="E966" s="2">
        <f t="shared" si="90"/>
        <v>0</v>
      </c>
      <c r="F966" s="2" t="str">
        <f t="shared" si="91"/>
        <v/>
      </c>
      <c r="H966" s="121" t="s">
        <v>963</v>
      </c>
      <c r="I966" s="92"/>
      <c r="J966" s="93"/>
      <c r="K966" s="93"/>
      <c r="L966" s="94"/>
      <c r="M966" s="100"/>
      <c r="N966" s="96"/>
      <c r="O966" s="97"/>
      <c r="P966" s="98"/>
      <c r="Q966" s="101"/>
      <c r="R966" s="78" t="str">
        <f t="shared" si="86"/>
        <v/>
      </c>
    </row>
    <row r="967" spans="2:18" x14ac:dyDescent="0.2">
      <c r="B967" s="2" t="str">
        <f t="shared" si="87"/>
        <v/>
      </c>
      <c r="C967" s="2" t="str">
        <f t="shared" si="88"/>
        <v/>
      </c>
      <c r="D967" s="2" t="str">
        <f t="shared" si="89"/>
        <v>Y</v>
      </c>
      <c r="E967" s="2">
        <f t="shared" si="90"/>
        <v>0</v>
      </c>
      <c r="F967" s="2" t="str">
        <f t="shared" si="91"/>
        <v/>
      </c>
      <c r="H967" s="121" t="s">
        <v>964</v>
      </c>
      <c r="I967" s="92"/>
      <c r="J967" s="93"/>
      <c r="K967" s="93"/>
      <c r="L967" s="94"/>
      <c r="M967" s="100"/>
      <c r="N967" s="96"/>
      <c r="O967" s="97"/>
      <c r="P967" s="98"/>
      <c r="Q967" s="101"/>
      <c r="R967" s="78" t="str">
        <f t="shared" si="86"/>
        <v/>
      </c>
    </row>
    <row r="968" spans="2:18" x14ac:dyDescent="0.2">
      <c r="B968" s="2" t="str">
        <f t="shared" si="87"/>
        <v/>
      </c>
      <c r="C968" s="2" t="str">
        <f t="shared" si="88"/>
        <v/>
      </c>
      <c r="D968" s="2" t="str">
        <f t="shared" si="89"/>
        <v>Y</v>
      </c>
      <c r="E968" s="2">
        <f t="shared" si="90"/>
        <v>0</v>
      </c>
      <c r="F968" s="2" t="str">
        <f t="shared" si="91"/>
        <v/>
      </c>
      <c r="H968" s="121" t="s">
        <v>965</v>
      </c>
      <c r="I968" s="92"/>
      <c r="J968" s="93"/>
      <c r="K968" s="93"/>
      <c r="L968" s="94"/>
      <c r="M968" s="100"/>
      <c r="N968" s="96"/>
      <c r="O968" s="97"/>
      <c r="P968" s="98"/>
      <c r="Q968" s="101"/>
      <c r="R968" s="78" t="str">
        <f t="shared" si="86"/>
        <v/>
      </c>
    </row>
    <row r="969" spans="2:18" x14ac:dyDescent="0.2">
      <c r="B969" s="2" t="str">
        <f t="shared" si="87"/>
        <v/>
      </c>
      <c r="C969" s="2" t="str">
        <f t="shared" si="88"/>
        <v/>
      </c>
      <c r="D969" s="2" t="str">
        <f t="shared" si="89"/>
        <v>Y</v>
      </c>
      <c r="E969" s="2">
        <f t="shared" si="90"/>
        <v>0</v>
      </c>
      <c r="F969" s="2" t="str">
        <f t="shared" si="91"/>
        <v/>
      </c>
      <c r="H969" s="121" t="s">
        <v>966</v>
      </c>
      <c r="I969" s="92"/>
      <c r="J969" s="93"/>
      <c r="K969" s="93"/>
      <c r="L969" s="94"/>
      <c r="M969" s="100"/>
      <c r="N969" s="96"/>
      <c r="O969" s="97"/>
      <c r="P969" s="98"/>
      <c r="Q969" s="101"/>
      <c r="R969" s="78" t="str">
        <f t="shared" si="86"/>
        <v/>
      </c>
    </row>
    <row r="970" spans="2:18" x14ac:dyDescent="0.2">
      <c r="B970" s="2" t="str">
        <f t="shared" si="87"/>
        <v/>
      </c>
      <c r="C970" s="2" t="str">
        <f t="shared" si="88"/>
        <v/>
      </c>
      <c r="D970" s="2" t="str">
        <f t="shared" si="89"/>
        <v>Y</v>
      </c>
      <c r="E970" s="2">
        <f t="shared" si="90"/>
        <v>0</v>
      </c>
      <c r="F970" s="2" t="str">
        <f t="shared" si="91"/>
        <v/>
      </c>
      <c r="H970" s="121" t="s">
        <v>967</v>
      </c>
      <c r="I970" s="92"/>
      <c r="J970" s="93"/>
      <c r="K970" s="93"/>
      <c r="L970" s="94"/>
      <c r="M970" s="100"/>
      <c r="N970" s="96"/>
      <c r="O970" s="97"/>
      <c r="P970" s="98"/>
      <c r="Q970" s="101"/>
      <c r="R970" s="78" t="str">
        <f t="shared" si="86"/>
        <v/>
      </c>
    </row>
    <row r="971" spans="2:18" x14ac:dyDescent="0.2">
      <c r="B971" s="2" t="str">
        <f t="shared" si="87"/>
        <v/>
      </c>
      <c r="C971" s="2" t="str">
        <f t="shared" si="88"/>
        <v/>
      </c>
      <c r="D971" s="2" t="str">
        <f t="shared" si="89"/>
        <v>Y</v>
      </c>
      <c r="E971" s="2">
        <f t="shared" si="90"/>
        <v>0</v>
      </c>
      <c r="F971" s="2" t="str">
        <f t="shared" si="91"/>
        <v/>
      </c>
      <c r="H971" s="121" t="s">
        <v>968</v>
      </c>
      <c r="I971" s="92"/>
      <c r="J971" s="93"/>
      <c r="K971" s="93"/>
      <c r="L971" s="94"/>
      <c r="M971" s="100"/>
      <c r="N971" s="96"/>
      <c r="O971" s="97"/>
      <c r="P971" s="98"/>
      <c r="Q971" s="101"/>
      <c r="R971" s="78" t="str">
        <f t="shared" ref="R971:R1009" si="92">IF(ISERROR(VLOOKUP(K971,LB_PROJECTS,2,FALSE)),"",VLOOKUP(K971,LB_PROJECTS,2,FALSE))</f>
        <v/>
      </c>
    </row>
    <row r="972" spans="2:18" x14ac:dyDescent="0.2">
      <c r="B972" s="2" t="str">
        <f t="shared" ref="B972:B1009" si="93">IF(M972="","",IF(WEEKNUM(M972)&lt;10,VALUE(CONCATENATE(YEAR(M972),"0",WEEKNUM(M972))),VALUE(CONCATENATE(YEAR(M972),WEEKNUM(M972)))))</f>
        <v/>
      </c>
      <c r="C972" s="2" t="str">
        <f t="shared" ref="C972:C1009" si="94">IF(P972="","",IF(WEEKNUM(P972)&lt;10,VALUE(CONCATENATE(YEAR(P972),"0",WEEKNUM(P972))),VALUE(CONCATENATE(YEAR(P972),WEEKNUM(P972)))))</f>
        <v/>
      </c>
      <c r="D972" s="2" t="str">
        <f t="shared" ref="D972:D1009" si="95">IF(OR(O972="Not started",O972="In progress"),"N",IF(OR(O972="N/A",O972="Suspended",O972="Canceled"),"","Y"))</f>
        <v>Y</v>
      </c>
      <c r="E972" s="2">
        <f t="shared" ref="E972:E1009" si="96">IF(OR(O972="Not started",O972="In progress",O972="Applied",O972="Closed"),1,0)</f>
        <v>0</v>
      </c>
      <c r="F972" s="2" t="str">
        <f t="shared" si="91"/>
        <v/>
      </c>
      <c r="H972" s="121" t="s">
        <v>969</v>
      </c>
      <c r="I972" s="92"/>
      <c r="J972" s="93"/>
      <c r="K972" s="93"/>
      <c r="L972" s="94"/>
      <c r="M972" s="100"/>
      <c r="N972" s="96"/>
      <c r="O972" s="97"/>
      <c r="P972" s="98"/>
      <c r="Q972" s="101"/>
      <c r="R972" s="78" t="str">
        <f t="shared" si="92"/>
        <v/>
      </c>
    </row>
    <row r="973" spans="2:18" x14ac:dyDescent="0.2">
      <c r="B973" s="2" t="str">
        <f t="shared" si="93"/>
        <v/>
      </c>
      <c r="C973" s="2" t="str">
        <f t="shared" si="94"/>
        <v/>
      </c>
      <c r="D973" s="2" t="str">
        <f t="shared" si="95"/>
        <v>Y</v>
      </c>
      <c r="E973" s="2">
        <f t="shared" si="96"/>
        <v>0</v>
      </c>
      <c r="F973" s="2" t="str">
        <f t="shared" si="91"/>
        <v/>
      </c>
      <c r="H973" s="121" t="s">
        <v>970</v>
      </c>
      <c r="I973" s="92"/>
      <c r="J973" s="93"/>
      <c r="K973" s="93"/>
      <c r="L973" s="94"/>
      <c r="M973" s="100"/>
      <c r="N973" s="96"/>
      <c r="O973" s="97"/>
      <c r="P973" s="98"/>
      <c r="Q973" s="101"/>
      <c r="R973" s="78" t="str">
        <f t="shared" si="92"/>
        <v/>
      </c>
    </row>
    <row r="974" spans="2:18" x14ac:dyDescent="0.2">
      <c r="B974" s="2" t="str">
        <f t="shared" si="93"/>
        <v/>
      </c>
      <c r="C974" s="2" t="str">
        <f t="shared" si="94"/>
        <v/>
      </c>
      <c r="D974" s="2" t="str">
        <f t="shared" si="95"/>
        <v>Y</v>
      </c>
      <c r="E974" s="2">
        <f t="shared" si="96"/>
        <v>0</v>
      </c>
      <c r="F974" s="2" t="str">
        <f t="shared" ref="F974:F1009" si="97">IF(N974="",B974,IF(WEEKNUM(N974)&lt;10,VALUE(CONCATENATE(YEAR(N974),"0",WEEKNUM(N974))),VALUE(CONCATENATE(YEAR(N974),WEEKNUM(N974)))))</f>
        <v/>
      </c>
      <c r="H974" s="121" t="s">
        <v>971</v>
      </c>
      <c r="I974" s="92"/>
      <c r="J974" s="93"/>
      <c r="K974" s="93"/>
      <c r="L974" s="94"/>
      <c r="M974" s="100"/>
      <c r="N974" s="96"/>
      <c r="O974" s="97"/>
      <c r="P974" s="98"/>
      <c r="Q974" s="101"/>
      <c r="R974" s="78" t="str">
        <f t="shared" si="92"/>
        <v/>
      </c>
    </row>
    <row r="975" spans="2:18" x14ac:dyDescent="0.2">
      <c r="B975" s="2" t="str">
        <f t="shared" si="93"/>
        <v/>
      </c>
      <c r="C975" s="2" t="str">
        <f t="shared" si="94"/>
        <v/>
      </c>
      <c r="D975" s="2" t="str">
        <f t="shared" si="95"/>
        <v>Y</v>
      </c>
      <c r="E975" s="2">
        <f t="shared" si="96"/>
        <v>0</v>
      </c>
      <c r="F975" s="2" t="str">
        <f t="shared" si="97"/>
        <v/>
      </c>
      <c r="H975" s="121" t="s">
        <v>972</v>
      </c>
      <c r="I975" s="92"/>
      <c r="J975" s="93"/>
      <c r="K975" s="93"/>
      <c r="L975" s="94"/>
      <c r="M975" s="100"/>
      <c r="N975" s="96"/>
      <c r="O975" s="97"/>
      <c r="P975" s="98"/>
      <c r="Q975" s="101"/>
      <c r="R975" s="78" t="str">
        <f t="shared" si="92"/>
        <v/>
      </c>
    </row>
    <row r="976" spans="2:18" x14ac:dyDescent="0.2">
      <c r="B976" s="2" t="str">
        <f t="shared" si="93"/>
        <v/>
      </c>
      <c r="C976" s="2" t="str">
        <f t="shared" si="94"/>
        <v/>
      </c>
      <c r="D976" s="2" t="str">
        <f t="shared" si="95"/>
        <v>Y</v>
      </c>
      <c r="E976" s="2">
        <f t="shared" si="96"/>
        <v>0</v>
      </c>
      <c r="F976" s="2" t="str">
        <f t="shared" si="97"/>
        <v/>
      </c>
      <c r="H976" s="121" t="s">
        <v>973</v>
      </c>
      <c r="I976" s="92"/>
      <c r="J976" s="93"/>
      <c r="K976" s="93"/>
      <c r="L976" s="94"/>
      <c r="M976" s="100"/>
      <c r="N976" s="96"/>
      <c r="O976" s="97"/>
      <c r="P976" s="98"/>
      <c r="Q976" s="101"/>
      <c r="R976" s="78" t="str">
        <f t="shared" si="92"/>
        <v/>
      </c>
    </row>
    <row r="977" spans="2:18" x14ac:dyDescent="0.2">
      <c r="B977" s="2" t="str">
        <f t="shared" si="93"/>
        <v/>
      </c>
      <c r="C977" s="2" t="str">
        <f t="shared" si="94"/>
        <v/>
      </c>
      <c r="D977" s="2" t="str">
        <f t="shared" si="95"/>
        <v>Y</v>
      </c>
      <c r="E977" s="2">
        <f t="shared" si="96"/>
        <v>0</v>
      </c>
      <c r="F977" s="2" t="str">
        <f t="shared" si="97"/>
        <v/>
      </c>
      <c r="H977" s="121" t="s">
        <v>974</v>
      </c>
      <c r="I977" s="92"/>
      <c r="J977" s="93"/>
      <c r="K977" s="93"/>
      <c r="L977" s="94"/>
      <c r="M977" s="100"/>
      <c r="N977" s="96"/>
      <c r="O977" s="97"/>
      <c r="P977" s="98"/>
      <c r="Q977" s="101"/>
      <c r="R977" s="78" t="str">
        <f t="shared" si="92"/>
        <v/>
      </c>
    </row>
    <row r="978" spans="2:18" x14ac:dyDescent="0.2">
      <c r="B978" s="2" t="str">
        <f t="shared" si="93"/>
        <v/>
      </c>
      <c r="C978" s="2" t="str">
        <f t="shared" si="94"/>
        <v/>
      </c>
      <c r="D978" s="2" t="str">
        <f t="shared" si="95"/>
        <v>Y</v>
      </c>
      <c r="E978" s="2">
        <f t="shared" si="96"/>
        <v>0</v>
      </c>
      <c r="F978" s="2" t="str">
        <f t="shared" si="97"/>
        <v/>
      </c>
      <c r="H978" s="121" t="s">
        <v>975</v>
      </c>
      <c r="I978" s="92"/>
      <c r="J978" s="93"/>
      <c r="K978" s="93"/>
      <c r="L978" s="94"/>
      <c r="M978" s="100"/>
      <c r="N978" s="96"/>
      <c r="O978" s="97"/>
      <c r="P978" s="98"/>
      <c r="Q978" s="101"/>
      <c r="R978" s="78" t="str">
        <f t="shared" si="92"/>
        <v/>
      </c>
    </row>
    <row r="979" spans="2:18" x14ac:dyDescent="0.2">
      <c r="B979" s="2" t="str">
        <f t="shared" si="93"/>
        <v/>
      </c>
      <c r="C979" s="2" t="str">
        <f t="shared" si="94"/>
        <v/>
      </c>
      <c r="D979" s="2" t="str">
        <f t="shared" si="95"/>
        <v>Y</v>
      </c>
      <c r="E979" s="2">
        <f t="shared" si="96"/>
        <v>0</v>
      </c>
      <c r="F979" s="2" t="str">
        <f t="shared" si="97"/>
        <v/>
      </c>
      <c r="H979" s="121" t="s">
        <v>976</v>
      </c>
      <c r="I979" s="92"/>
      <c r="J979" s="93"/>
      <c r="K979" s="93"/>
      <c r="L979" s="94"/>
      <c r="M979" s="100"/>
      <c r="N979" s="96"/>
      <c r="O979" s="97"/>
      <c r="P979" s="98"/>
      <c r="Q979" s="101"/>
      <c r="R979" s="78" t="str">
        <f t="shared" si="92"/>
        <v/>
      </c>
    </row>
    <row r="980" spans="2:18" x14ac:dyDescent="0.2">
      <c r="B980" s="2" t="str">
        <f t="shared" si="93"/>
        <v/>
      </c>
      <c r="C980" s="2" t="str">
        <f t="shared" si="94"/>
        <v/>
      </c>
      <c r="D980" s="2" t="str">
        <f t="shared" si="95"/>
        <v>Y</v>
      </c>
      <c r="E980" s="2">
        <f t="shared" si="96"/>
        <v>0</v>
      </c>
      <c r="F980" s="2" t="str">
        <f t="shared" si="97"/>
        <v/>
      </c>
      <c r="H980" s="121" t="s">
        <v>977</v>
      </c>
      <c r="I980" s="92"/>
      <c r="J980" s="93"/>
      <c r="K980" s="93"/>
      <c r="L980" s="94"/>
      <c r="M980" s="100"/>
      <c r="N980" s="96"/>
      <c r="O980" s="97"/>
      <c r="P980" s="98"/>
      <c r="Q980" s="101"/>
      <c r="R980" s="78" t="str">
        <f t="shared" si="92"/>
        <v/>
      </c>
    </row>
    <row r="981" spans="2:18" x14ac:dyDescent="0.2">
      <c r="B981" s="2" t="str">
        <f t="shared" si="93"/>
        <v/>
      </c>
      <c r="C981" s="2" t="str">
        <f t="shared" si="94"/>
        <v/>
      </c>
      <c r="D981" s="2" t="str">
        <f t="shared" si="95"/>
        <v>Y</v>
      </c>
      <c r="E981" s="2">
        <f t="shared" si="96"/>
        <v>0</v>
      </c>
      <c r="F981" s="2" t="str">
        <f t="shared" si="97"/>
        <v/>
      </c>
      <c r="H981" s="121" t="s">
        <v>978</v>
      </c>
      <c r="I981" s="92"/>
      <c r="J981" s="93"/>
      <c r="K981" s="93"/>
      <c r="L981" s="94"/>
      <c r="M981" s="100"/>
      <c r="N981" s="96"/>
      <c r="O981" s="97"/>
      <c r="P981" s="98"/>
      <c r="Q981" s="101"/>
      <c r="R981" s="78" t="str">
        <f t="shared" si="92"/>
        <v/>
      </c>
    </row>
    <row r="982" spans="2:18" x14ac:dyDescent="0.2">
      <c r="B982" s="2" t="str">
        <f t="shared" si="93"/>
        <v/>
      </c>
      <c r="C982" s="2" t="str">
        <f t="shared" si="94"/>
        <v/>
      </c>
      <c r="D982" s="2" t="str">
        <f t="shared" si="95"/>
        <v>Y</v>
      </c>
      <c r="E982" s="2">
        <f t="shared" si="96"/>
        <v>0</v>
      </c>
      <c r="F982" s="2" t="str">
        <f t="shared" si="97"/>
        <v/>
      </c>
      <c r="H982" s="121" t="s">
        <v>979</v>
      </c>
      <c r="I982" s="92"/>
      <c r="J982" s="93"/>
      <c r="K982" s="93"/>
      <c r="L982" s="94"/>
      <c r="M982" s="100"/>
      <c r="N982" s="96"/>
      <c r="O982" s="97"/>
      <c r="P982" s="98"/>
      <c r="Q982" s="101"/>
      <c r="R982" s="78" t="str">
        <f t="shared" si="92"/>
        <v/>
      </c>
    </row>
    <row r="983" spans="2:18" x14ac:dyDescent="0.2">
      <c r="B983" s="2" t="str">
        <f t="shared" si="93"/>
        <v/>
      </c>
      <c r="C983" s="2" t="str">
        <f t="shared" si="94"/>
        <v/>
      </c>
      <c r="D983" s="2" t="str">
        <f t="shared" si="95"/>
        <v>Y</v>
      </c>
      <c r="E983" s="2">
        <f t="shared" si="96"/>
        <v>0</v>
      </c>
      <c r="F983" s="2" t="str">
        <f t="shared" si="97"/>
        <v/>
      </c>
      <c r="H983" s="121" t="s">
        <v>980</v>
      </c>
      <c r="I983" s="92"/>
      <c r="J983" s="93"/>
      <c r="K983" s="93"/>
      <c r="L983" s="94"/>
      <c r="M983" s="100"/>
      <c r="N983" s="96"/>
      <c r="O983" s="97"/>
      <c r="P983" s="98"/>
      <c r="Q983" s="101"/>
      <c r="R983" s="78" t="str">
        <f t="shared" si="92"/>
        <v/>
      </c>
    </row>
    <row r="984" spans="2:18" x14ac:dyDescent="0.2">
      <c r="B984" s="2" t="str">
        <f t="shared" si="93"/>
        <v/>
      </c>
      <c r="C984" s="2" t="str">
        <f t="shared" si="94"/>
        <v/>
      </c>
      <c r="D984" s="2" t="str">
        <f t="shared" si="95"/>
        <v>Y</v>
      </c>
      <c r="E984" s="2">
        <f t="shared" si="96"/>
        <v>0</v>
      </c>
      <c r="F984" s="2" t="str">
        <f t="shared" si="97"/>
        <v/>
      </c>
      <c r="H984" s="121" t="s">
        <v>981</v>
      </c>
      <c r="I984" s="92"/>
      <c r="J984" s="93"/>
      <c r="K984" s="93"/>
      <c r="L984" s="94"/>
      <c r="M984" s="100"/>
      <c r="N984" s="96"/>
      <c r="O984" s="97"/>
      <c r="P984" s="98"/>
      <c r="Q984" s="101"/>
      <c r="R984" s="78" t="str">
        <f t="shared" si="92"/>
        <v/>
      </c>
    </row>
    <row r="985" spans="2:18" x14ac:dyDescent="0.2">
      <c r="B985" s="2" t="str">
        <f t="shared" si="93"/>
        <v/>
      </c>
      <c r="C985" s="2" t="str">
        <f t="shared" si="94"/>
        <v/>
      </c>
      <c r="D985" s="2" t="str">
        <f t="shared" si="95"/>
        <v>Y</v>
      </c>
      <c r="E985" s="2">
        <f t="shared" si="96"/>
        <v>0</v>
      </c>
      <c r="F985" s="2" t="str">
        <f t="shared" si="97"/>
        <v/>
      </c>
      <c r="H985" s="121" t="s">
        <v>982</v>
      </c>
      <c r="I985" s="92"/>
      <c r="J985" s="93"/>
      <c r="K985" s="93"/>
      <c r="L985" s="94"/>
      <c r="M985" s="100"/>
      <c r="N985" s="96"/>
      <c r="O985" s="97"/>
      <c r="P985" s="98"/>
      <c r="Q985" s="101"/>
      <c r="R985" s="78" t="str">
        <f t="shared" si="92"/>
        <v/>
      </c>
    </row>
    <row r="986" spans="2:18" x14ac:dyDescent="0.2">
      <c r="B986" s="2" t="str">
        <f t="shared" si="93"/>
        <v/>
      </c>
      <c r="C986" s="2" t="str">
        <f t="shared" si="94"/>
        <v/>
      </c>
      <c r="D986" s="2" t="str">
        <f t="shared" si="95"/>
        <v>Y</v>
      </c>
      <c r="E986" s="2">
        <f t="shared" si="96"/>
        <v>0</v>
      </c>
      <c r="F986" s="2" t="str">
        <f t="shared" si="97"/>
        <v/>
      </c>
      <c r="H986" s="121" t="s">
        <v>983</v>
      </c>
      <c r="I986" s="92"/>
      <c r="J986" s="93"/>
      <c r="K986" s="93"/>
      <c r="L986" s="94"/>
      <c r="M986" s="100"/>
      <c r="N986" s="96"/>
      <c r="O986" s="97"/>
      <c r="P986" s="98"/>
      <c r="Q986" s="101"/>
      <c r="R986" s="78" t="str">
        <f t="shared" si="92"/>
        <v/>
      </c>
    </row>
    <row r="987" spans="2:18" x14ac:dyDescent="0.2">
      <c r="B987" s="2" t="str">
        <f t="shared" si="93"/>
        <v/>
      </c>
      <c r="C987" s="2" t="str">
        <f t="shared" si="94"/>
        <v/>
      </c>
      <c r="D987" s="2" t="str">
        <f t="shared" si="95"/>
        <v>Y</v>
      </c>
      <c r="E987" s="2">
        <f t="shared" si="96"/>
        <v>0</v>
      </c>
      <c r="F987" s="2" t="str">
        <f t="shared" si="97"/>
        <v/>
      </c>
      <c r="H987" s="121" t="s">
        <v>984</v>
      </c>
      <c r="I987" s="92"/>
      <c r="J987" s="93"/>
      <c r="K987" s="93"/>
      <c r="L987" s="94"/>
      <c r="M987" s="100"/>
      <c r="N987" s="96"/>
      <c r="O987" s="97"/>
      <c r="P987" s="98"/>
      <c r="Q987" s="101"/>
      <c r="R987" s="78" t="str">
        <f t="shared" si="92"/>
        <v/>
      </c>
    </row>
    <row r="988" spans="2:18" x14ac:dyDescent="0.2">
      <c r="B988" s="2" t="str">
        <f t="shared" si="93"/>
        <v/>
      </c>
      <c r="C988" s="2" t="str">
        <f t="shared" si="94"/>
        <v/>
      </c>
      <c r="D988" s="2" t="str">
        <f t="shared" si="95"/>
        <v>Y</v>
      </c>
      <c r="E988" s="2">
        <f t="shared" si="96"/>
        <v>0</v>
      </c>
      <c r="F988" s="2" t="str">
        <f t="shared" si="97"/>
        <v/>
      </c>
      <c r="H988" s="121" t="s">
        <v>985</v>
      </c>
      <c r="I988" s="92"/>
      <c r="J988" s="93"/>
      <c r="K988" s="93"/>
      <c r="L988" s="94"/>
      <c r="M988" s="100"/>
      <c r="N988" s="96"/>
      <c r="O988" s="97"/>
      <c r="P988" s="98"/>
      <c r="Q988" s="101"/>
      <c r="R988" s="78" t="str">
        <f t="shared" si="92"/>
        <v/>
      </c>
    </row>
    <row r="989" spans="2:18" x14ac:dyDescent="0.2">
      <c r="B989" s="2" t="str">
        <f t="shared" si="93"/>
        <v/>
      </c>
      <c r="C989" s="2" t="str">
        <f t="shared" si="94"/>
        <v/>
      </c>
      <c r="D989" s="2" t="str">
        <f t="shared" si="95"/>
        <v>Y</v>
      </c>
      <c r="E989" s="2">
        <f t="shared" si="96"/>
        <v>0</v>
      </c>
      <c r="F989" s="2" t="str">
        <f t="shared" si="97"/>
        <v/>
      </c>
      <c r="H989" s="121" t="s">
        <v>986</v>
      </c>
      <c r="I989" s="92"/>
      <c r="J989" s="93"/>
      <c r="K989" s="93"/>
      <c r="L989" s="94"/>
      <c r="M989" s="100"/>
      <c r="N989" s="96"/>
      <c r="O989" s="97"/>
      <c r="P989" s="98"/>
      <c r="Q989" s="101"/>
      <c r="R989" s="78" t="str">
        <f t="shared" si="92"/>
        <v/>
      </c>
    </row>
    <row r="990" spans="2:18" x14ac:dyDescent="0.2">
      <c r="B990" s="2" t="str">
        <f t="shared" si="93"/>
        <v/>
      </c>
      <c r="C990" s="2" t="str">
        <f t="shared" si="94"/>
        <v/>
      </c>
      <c r="D990" s="2" t="str">
        <f t="shared" si="95"/>
        <v>Y</v>
      </c>
      <c r="E990" s="2">
        <f t="shared" si="96"/>
        <v>0</v>
      </c>
      <c r="F990" s="2" t="str">
        <f t="shared" si="97"/>
        <v/>
      </c>
      <c r="H990" s="121" t="s">
        <v>987</v>
      </c>
      <c r="I990" s="92"/>
      <c r="J990" s="93"/>
      <c r="K990" s="93"/>
      <c r="L990" s="94"/>
      <c r="M990" s="100"/>
      <c r="N990" s="96"/>
      <c r="O990" s="97"/>
      <c r="P990" s="98"/>
      <c r="Q990" s="101"/>
      <c r="R990" s="78" t="str">
        <f t="shared" si="92"/>
        <v/>
      </c>
    </row>
    <row r="991" spans="2:18" x14ac:dyDescent="0.2">
      <c r="B991" s="2" t="str">
        <f t="shared" si="93"/>
        <v/>
      </c>
      <c r="C991" s="2" t="str">
        <f t="shared" si="94"/>
        <v/>
      </c>
      <c r="D991" s="2" t="str">
        <f t="shared" si="95"/>
        <v>Y</v>
      </c>
      <c r="E991" s="2">
        <f t="shared" si="96"/>
        <v>0</v>
      </c>
      <c r="F991" s="2" t="str">
        <f t="shared" si="97"/>
        <v/>
      </c>
      <c r="H991" s="121" t="s">
        <v>988</v>
      </c>
      <c r="I991" s="92"/>
      <c r="J991" s="93"/>
      <c r="K991" s="93"/>
      <c r="L991" s="94"/>
      <c r="M991" s="100"/>
      <c r="N991" s="96"/>
      <c r="O991" s="97"/>
      <c r="P991" s="98"/>
      <c r="Q991" s="101"/>
      <c r="R991" s="78" t="str">
        <f t="shared" si="92"/>
        <v/>
      </c>
    </row>
    <row r="992" spans="2:18" x14ac:dyDescent="0.2">
      <c r="B992" s="2" t="str">
        <f t="shared" si="93"/>
        <v/>
      </c>
      <c r="C992" s="2" t="str">
        <f t="shared" si="94"/>
        <v/>
      </c>
      <c r="D992" s="2" t="str">
        <f t="shared" si="95"/>
        <v>Y</v>
      </c>
      <c r="E992" s="2">
        <f t="shared" si="96"/>
        <v>0</v>
      </c>
      <c r="F992" s="2" t="str">
        <f t="shared" si="97"/>
        <v/>
      </c>
      <c r="H992" s="121" t="s">
        <v>989</v>
      </c>
      <c r="I992" s="92"/>
      <c r="J992" s="93"/>
      <c r="K992" s="93"/>
      <c r="L992" s="94"/>
      <c r="M992" s="100"/>
      <c r="N992" s="96"/>
      <c r="O992" s="97"/>
      <c r="P992" s="98"/>
      <c r="Q992" s="101"/>
      <c r="R992" s="78" t="str">
        <f t="shared" si="92"/>
        <v/>
      </c>
    </row>
    <row r="993" spans="2:18" x14ac:dyDescent="0.2">
      <c r="B993" s="2" t="str">
        <f t="shared" si="93"/>
        <v/>
      </c>
      <c r="C993" s="2" t="str">
        <f t="shared" si="94"/>
        <v/>
      </c>
      <c r="D993" s="2" t="str">
        <f t="shared" si="95"/>
        <v>Y</v>
      </c>
      <c r="E993" s="2">
        <f t="shared" si="96"/>
        <v>0</v>
      </c>
      <c r="F993" s="2" t="str">
        <f t="shared" si="97"/>
        <v/>
      </c>
      <c r="H993" s="121" t="s">
        <v>990</v>
      </c>
      <c r="I993" s="92"/>
      <c r="J993" s="93"/>
      <c r="K993" s="93"/>
      <c r="L993" s="94"/>
      <c r="M993" s="100"/>
      <c r="N993" s="96"/>
      <c r="O993" s="97"/>
      <c r="P993" s="98"/>
      <c r="Q993" s="101"/>
      <c r="R993" s="78" t="str">
        <f t="shared" si="92"/>
        <v/>
      </c>
    </row>
    <row r="994" spans="2:18" x14ac:dyDescent="0.2">
      <c r="B994" s="2" t="str">
        <f t="shared" si="93"/>
        <v/>
      </c>
      <c r="C994" s="2" t="str">
        <f t="shared" si="94"/>
        <v/>
      </c>
      <c r="D994" s="2" t="str">
        <f t="shared" si="95"/>
        <v>Y</v>
      </c>
      <c r="E994" s="2">
        <f t="shared" si="96"/>
        <v>0</v>
      </c>
      <c r="F994" s="2" t="str">
        <f t="shared" si="97"/>
        <v/>
      </c>
      <c r="H994" s="121" t="s">
        <v>991</v>
      </c>
      <c r="I994" s="92"/>
      <c r="J994" s="93"/>
      <c r="K994" s="93"/>
      <c r="L994" s="94"/>
      <c r="M994" s="100"/>
      <c r="N994" s="96"/>
      <c r="O994" s="97"/>
      <c r="P994" s="98"/>
      <c r="Q994" s="101"/>
      <c r="R994" s="78" t="str">
        <f t="shared" si="92"/>
        <v/>
      </c>
    </row>
    <row r="995" spans="2:18" x14ac:dyDescent="0.2">
      <c r="B995" s="2" t="str">
        <f t="shared" si="93"/>
        <v/>
      </c>
      <c r="C995" s="2" t="str">
        <f t="shared" si="94"/>
        <v/>
      </c>
      <c r="D995" s="2" t="str">
        <f t="shared" si="95"/>
        <v>Y</v>
      </c>
      <c r="E995" s="2">
        <f t="shared" si="96"/>
        <v>0</v>
      </c>
      <c r="F995" s="2" t="str">
        <f t="shared" si="97"/>
        <v/>
      </c>
      <c r="H995" s="121" t="s">
        <v>992</v>
      </c>
      <c r="I995" s="92"/>
      <c r="J995" s="93"/>
      <c r="K995" s="93"/>
      <c r="L995" s="94"/>
      <c r="M995" s="100"/>
      <c r="N995" s="96"/>
      <c r="O995" s="97"/>
      <c r="P995" s="98"/>
      <c r="Q995" s="101"/>
      <c r="R995" s="78" t="str">
        <f t="shared" si="92"/>
        <v/>
      </c>
    </row>
    <row r="996" spans="2:18" x14ac:dyDescent="0.2">
      <c r="B996" s="2" t="str">
        <f t="shared" si="93"/>
        <v/>
      </c>
      <c r="C996" s="2" t="str">
        <f t="shared" si="94"/>
        <v/>
      </c>
      <c r="D996" s="2" t="str">
        <f t="shared" si="95"/>
        <v>Y</v>
      </c>
      <c r="E996" s="2">
        <f t="shared" si="96"/>
        <v>0</v>
      </c>
      <c r="F996" s="2" t="str">
        <f t="shared" si="97"/>
        <v/>
      </c>
      <c r="H996" s="121" t="s">
        <v>993</v>
      </c>
      <c r="I996" s="92"/>
      <c r="J996" s="93"/>
      <c r="K996" s="93"/>
      <c r="L996" s="94"/>
      <c r="M996" s="100"/>
      <c r="N996" s="96"/>
      <c r="O996" s="97"/>
      <c r="P996" s="98"/>
      <c r="Q996" s="101"/>
      <c r="R996" s="78" t="str">
        <f t="shared" si="92"/>
        <v/>
      </c>
    </row>
    <row r="997" spans="2:18" x14ac:dyDescent="0.2">
      <c r="B997" s="2" t="str">
        <f t="shared" si="93"/>
        <v/>
      </c>
      <c r="C997" s="2" t="str">
        <f t="shared" si="94"/>
        <v/>
      </c>
      <c r="D997" s="2" t="str">
        <f t="shared" si="95"/>
        <v>Y</v>
      </c>
      <c r="E997" s="2">
        <f t="shared" si="96"/>
        <v>0</v>
      </c>
      <c r="F997" s="2" t="str">
        <f t="shared" si="97"/>
        <v/>
      </c>
      <c r="H997" s="121" t="s">
        <v>994</v>
      </c>
      <c r="I997" s="92"/>
      <c r="J997" s="93"/>
      <c r="K997" s="93"/>
      <c r="L997" s="94"/>
      <c r="M997" s="100"/>
      <c r="N997" s="96"/>
      <c r="O997" s="97"/>
      <c r="P997" s="98"/>
      <c r="Q997" s="101"/>
      <c r="R997" s="78" t="str">
        <f t="shared" si="92"/>
        <v/>
      </c>
    </row>
    <row r="998" spans="2:18" x14ac:dyDescent="0.2">
      <c r="B998" s="2" t="str">
        <f t="shared" si="93"/>
        <v/>
      </c>
      <c r="C998" s="2" t="str">
        <f t="shared" si="94"/>
        <v/>
      </c>
      <c r="D998" s="2" t="str">
        <f t="shared" si="95"/>
        <v>Y</v>
      </c>
      <c r="E998" s="2">
        <f t="shared" si="96"/>
        <v>0</v>
      </c>
      <c r="F998" s="2" t="str">
        <f t="shared" si="97"/>
        <v/>
      </c>
      <c r="H998" s="121" t="s">
        <v>995</v>
      </c>
      <c r="I998" s="92"/>
      <c r="J998" s="93"/>
      <c r="K998" s="93"/>
      <c r="L998" s="94"/>
      <c r="M998" s="100"/>
      <c r="N998" s="96"/>
      <c r="O998" s="97"/>
      <c r="P998" s="98"/>
      <c r="Q998" s="101"/>
      <c r="R998" s="78" t="str">
        <f t="shared" si="92"/>
        <v/>
      </c>
    </row>
    <row r="999" spans="2:18" x14ac:dyDescent="0.2">
      <c r="B999" s="2" t="str">
        <f t="shared" si="93"/>
        <v/>
      </c>
      <c r="C999" s="2" t="str">
        <f t="shared" si="94"/>
        <v/>
      </c>
      <c r="D999" s="2" t="str">
        <f t="shared" si="95"/>
        <v>Y</v>
      </c>
      <c r="E999" s="2">
        <f t="shared" si="96"/>
        <v>0</v>
      </c>
      <c r="F999" s="2" t="str">
        <f t="shared" si="97"/>
        <v/>
      </c>
      <c r="H999" s="121" t="s">
        <v>996</v>
      </c>
      <c r="I999" s="92"/>
      <c r="J999" s="93"/>
      <c r="K999" s="93"/>
      <c r="L999" s="94"/>
      <c r="M999" s="100"/>
      <c r="N999" s="96"/>
      <c r="O999" s="97"/>
      <c r="P999" s="98"/>
      <c r="Q999" s="101"/>
      <c r="R999" s="78" t="str">
        <f t="shared" si="92"/>
        <v/>
      </c>
    </row>
    <row r="1000" spans="2:18" x14ac:dyDescent="0.2">
      <c r="B1000" s="2" t="str">
        <f t="shared" si="93"/>
        <v/>
      </c>
      <c r="C1000" s="2" t="str">
        <f t="shared" si="94"/>
        <v/>
      </c>
      <c r="D1000" s="2" t="str">
        <f t="shared" si="95"/>
        <v>Y</v>
      </c>
      <c r="E1000" s="2">
        <f t="shared" si="96"/>
        <v>0</v>
      </c>
      <c r="F1000" s="2" t="str">
        <f t="shared" si="97"/>
        <v/>
      </c>
      <c r="H1000" s="121" t="s">
        <v>997</v>
      </c>
      <c r="I1000" s="92"/>
      <c r="J1000" s="93"/>
      <c r="K1000" s="93"/>
      <c r="L1000" s="94"/>
      <c r="M1000" s="100"/>
      <c r="N1000" s="96"/>
      <c r="O1000" s="97"/>
      <c r="P1000" s="98"/>
      <c r="Q1000" s="101"/>
      <c r="R1000" s="78" t="str">
        <f t="shared" si="92"/>
        <v/>
      </c>
    </row>
    <row r="1001" spans="2:18" x14ac:dyDescent="0.2">
      <c r="B1001" s="2" t="str">
        <f t="shared" si="93"/>
        <v/>
      </c>
      <c r="C1001" s="2" t="str">
        <f t="shared" si="94"/>
        <v/>
      </c>
      <c r="D1001" s="2" t="str">
        <f t="shared" si="95"/>
        <v>Y</v>
      </c>
      <c r="E1001" s="2">
        <f t="shared" si="96"/>
        <v>0</v>
      </c>
      <c r="F1001" s="2" t="str">
        <f t="shared" si="97"/>
        <v/>
      </c>
      <c r="H1001" s="121" t="s">
        <v>998</v>
      </c>
      <c r="I1001" s="92"/>
      <c r="J1001" s="93"/>
      <c r="K1001" s="93"/>
      <c r="L1001" s="94"/>
      <c r="M1001" s="100"/>
      <c r="N1001" s="96"/>
      <c r="O1001" s="97"/>
      <c r="P1001" s="98"/>
      <c r="Q1001" s="101"/>
      <c r="R1001" s="78" t="str">
        <f t="shared" si="92"/>
        <v/>
      </c>
    </row>
    <row r="1002" spans="2:18" x14ac:dyDescent="0.2">
      <c r="B1002" s="2" t="str">
        <f t="shared" si="93"/>
        <v/>
      </c>
      <c r="C1002" s="2" t="str">
        <f t="shared" si="94"/>
        <v/>
      </c>
      <c r="D1002" s="2" t="str">
        <f t="shared" si="95"/>
        <v>Y</v>
      </c>
      <c r="E1002" s="2">
        <f t="shared" si="96"/>
        <v>0</v>
      </c>
      <c r="F1002" s="2" t="str">
        <f t="shared" si="97"/>
        <v/>
      </c>
      <c r="H1002" s="121" t="s">
        <v>999</v>
      </c>
      <c r="I1002" s="92"/>
      <c r="J1002" s="93"/>
      <c r="K1002" s="93"/>
      <c r="L1002" s="94"/>
      <c r="M1002" s="100"/>
      <c r="N1002" s="96"/>
      <c r="O1002" s="97"/>
      <c r="P1002" s="98"/>
      <c r="Q1002" s="101"/>
      <c r="R1002" s="78" t="str">
        <f t="shared" si="92"/>
        <v/>
      </c>
    </row>
    <row r="1003" spans="2:18" x14ac:dyDescent="0.2">
      <c r="B1003" s="2" t="str">
        <f t="shared" si="93"/>
        <v/>
      </c>
      <c r="C1003" s="2" t="str">
        <f t="shared" si="94"/>
        <v/>
      </c>
      <c r="D1003" s="2" t="str">
        <f t="shared" si="95"/>
        <v>Y</v>
      </c>
      <c r="E1003" s="2">
        <f t="shared" si="96"/>
        <v>0</v>
      </c>
      <c r="F1003" s="2" t="str">
        <f t="shared" si="97"/>
        <v/>
      </c>
      <c r="H1003" s="121" t="s">
        <v>1000</v>
      </c>
      <c r="I1003" s="92"/>
      <c r="J1003" s="93"/>
      <c r="K1003" s="93"/>
      <c r="L1003" s="94"/>
      <c r="M1003" s="100"/>
      <c r="N1003" s="96"/>
      <c r="O1003" s="97"/>
      <c r="P1003" s="98"/>
      <c r="Q1003" s="101"/>
      <c r="R1003" s="78" t="str">
        <f t="shared" si="92"/>
        <v/>
      </c>
    </row>
    <row r="1004" spans="2:18" x14ac:dyDescent="0.2">
      <c r="B1004" s="2" t="str">
        <f t="shared" si="93"/>
        <v/>
      </c>
      <c r="C1004" s="2" t="str">
        <f t="shared" si="94"/>
        <v/>
      </c>
      <c r="D1004" s="2" t="str">
        <f t="shared" si="95"/>
        <v>Y</v>
      </c>
      <c r="E1004" s="2">
        <f t="shared" si="96"/>
        <v>0</v>
      </c>
      <c r="F1004" s="2" t="str">
        <f t="shared" si="97"/>
        <v/>
      </c>
      <c r="H1004" s="121" t="s">
        <v>1001</v>
      </c>
      <c r="I1004" s="92"/>
      <c r="J1004" s="93"/>
      <c r="K1004" s="93"/>
      <c r="L1004" s="94"/>
      <c r="M1004" s="100"/>
      <c r="N1004" s="96"/>
      <c r="O1004" s="97"/>
      <c r="P1004" s="98"/>
      <c r="Q1004" s="101"/>
      <c r="R1004" s="78" t="str">
        <f t="shared" si="92"/>
        <v/>
      </c>
    </row>
    <row r="1005" spans="2:18" x14ac:dyDescent="0.2">
      <c r="B1005" s="2" t="str">
        <f t="shared" si="93"/>
        <v/>
      </c>
      <c r="C1005" s="2" t="str">
        <f t="shared" si="94"/>
        <v/>
      </c>
      <c r="D1005" s="2" t="str">
        <f t="shared" si="95"/>
        <v>Y</v>
      </c>
      <c r="E1005" s="2">
        <f t="shared" si="96"/>
        <v>0</v>
      </c>
      <c r="F1005" s="2" t="str">
        <f t="shared" si="97"/>
        <v/>
      </c>
      <c r="H1005" s="121" t="s">
        <v>1002</v>
      </c>
      <c r="I1005" s="92"/>
      <c r="J1005" s="93"/>
      <c r="K1005" s="93"/>
      <c r="L1005" s="94"/>
      <c r="M1005" s="100"/>
      <c r="N1005" s="96"/>
      <c r="O1005" s="97"/>
      <c r="P1005" s="98"/>
      <c r="Q1005" s="101"/>
      <c r="R1005" s="78" t="str">
        <f t="shared" si="92"/>
        <v/>
      </c>
    </row>
    <row r="1006" spans="2:18" x14ac:dyDescent="0.2">
      <c r="B1006" s="2" t="str">
        <f t="shared" si="93"/>
        <v/>
      </c>
      <c r="C1006" s="2" t="str">
        <f t="shared" si="94"/>
        <v/>
      </c>
      <c r="D1006" s="2" t="str">
        <f t="shared" si="95"/>
        <v>Y</v>
      </c>
      <c r="E1006" s="2">
        <f t="shared" si="96"/>
        <v>0</v>
      </c>
      <c r="F1006" s="2" t="str">
        <f t="shared" si="97"/>
        <v/>
      </c>
      <c r="H1006" s="121" t="s">
        <v>1003</v>
      </c>
      <c r="I1006" s="92"/>
      <c r="J1006" s="93"/>
      <c r="K1006" s="93"/>
      <c r="L1006" s="94"/>
      <c r="M1006" s="100"/>
      <c r="N1006" s="96"/>
      <c r="O1006" s="97"/>
      <c r="P1006" s="98"/>
      <c r="Q1006" s="101"/>
      <c r="R1006" s="78" t="str">
        <f t="shared" si="92"/>
        <v/>
      </c>
    </row>
    <row r="1007" spans="2:18" x14ac:dyDescent="0.2">
      <c r="B1007" s="2" t="str">
        <f t="shared" si="93"/>
        <v/>
      </c>
      <c r="C1007" s="2" t="str">
        <f t="shared" si="94"/>
        <v/>
      </c>
      <c r="D1007" s="2" t="str">
        <f t="shared" si="95"/>
        <v>Y</v>
      </c>
      <c r="E1007" s="2">
        <f t="shared" si="96"/>
        <v>0</v>
      </c>
      <c r="F1007" s="2" t="str">
        <f t="shared" si="97"/>
        <v/>
      </c>
      <c r="H1007" s="121" t="s">
        <v>1004</v>
      </c>
      <c r="I1007" s="92"/>
      <c r="J1007" s="93"/>
      <c r="K1007" s="93"/>
      <c r="L1007" s="94"/>
      <c r="M1007" s="100"/>
      <c r="N1007" s="96"/>
      <c r="O1007" s="97"/>
      <c r="P1007" s="98"/>
      <c r="Q1007" s="101"/>
      <c r="R1007" s="78" t="str">
        <f t="shared" si="92"/>
        <v/>
      </c>
    </row>
    <row r="1008" spans="2:18" x14ac:dyDescent="0.2">
      <c r="B1008" s="2" t="str">
        <f t="shared" si="93"/>
        <v/>
      </c>
      <c r="C1008" s="2" t="str">
        <f t="shared" si="94"/>
        <v/>
      </c>
      <c r="D1008" s="2" t="str">
        <f t="shared" si="95"/>
        <v>Y</v>
      </c>
      <c r="E1008" s="2">
        <f t="shared" si="96"/>
        <v>0</v>
      </c>
      <c r="F1008" s="2" t="str">
        <f t="shared" si="97"/>
        <v/>
      </c>
      <c r="H1008" s="121" t="s">
        <v>1005</v>
      </c>
      <c r="I1008" s="92"/>
      <c r="J1008" s="93"/>
      <c r="K1008" s="93"/>
      <c r="L1008" s="94"/>
      <c r="M1008" s="100"/>
      <c r="N1008" s="96"/>
      <c r="O1008" s="97"/>
      <c r="P1008" s="98"/>
      <c r="Q1008" s="101"/>
      <c r="R1008" s="78" t="str">
        <f t="shared" si="92"/>
        <v/>
      </c>
    </row>
    <row r="1009" spans="2:18" x14ac:dyDescent="0.2">
      <c r="B1009" s="2" t="str">
        <f t="shared" si="93"/>
        <v/>
      </c>
      <c r="C1009" s="2" t="str">
        <f t="shared" si="94"/>
        <v/>
      </c>
      <c r="D1009" s="2" t="str">
        <f t="shared" si="95"/>
        <v>Y</v>
      </c>
      <c r="E1009" s="2">
        <f t="shared" si="96"/>
        <v>0</v>
      </c>
      <c r="F1009" s="2" t="str">
        <f t="shared" si="97"/>
        <v/>
      </c>
      <c r="H1009" s="121" t="s">
        <v>1006</v>
      </c>
      <c r="I1009" s="104"/>
      <c r="J1009" s="105"/>
      <c r="K1009" s="105"/>
      <c r="L1009" s="106"/>
      <c r="M1009" s="107"/>
      <c r="N1009" s="108"/>
      <c r="O1009" s="109"/>
      <c r="P1009" s="110"/>
      <c r="Q1009" s="111"/>
      <c r="R1009" s="79" t="str">
        <f t="shared" si="92"/>
        <v/>
      </c>
    </row>
  </sheetData>
  <sheetProtection sheet="1" objects="1" scenarios="1" formatCells="0" formatColumns="0" formatRows="0" insertHyperlinks="0" sort="0" autoFilter="0" pivotTables="0"/>
  <autoFilter ref="F10:R1009"/>
  <mergeCells count="4">
    <mergeCell ref="P2:P4"/>
    <mergeCell ref="P5:P8"/>
    <mergeCell ref="H2:K8"/>
    <mergeCell ref="F5:F7"/>
  </mergeCells>
  <conditionalFormatting sqref="I21:Q21">
    <cfRule type="expression" dxfId="1799" priority="1600">
      <formula>$O$21="Not started"</formula>
    </cfRule>
  </conditionalFormatting>
  <conditionalFormatting sqref="I21:Q21">
    <cfRule type="expression" dxfId="1798" priority="1599">
      <formula>$O$21="In progress"</formula>
    </cfRule>
  </conditionalFormatting>
  <conditionalFormatting sqref="I21:Q21">
    <cfRule type="expression" dxfId="1797" priority="1598">
      <formula>$O$21="Closed"</formula>
    </cfRule>
  </conditionalFormatting>
  <conditionalFormatting sqref="I21:Q21">
    <cfRule type="expression" dxfId="1796" priority="1597">
      <formula>$O$21="Canceled"</formula>
    </cfRule>
  </conditionalFormatting>
  <conditionalFormatting sqref="I21:Q21">
    <cfRule type="expression" dxfId="1795" priority="1596">
      <formula>$O$21="Suspended"</formula>
    </cfRule>
  </conditionalFormatting>
  <conditionalFormatting sqref="I21:Q21">
    <cfRule type="expression" dxfId="1794" priority="1595">
      <formula>$O$21="Applied"</formula>
    </cfRule>
  </conditionalFormatting>
  <conditionalFormatting sqref="I21:Q21">
    <cfRule type="expression" dxfId="1793" priority="1594">
      <formula>$O$21="N/A"</formula>
    </cfRule>
  </conditionalFormatting>
  <conditionalFormatting sqref="I21:Q21">
    <cfRule type="expression" dxfId="1792" priority="1593">
      <formula>$O$21=""</formula>
    </cfRule>
  </conditionalFormatting>
  <conditionalFormatting sqref="I21:Q21">
    <cfRule type="expression" dxfId="1791" priority="1591">
      <formula>$I$21="Module 2"</formula>
    </cfRule>
  </conditionalFormatting>
  <conditionalFormatting sqref="I22:Q22">
    <cfRule type="expression" dxfId="1790" priority="1580">
      <formula>$O$22="Not started"</formula>
    </cfRule>
  </conditionalFormatting>
  <conditionalFormatting sqref="I22:Q22">
    <cfRule type="expression" dxfId="1789" priority="1579">
      <formula>$O$22="In progress"</formula>
    </cfRule>
  </conditionalFormatting>
  <conditionalFormatting sqref="I22:Q22">
    <cfRule type="expression" dxfId="1788" priority="1578">
      <formula>$O$22="Closed"</formula>
    </cfRule>
  </conditionalFormatting>
  <conditionalFormatting sqref="I22:Q22">
    <cfRule type="expression" dxfId="1787" priority="1577">
      <formula>$O$22="Canceled"</formula>
    </cfRule>
  </conditionalFormatting>
  <conditionalFormatting sqref="I22:Q22">
    <cfRule type="expression" dxfId="1786" priority="1576">
      <formula>$O$22="Suspended"</formula>
    </cfRule>
  </conditionalFormatting>
  <conditionalFormatting sqref="I22:Q22">
    <cfRule type="expression" dxfId="1785" priority="1575">
      <formula>$O$22="Applied"</formula>
    </cfRule>
  </conditionalFormatting>
  <conditionalFormatting sqref="I22:Q22">
    <cfRule type="expression" dxfId="1784" priority="1574">
      <formula>$O$22="N/A"</formula>
    </cfRule>
  </conditionalFormatting>
  <conditionalFormatting sqref="I22:Q22">
    <cfRule type="expression" dxfId="1783" priority="1573">
      <formula>$O$22=""</formula>
    </cfRule>
  </conditionalFormatting>
  <conditionalFormatting sqref="I22:Q22">
    <cfRule type="expression" dxfId="1782" priority="1572">
      <formula>$I$22="Module 1"</formula>
    </cfRule>
  </conditionalFormatting>
  <conditionalFormatting sqref="I22:Q22">
    <cfRule type="expression" dxfId="1781" priority="1571">
      <formula>$I$22="Module 2"</formula>
    </cfRule>
  </conditionalFormatting>
  <conditionalFormatting sqref="I22:Q22">
    <cfRule type="expression" dxfId="1780" priority="1570">
      <formula>$I$22="Module 3"</formula>
    </cfRule>
  </conditionalFormatting>
  <conditionalFormatting sqref="I22:Q22">
    <cfRule type="expression" dxfId="1779" priority="1569">
      <formula>$I$22="or"</formula>
    </cfRule>
  </conditionalFormatting>
  <conditionalFormatting sqref="I22:Q22">
    <cfRule type="expression" dxfId="1778" priority="1568">
      <formula>$I$22="Type 1"</formula>
    </cfRule>
  </conditionalFormatting>
  <conditionalFormatting sqref="I22:Q22">
    <cfRule type="expression" dxfId="1777" priority="1567">
      <formula>$I$22="Type 2"</formula>
    </cfRule>
  </conditionalFormatting>
  <conditionalFormatting sqref="I22:Q22">
    <cfRule type="expression" dxfId="1776" priority="1566">
      <formula>$I$22="Type 3"</formula>
    </cfRule>
  </conditionalFormatting>
  <conditionalFormatting sqref="I23:Q23">
    <cfRule type="expression" dxfId="1775" priority="1560">
      <formula>$O$23="Not started"</formula>
    </cfRule>
  </conditionalFormatting>
  <conditionalFormatting sqref="I23:Q23">
    <cfRule type="expression" dxfId="1774" priority="1559">
      <formula>$O$23="In progress"</formula>
    </cfRule>
  </conditionalFormatting>
  <conditionalFormatting sqref="I23:Q23">
    <cfRule type="expression" dxfId="1773" priority="1558">
      <formula>$O$23="Closed"</formula>
    </cfRule>
  </conditionalFormatting>
  <conditionalFormatting sqref="I23:Q23">
    <cfRule type="expression" dxfId="1772" priority="1557">
      <formula>$O$23="Canceled"</formula>
    </cfRule>
  </conditionalFormatting>
  <conditionalFormatting sqref="I23:Q23">
    <cfRule type="expression" dxfId="1771" priority="1556">
      <formula>$O$23="Suspended"</formula>
    </cfRule>
  </conditionalFormatting>
  <conditionalFormatting sqref="I23:Q23">
    <cfRule type="expression" dxfId="1770" priority="1555">
      <formula>$O$23="Applied"</formula>
    </cfRule>
  </conditionalFormatting>
  <conditionalFormatting sqref="I23:Q23">
    <cfRule type="expression" dxfId="1769" priority="1554">
      <formula>$O$23="N/A"</formula>
    </cfRule>
  </conditionalFormatting>
  <conditionalFormatting sqref="I23:Q23">
    <cfRule type="expression" dxfId="1768" priority="1553">
      <formula>$O$23=""</formula>
    </cfRule>
  </conditionalFormatting>
  <conditionalFormatting sqref="I23:Q23">
    <cfRule type="expression" dxfId="1767" priority="1552">
      <formula>$I$23="Module 1"</formula>
    </cfRule>
  </conditionalFormatting>
  <conditionalFormatting sqref="I23:Q23">
    <cfRule type="expression" dxfId="1766" priority="1551">
      <formula>$I$23="Module 2"</formula>
    </cfRule>
  </conditionalFormatting>
  <conditionalFormatting sqref="I23:Q23">
    <cfRule type="expression" dxfId="1765" priority="1550">
      <formula>$I$23="Module 3"</formula>
    </cfRule>
  </conditionalFormatting>
  <conditionalFormatting sqref="I23:Q23">
    <cfRule type="expression" dxfId="1764" priority="1549">
      <formula>$I$23="or"</formula>
    </cfRule>
  </conditionalFormatting>
  <conditionalFormatting sqref="I23:Q23">
    <cfRule type="expression" dxfId="1763" priority="1548">
      <formula>$I$23="Type 1"</formula>
    </cfRule>
  </conditionalFormatting>
  <conditionalFormatting sqref="I23:Q23">
    <cfRule type="expression" dxfId="1762" priority="1547">
      <formula>$I$23="Type 2"</formula>
    </cfRule>
  </conditionalFormatting>
  <conditionalFormatting sqref="I23:Q23">
    <cfRule type="expression" dxfId="1761" priority="1546">
      <formula>$I$23="Type 3"</formula>
    </cfRule>
  </conditionalFormatting>
  <conditionalFormatting sqref="I24:Q24">
    <cfRule type="expression" dxfId="1760" priority="1540">
      <formula>$O$24="Not started"</formula>
    </cfRule>
  </conditionalFormatting>
  <conditionalFormatting sqref="I24:Q24">
    <cfRule type="expression" dxfId="1759" priority="1539">
      <formula>$O$24="In progress"</formula>
    </cfRule>
  </conditionalFormatting>
  <conditionalFormatting sqref="I24:Q24">
    <cfRule type="expression" dxfId="1758" priority="1538">
      <formula>$O$24="Closed"</formula>
    </cfRule>
  </conditionalFormatting>
  <conditionalFormatting sqref="I24:Q24">
    <cfRule type="expression" dxfId="1757" priority="1537">
      <formula>$O$24="Canceled"</formula>
    </cfRule>
  </conditionalFormatting>
  <conditionalFormatting sqref="I24:Q24">
    <cfRule type="expression" dxfId="1756" priority="1536">
      <formula>$O$24="Suspended"</formula>
    </cfRule>
  </conditionalFormatting>
  <conditionalFormatting sqref="I24:Q24">
    <cfRule type="expression" dxfId="1755" priority="1535">
      <formula>$O$24="Applied"</formula>
    </cfRule>
  </conditionalFormatting>
  <conditionalFormatting sqref="I24:Q24">
    <cfRule type="expression" dxfId="1754" priority="1534">
      <formula>$O$24="N/A"</formula>
    </cfRule>
  </conditionalFormatting>
  <conditionalFormatting sqref="I24:Q24">
    <cfRule type="expression" dxfId="1753" priority="1533">
      <formula>$O$24=""</formula>
    </cfRule>
  </conditionalFormatting>
  <conditionalFormatting sqref="I24:Q24">
    <cfRule type="expression" dxfId="1752" priority="1532">
      <formula>$I$24="Module 1"</formula>
    </cfRule>
  </conditionalFormatting>
  <conditionalFormatting sqref="I24:Q24">
    <cfRule type="expression" dxfId="1751" priority="1531">
      <formula>$I$24="Module 2"</formula>
    </cfRule>
  </conditionalFormatting>
  <conditionalFormatting sqref="I24:Q24">
    <cfRule type="expression" dxfId="1750" priority="1530">
      <formula>$I$24="Module 3"</formula>
    </cfRule>
  </conditionalFormatting>
  <conditionalFormatting sqref="I24:Q24">
    <cfRule type="expression" dxfId="1749" priority="1529">
      <formula>$I$24="or"</formula>
    </cfRule>
  </conditionalFormatting>
  <conditionalFormatting sqref="I24:Q24">
    <cfRule type="expression" dxfId="1748" priority="1528">
      <formula>$I$24="Type 1"</formula>
    </cfRule>
  </conditionalFormatting>
  <conditionalFormatting sqref="I24:Q24">
    <cfRule type="expression" dxfId="1747" priority="1527">
      <formula>$I$24="Type 2"</formula>
    </cfRule>
  </conditionalFormatting>
  <conditionalFormatting sqref="I24:Q24">
    <cfRule type="expression" dxfId="1746" priority="1526">
      <formula>$I$24="Type 3"</formula>
    </cfRule>
  </conditionalFormatting>
  <conditionalFormatting sqref="I25:Q25">
    <cfRule type="expression" dxfId="1745" priority="1520">
      <formula>$O$25="Not started"</formula>
    </cfRule>
  </conditionalFormatting>
  <conditionalFormatting sqref="I25:Q25">
    <cfRule type="expression" dxfId="1744" priority="1519">
      <formula>$O$25="In progress"</formula>
    </cfRule>
  </conditionalFormatting>
  <conditionalFormatting sqref="I25:Q25">
    <cfRule type="expression" dxfId="1743" priority="1518">
      <formula>$O$25="Closed"</formula>
    </cfRule>
  </conditionalFormatting>
  <conditionalFormatting sqref="I25:Q25">
    <cfRule type="expression" dxfId="1742" priority="1517">
      <formula>$O$25="Canceled"</formula>
    </cfRule>
  </conditionalFormatting>
  <conditionalFormatting sqref="I25:Q25">
    <cfRule type="expression" dxfId="1741" priority="1516">
      <formula>$O$25="Suspended"</formula>
    </cfRule>
  </conditionalFormatting>
  <conditionalFormatting sqref="I25:Q25">
    <cfRule type="expression" dxfId="1740" priority="1515">
      <formula>$O$25="Applied"</formula>
    </cfRule>
  </conditionalFormatting>
  <conditionalFormatting sqref="I25:Q25">
    <cfRule type="expression" dxfId="1739" priority="1514">
      <formula>$O$25="N/A"</formula>
    </cfRule>
  </conditionalFormatting>
  <conditionalFormatting sqref="I25:Q25">
    <cfRule type="expression" dxfId="1738" priority="1513">
      <formula>$O$25=""</formula>
    </cfRule>
  </conditionalFormatting>
  <conditionalFormatting sqref="I25:Q25">
    <cfRule type="expression" dxfId="1737" priority="1512">
      <formula>$I$25="Module 1"</formula>
    </cfRule>
  </conditionalFormatting>
  <conditionalFormatting sqref="I25:Q25">
    <cfRule type="expression" dxfId="1736" priority="1511">
      <formula>$I$25="Module 2"</formula>
    </cfRule>
  </conditionalFormatting>
  <conditionalFormatting sqref="I25:Q25">
    <cfRule type="expression" dxfId="1735" priority="1510">
      <formula>$I$25="Module 3"</formula>
    </cfRule>
  </conditionalFormatting>
  <conditionalFormatting sqref="I25:Q25">
    <cfRule type="expression" dxfId="1734" priority="1509">
      <formula>$I$25="or"</formula>
    </cfRule>
  </conditionalFormatting>
  <conditionalFormatting sqref="I25:Q25">
    <cfRule type="expression" dxfId="1733" priority="1508">
      <formula>$I$25="Type 1"</formula>
    </cfRule>
  </conditionalFormatting>
  <conditionalFormatting sqref="I25:Q25">
    <cfRule type="expression" dxfId="1732" priority="1507">
      <formula>$I$25="Type 2"</formula>
    </cfRule>
  </conditionalFormatting>
  <conditionalFormatting sqref="I25:Q25">
    <cfRule type="expression" dxfId="1731" priority="1506">
      <formula>$I$25="Type 3"</formula>
    </cfRule>
  </conditionalFormatting>
  <conditionalFormatting sqref="I26:Q26">
    <cfRule type="expression" dxfId="1730" priority="1500">
      <formula>$O$26="Not started"</formula>
    </cfRule>
  </conditionalFormatting>
  <conditionalFormatting sqref="I26:Q26">
    <cfRule type="expression" dxfId="1729" priority="1499">
      <formula>$O$26="In progress"</formula>
    </cfRule>
  </conditionalFormatting>
  <conditionalFormatting sqref="I26:Q26">
    <cfRule type="expression" dxfId="1728" priority="1498">
      <formula>$O$26="Closed"</formula>
    </cfRule>
  </conditionalFormatting>
  <conditionalFormatting sqref="I26:Q26">
    <cfRule type="expression" dxfId="1727" priority="1497">
      <formula>$O$26="Canceled"</formula>
    </cfRule>
  </conditionalFormatting>
  <conditionalFormatting sqref="I26:Q26">
    <cfRule type="expression" dxfId="1726" priority="1496">
      <formula>$O$26="Suspended"</formula>
    </cfRule>
  </conditionalFormatting>
  <conditionalFormatting sqref="I26:Q26">
    <cfRule type="expression" dxfId="1725" priority="1495">
      <formula>$O$26="Applied"</formula>
    </cfRule>
  </conditionalFormatting>
  <conditionalFormatting sqref="I26:Q26">
    <cfRule type="expression" dxfId="1724" priority="1494">
      <formula>$O$26="N/A"</formula>
    </cfRule>
  </conditionalFormatting>
  <conditionalFormatting sqref="I26:Q26">
    <cfRule type="expression" dxfId="1723" priority="1493">
      <formula>$O$26=""</formula>
    </cfRule>
  </conditionalFormatting>
  <conditionalFormatting sqref="I26:Q26">
    <cfRule type="expression" dxfId="1722" priority="1492">
      <formula>$I$26="Module 1"</formula>
    </cfRule>
  </conditionalFormatting>
  <conditionalFormatting sqref="I26:Q26">
    <cfRule type="expression" dxfId="1721" priority="1491">
      <formula>$I$26="Module 2"</formula>
    </cfRule>
  </conditionalFormatting>
  <conditionalFormatting sqref="I26:Q26">
    <cfRule type="expression" dxfId="1720" priority="1490">
      <formula>$I$26="Module 3"</formula>
    </cfRule>
  </conditionalFormatting>
  <conditionalFormatting sqref="I26:Q26">
    <cfRule type="expression" dxfId="1719" priority="1489">
      <formula>$I$26="or"</formula>
    </cfRule>
  </conditionalFormatting>
  <conditionalFormatting sqref="I26:Q26">
    <cfRule type="expression" dxfId="1718" priority="1488">
      <formula>$I$26="Type 1"</formula>
    </cfRule>
  </conditionalFormatting>
  <conditionalFormatting sqref="I26:Q26">
    <cfRule type="expression" dxfId="1717" priority="1487">
      <formula>$I$26="Type 2"</formula>
    </cfRule>
  </conditionalFormatting>
  <conditionalFormatting sqref="I26:Q26">
    <cfRule type="expression" dxfId="1716" priority="1486">
      <formula>$I$26="Type 3"</formula>
    </cfRule>
  </conditionalFormatting>
  <conditionalFormatting sqref="I27:Q27">
    <cfRule type="expression" dxfId="1715" priority="1480">
      <formula>$O$27="Not started"</formula>
    </cfRule>
  </conditionalFormatting>
  <conditionalFormatting sqref="I27:Q27">
    <cfRule type="expression" dxfId="1714" priority="1479">
      <formula>$O$27="In progress"</formula>
    </cfRule>
  </conditionalFormatting>
  <conditionalFormatting sqref="I27:Q27">
    <cfRule type="expression" dxfId="1713" priority="1478">
      <formula>$O$27="Closed"</formula>
    </cfRule>
  </conditionalFormatting>
  <conditionalFormatting sqref="I27:Q27">
    <cfRule type="expression" dxfId="1712" priority="1477">
      <formula>$O$27="Canceled"</formula>
    </cfRule>
  </conditionalFormatting>
  <conditionalFormatting sqref="I27:Q27">
    <cfRule type="expression" dxfId="1711" priority="1476">
      <formula>$O$27="Suspended"</formula>
    </cfRule>
  </conditionalFormatting>
  <conditionalFormatting sqref="I27:Q27">
    <cfRule type="expression" dxfId="1710" priority="1475">
      <formula>$O$27="Applied"</formula>
    </cfRule>
  </conditionalFormatting>
  <conditionalFormatting sqref="I27:Q27">
    <cfRule type="expression" dxfId="1709" priority="1474">
      <formula>$O$27="N/A"</formula>
    </cfRule>
  </conditionalFormatting>
  <conditionalFormatting sqref="I27:Q27">
    <cfRule type="expression" dxfId="1708" priority="1473">
      <formula>$O$27=""</formula>
    </cfRule>
  </conditionalFormatting>
  <conditionalFormatting sqref="I27:Q27">
    <cfRule type="expression" dxfId="1707" priority="1472">
      <formula>$I$27="Module 1"</formula>
    </cfRule>
  </conditionalFormatting>
  <conditionalFormatting sqref="I27:Q27">
    <cfRule type="expression" dxfId="1706" priority="1471">
      <formula>$I$27="Module 2"</formula>
    </cfRule>
  </conditionalFormatting>
  <conditionalFormatting sqref="I27:Q27">
    <cfRule type="expression" dxfId="1705" priority="1470">
      <formula>$I$27="Module 3"</formula>
    </cfRule>
  </conditionalFormatting>
  <conditionalFormatting sqref="I27:Q27">
    <cfRule type="expression" dxfId="1704" priority="1469">
      <formula>$I$27="or"</formula>
    </cfRule>
  </conditionalFormatting>
  <conditionalFormatting sqref="I27:Q27">
    <cfRule type="expression" dxfId="1703" priority="1468">
      <formula>$I$27="Type 1"</formula>
    </cfRule>
  </conditionalFormatting>
  <conditionalFormatting sqref="I27:Q27">
    <cfRule type="expression" dxfId="1702" priority="1467">
      <formula>$I$27="Type 2"</formula>
    </cfRule>
  </conditionalFormatting>
  <conditionalFormatting sqref="I27:Q27">
    <cfRule type="expression" dxfId="1701" priority="1466">
      <formula>$I$27="Type 3"</formula>
    </cfRule>
  </conditionalFormatting>
  <conditionalFormatting sqref="I28:Q28">
    <cfRule type="expression" dxfId="1700" priority="1460">
      <formula>$O$28="Not started"</formula>
    </cfRule>
  </conditionalFormatting>
  <conditionalFormatting sqref="I28:Q28">
    <cfRule type="expression" dxfId="1699" priority="1459">
      <formula>$O$28="In progress"</formula>
    </cfRule>
  </conditionalFormatting>
  <conditionalFormatting sqref="I28:Q28">
    <cfRule type="expression" dxfId="1698" priority="1458">
      <formula>$O$28="Closed"</formula>
    </cfRule>
  </conditionalFormatting>
  <conditionalFormatting sqref="I28:Q28">
    <cfRule type="expression" dxfId="1697" priority="1457">
      <formula>$O$28="Canceled"</formula>
    </cfRule>
  </conditionalFormatting>
  <conditionalFormatting sqref="I28:Q28">
    <cfRule type="expression" dxfId="1696" priority="1456">
      <formula>$O$28="Suspended"</formula>
    </cfRule>
  </conditionalFormatting>
  <conditionalFormatting sqref="I28:Q28">
    <cfRule type="expression" dxfId="1695" priority="1455">
      <formula>$O$28="Applied"</formula>
    </cfRule>
  </conditionalFormatting>
  <conditionalFormatting sqref="I28:Q28">
    <cfRule type="expression" dxfId="1694" priority="1454">
      <formula>$O$28="N/A"</formula>
    </cfRule>
  </conditionalFormatting>
  <conditionalFormatting sqref="I28:Q28">
    <cfRule type="expression" dxfId="1693" priority="1453">
      <formula>$O$28=""</formula>
    </cfRule>
  </conditionalFormatting>
  <conditionalFormatting sqref="I28:Q28">
    <cfRule type="expression" dxfId="1692" priority="1452">
      <formula>$I$28="Module 1"</formula>
    </cfRule>
  </conditionalFormatting>
  <conditionalFormatting sqref="I28:Q28">
    <cfRule type="expression" dxfId="1691" priority="1451">
      <formula>$I$28="Module 2"</formula>
    </cfRule>
  </conditionalFormatting>
  <conditionalFormatting sqref="I28:Q28">
    <cfRule type="expression" dxfId="1690" priority="1450">
      <formula>$I$28="Module 3"</formula>
    </cfRule>
  </conditionalFormatting>
  <conditionalFormatting sqref="I28:Q28">
    <cfRule type="expression" dxfId="1689" priority="1449">
      <formula>$I$28="or"</formula>
    </cfRule>
  </conditionalFormatting>
  <conditionalFormatting sqref="I28:Q28">
    <cfRule type="expression" dxfId="1688" priority="1448">
      <formula>$I$28="Type 1"</formula>
    </cfRule>
  </conditionalFormatting>
  <conditionalFormatting sqref="I28:Q28">
    <cfRule type="expression" dxfId="1687" priority="1447">
      <formula>$I$28="Type 2"</formula>
    </cfRule>
  </conditionalFormatting>
  <conditionalFormatting sqref="I28:Q28">
    <cfRule type="expression" dxfId="1686" priority="1446">
      <formula>$I$28="Type 3"</formula>
    </cfRule>
  </conditionalFormatting>
  <conditionalFormatting sqref="I29:Q29">
    <cfRule type="expression" dxfId="1685" priority="1440">
      <formula>$O$29="Not started"</formula>
    </cfRule>
  </conditionalFormatting>
  <conditionalFormatting sqref="I29:Q29">
    <cfRule type="expression" dxfId="1684" priority="1439">
      <formula>$O$29="In progress"</formula>
    </cfRule>
  </conditionalFormatting>
  <conditionalFormatting sqref="I29:Q29">
    <cfRule type="expression" dxfId="1683" priority="1438">
      <formula>$O$29="Closed"</formula>
    </cfRule>
  </conditionalFormatting>
  <conditionalFormatting sqref="I29:Q29">
    <cfRule type="expression" dxfId="1682" priority="1437">
      <formula>$O$29="Canceled"</formula>
    </cfRule>
  </conditionalFormatting>
  <conditionalFormatting sqref="I29:Q29">
    <cfRule type="expression" dxfId="1681" priority="1436">
      <formula>$O$29="Suspended"</formula>
    </cfRule>
  </conditionalFormatting>
  <conditionalFormatting sqref="I29:Q29">
    <cfRule type="expression" dxfId="1680" priority="1435">
      <formula>$O$29="Applied"</formula>
    </cfRule>
  </conditionalFormatting>
  <conditionalFormatting sqref="I29:Q29">
    <cfRule type="expression" dxfId="1679" priority="1434">
      <formula>$O$29="N/A"</formula>
    </cfRule>
  </conditionalFormatting>
  <conditionalFormatting sqref="I29:Q29">
    <cfRule type="expression" dxfId="1678" priority="1433">
      <formula>$O$29=""</formula>
    </cfRule>
  </conditionalFormatting>
  <conditionalFormatting sqref="I29:Q29">
    <cfRule type="expression" dxfId="1677" priority="1432">
      <formula>$I$29="Module 1"</formula>
    </cfRule>
  </conditionalFormatting>
  <conditionalFormatting sqref="I29:Q29">
    <cfRule type="expression" dxfId="1676" priority="1431">
      <formula>$I$29="Module 2"</formula>
    </cfRule>
  </conditionalFormatting>
  <conditionalFormatting sqref="I29:Q29">
    <cfRule type="expression" dxfId="1675" priority="1430">
      <formula>$I$29="Module 3"</formula>
    </cfRule>
  </conditionalFormatting>
  <conditionalFormatting sqref="I29:Q29">
    <cfRule type="expression" dxfId="1674" priority="1429">
      <formula>$I$29="or"</formula>
    </cfRule>
  </conditionalFormatting>
  <conditionalFormatting sqref="I29:Q29">
    <cfRule type="expression" dxfId="1673" priority="1428">
      <formula>$I$29="Type 1"</formula>
    </cfRule>
  </conditionalFormatting>
  <conditionalFormatting sqref="I29:Q29">
    <cfRule type="expression" dxfId="1672" priority="1427">
      <formula>$I$29="Type 2"</formula>
    </cfRule>
  </conditionalFormatting>
  <conditionalFormatting sqref="I29:Q29">
    <cfRule type="expression" dxfId="1671" priority="1426">
      <formula>$I$29="Type 3"</formula>
    </cfRule>
  </conditionalFormatting>
  <conditionalFormatting sqref="I30:Q30">
    <cfRule type="expression" dxfId="1670" priority="1420">
      <formula>$O$30="Not started"</formula>
    </cfRule>
  </conditionalFormatting>
  <conditionalFormatting sqref="I30:Q30">
    <cfRule type="expression" dxfId="1669" priority="1419">
      <formula>$O$30="In progress"</formula>
    </cfRule>
  </conditionalFormatting>
  <conditionalFormatting sqref="I30:Q30">
    <cfRule type="expression" dxfId="1668" priority="1418">
      <formula>$O$30="Closed"</formula>
    </cfRule>
  </conditionalFormatting>
  <conditionalFormatting sqref="I30:Q30">
    <cfRule type="expression" dxfId="1667" priority="1417">
      <formula>$O$30="Canceled"</formula>
    </cfRule>
  </conditionalFormatting>
  <conditionalFormatting sqref="I30:Q30">
    <cfRule type="expression" dxfId="1666" priority="1416">
      <formula>$O$30="Suspended"</formula>
    </cfRule>
  </conditionalFormatting>
  <conditionalFormatting sqref="I30:Q30">
    <cfRule type="expression" dxfId="1665" priority="1415">
      <formula>$O$30="Applied"</formula>
    </cfRule>
  </conditionalFormatting>
  <conditionalFormatting sqref="I30:Q30">
    <cfRule type="expression" dxfId="1664" priority="1414">
      <formula>$O$30="N/A"</formula>
    </cfRule>
  </conditionalFormatting>
  <conditionalFormatting sqref="I30:Q30">
    <cfRule type="expression" dxfId="1663" priority="1413">
      <formula>$O$30=""</formula>
    </cfRule>
  </conditionalFormatting>
  <conditionalFormatting sqref="I30:Q30">
    <cfRule type="expression" dxfId="1662" priority="1412">
      <formula>$I$30="Module 1"</formula>
    </cfRule>
  </conditionalFormatting>
  <conditionalFormatting sqref="I30:Q30">
    <cfRule type="expression" dxfId="1661" priority="1411">
      <formula>$I$30="Module 2"</formula>
    </cfRule>
  </conditionalFormatting>
  <conditionalFormatting sqref="I30:Q30">
    <cfRule type="expression" dxfId="1660" priority="1410">
      <formula>$I$30="Module 3"</formula>
    </cfRule>
  </conditionalFormatting>
  <conditionalFormatting sqref="I30:Q30">
    <cfRule type="expression" dxfId="1659" priority="1409">
      <formula>$I$30="or"</formula>
    </cfRule>
  </conditionalFormatting>
  <conditionalFormatting sqref="I30:Q30">
    <cfRule type="expression" dxfId="1658" priority="1408">
      <formula>$I$30="Type 1"</formula>
    </cfRule>
  </conditionalFormatting>
  <conditionalFormatting sqref="I30:Q30">
    <cfRule type="expression" dxfId="1657" priority="1407">
      <formula>$I$30="Type 2"</formula>
    </cfRule>
  </conditionalFormatting>
  <conditionalFormatting sqref="I30:Q30">
    <cfRule type="expression" dxfId="1656" priority="1406">
      <formula>$I$30="Type 3"</formula>
    </cfRule>
  </conditionalFormatting>
  <conditionalFormatting sqref="I31:Q31">
    <cfRule type="expression" dxfId="1655" priority="1400">
      <formula>$O$31="Not started"</formula>
    </cfRule>
  </conditionalFormatting>
  <conditionalFormatting sqref="I31:Q31">
    <cfRule type="expression" dxfId="1654" priority="1399">
      <formula>$O$31="In progress"</formula>
    </cfRule>
  </conditionalFormatting>
  <conditionalFormatting sqref="I31:Q31">
    <cfRule type="expression" dxfId="1653" priority="1398">
      <formula>$O$31="Closed"</formula>
    </cfRule>
  </conditionalFormatting>
  <conditionalFormatting sqref="I31:Q31">
    <cfRule type="expression" dxfId="1652" priority="1397">
      <formula>$O$31="Canceled"</formula>
    </cfRule>
  </conditionalFormatting>
  <conditionalFormatting sqref="I31:Q31">
    <cfRule type="expression" dxfId="1651" priority="1396">
      <formula>$O$31="Suspended"</formula>
    </cfRule>
  </conditionalFormatting>
  <conditionalFormatting sqref="I31:Q31">
    <cfRule type="expression" dxfId="1650" priority="1395">
      <formula>$O$31="Applied"</formula>
    </cfRule>
  </conditionalFormatting>
  <conditionalFormatting sqref="I31:Q31">
    <cfRule type="expression" dxfId="1649" priority="1394">
      <formula>$O$31="N/A"</formula>
    </cfRule>
  </conditionalFormatting>
  <conditionalFormatting sqref="I31:Q31">
    <cfRule type="expression" dxfId="1648" priority="1393">
      <formula>$O$31=""</formula>
    </cfRule>
  </conditionalFormatting>
  <conditionalFormatting sqref="I31:Q31">
    <cfRule type="expression" dxfId="1647" priority="1392">
      <formula>$I$31="Module 1"</formula>
    </cfRule>
  </conditionalFormatting>
  <conditionalFormatting sqref="I31:Q31">
    <cfRule type="expression" dxfId="1646" priority="1391">
      <formula>$I$31="Module 2"</formula>
    </cfRule>
  </conditionalFormatting>
  <conditionalFormatting sqref="I31:Q31">
    <cfRule type="expression" dxfId="1645" priority="1390">
      <formula>$I$31="Module 3"</formula>
    </cfRule>
  </conditionalFormatting>
  <conditionalFormatting sqref="I31:Q31">
    <cfRule type="expression" dxfId="1644" priority="1389">
      <formula>$I$31="or"</formula>
    </cfRule>
  </conditionalFormatting>
  <conditionalFormatting sqref="I31:Q31">
    <cfRule type="expression" dxfId="1643" priority="1388">
      <formula>$I$31="Type 1"</formula>
    </cfRule>
  </conditionalFormatting>
  <conditionalFormatting sqref="I31:Q31">
    <cfRule type="expression" dxfId="1642" priority="1387">
      <formula>$I$31="Type 2"</formula>
    </cfRule>
  </conditionalFormatting>
  <conditionalFormatting sqref="I31:Q31">
    <cfRule type="expression" dxfId="1641" priority="1386">
      <formula>$I$31="Type 3"</formula>
    </cfRule>
  </conditionalFormatting>
  <conditionalFormatting sqref="I32:Q32">
    <cfRule type="expression" dxfId="1640" priority="1380">
      <formula>$O$32="Not started"</formula>
    </cfRule>
  </conditionalFormatting>
  <conditionalFormatting sqref="I32:Q32">
    <cfRule type="expression" dxfId="1639" priority="1379">
      <formula>$O$32="In progress"</formula>
    </cfRule>
  </conditionalFormatting>
  <conditionalFormatting sqref="I32:Q32">
    <cfRule type="expression" dxfId="1638" priority="1378">
      <formula>$O$32="Closed"</formula>
    </cfRule>
  </conditionalFormatting>
  <conditionalFormatting sqref="I32:Q32">
    <cfRule type="expression" dxfId="1637" priority="1377">
      <formula>$O$32="Canceled"</formula>
    </cfRule>
  </conditionalFormatting>
  <conditionalFormatting sqref="I32:Q32">
    <cfRule type="expression" dxfId="1636" priority="1376">
      <formula>$O$32="Suspended"</formula>
    </cfRule>
  </conditionalFormatting>
  <conditionalFormatting sqref="I32:Q32">
    <cfRule type="expression" dxfId="1635" priority="1375">
      <formula>$O$32="Applied"</formula>
    </cfRule>
  </conditionalFormatting>
  <conditionalFormatting sqref="I32:Q32">
    <cfRule type="expression" dxfId="1634" priority="1374">
      <formula>$O$32="N/A"</formula>
    </cfRule>
  </conditionalFormatting>
  <conditionalFormatting sqref="I32:Q32">
    <cfRule type="expression" dxfId="1633" priority="1373">
      <formula>$O$32=""</formula>
    </cfRule>
  </conditionalFormatting>
  <conditionalFormatting sqref="I32:Q32">
    <cfRule type="expression" dxfId="1632" priority="1372">
      <formula>$I$32="Module 1"</formula>
    </cfRule>
  </conditionalFormatting>
  <conditionalFormatting sqref="I32:Q32">
    <cfRule type="expression" dxfId="1631" priority="1371">
      <formula>$I$32="Module 2"</formula>
    </cfRule>
  </conditionalFormatting>
  <conditionalFormatting sqref="I32:Q32">
    <cfRule type="expression" dxfId="1630" priority="1370">
      <formula>$I$32="Module 3"</formula>
    </cfRule>
  </conditionalFormatting>
  <conditionalFormatting sqref="I32:Q32">
    <cfRule type="expression" dxfId="1629" priority="1369">
      <formula>$I$32="or"</formula>
    </cfRule>
  </conditionalFormatting>
  <conditionalFormatting sqref="I32:Q32">
    <cfRule type="expression" dxfId="1628" priority="1368">
      <formula>$I$32="Type 1"</formula>
    </cfRule>
  </conditionalFormatting>
  <conditionalFormatting sqref="I32:Q32">
    <cfRule type="expression" dxfId="1627" priority="1367">
      <formula>$I$32="Type 2"</formula>
    </cfRule>
  </conditionalFormatting>
  <conditionalFormatting sqref="I32:Q32">
    <cfRule type="expression" dxfId="1626" priority="1366">
      <formula>$I$32="Type 3"</formula>
    </cfRule>
  </conditionalFormatting>
  <conditionalFormatting sqref="I33:Q33">
    <cfRule type="expression" dxfId="1625" priority="1360">
      <formula>$O$33="Not started"</formula>
    </cfRule>
  </conditionalFormatting>
  <conditionalFormatting sqref="I33:Q33">
    <cfRule type="expression" dxfId="1624" priority="1359">
      <formula>$O$33="In progress"</formula>
    </cfRule>
  </conditionalFormatting>
  <conditionalFormatting sqref="I33:Q33">
    <cfRule type="expression" dxfId="1623" priority="1358">
      <formula>$O$33="Closed"</formula>
    </cfRule>
  </conditionalFormatting>
  <conditionalFormatting sqref="I33:Q33">
    <cfRule type="expression" dxfId="1622" priority="1357">
      <formula>$O$33="Canceled"</formula>
    </cfRule>
  </conditionalFormatting>
  <conditionalFormatting sqref="I33:Q33">
    <cfRule type="expression" dxfId="1621" priority="1356">
      <formula>$O$33="Suspended"</formula>
    </cfRule>
  </conditionalFormatting>
  <conditionalFormatting sqref="I33:Q33">
    <cfRule type="expression" dxfId="1620" priority="1355">
      <formula>$O$33="Applied"</formula>
    </cfRule>
  </conditionalFormatting>
  <conditionalFormatting sqref="I33:Q33">
    <cfRule type="expression" dxfId="1619" priority="1354">
      <formula>$O$33="N/A"</formula>
    </cfRule>
  </conditionalFormatting>
  <conditionalFormatting sqref="I33:Q33">
    <cfRule type="expression" dxfId="1618" priority="1353">
      <formula>$O$33=""</formula>
    </cfRule>
  </conditionalFormatting>
  <conditionalFormatting sqref="I33:Q33">
    <cfRule type="expression" dxfId="1617" priority="1352">
      <formula>$I$33="Module 1"</formula>
    </cfRule>
  </conditionalFormatting>
  <conditionalFormatting sqref="I33:Q33">
    <cfRule type="expression" dxfId="1616" priority="1351">
      <formula>$I$33="Module 2"</formula>
    </cfRule>
  </conditionalFormatting>
  <conditionalFormatting sqref="I33:Q33">
    <cfRule type="expression" dxfId="1615" priority="1350">
      <formula>$I$33="Module 3"</formula>
    </cfRule>
  </conditionalFormatting>
  <conditionalFormatting sqref="I33:Q33">
    <cfRule type="expression" dxfId="1614" priority="1349">
      <formula>$I$33="or"</formula>
    </cfRule>
  </conditionalFormatting>
  <conditionalFormatting sqref="I33:Q33">
    <cfRule type="expression" dxfId="1613" priority="1348">
      <formula>$I$33="Type 1"</formula>
    </cfRule>
  </conditionalFormatting>
  <conditionalFormatting sqref="I33:Q33">
    <cfRule type="expression" dxfId="1612" priority="1347">
      <formula>$I$33="Type 2"</formula>
    </cfRule>
  </conditionalFormatting>
  <conditionalFormatting sqref="I33:Q33">
    <cfRule type="expression" dxfId="1611" priority="1346">
      <formula>$I$33="Type 3"</formula>
    </cfRule>
  </conditionalFormatting>
  <conditionalFormatting sqref="I34:Q34">
    <cfRule type="expression" dxfId="1610" priority="1340">
      <formula>$O$34="Not started"</formula>
    </cfRule>
  </conditionalFormatting>
  <conditionalFormatting sqref="I34:Q34">
    <cfRule type="expression" dxfId="1609" priority="1339">
      <formula>$O$34="In progress"</formula>
    </cfRule>
  </conditionalFormatting>
  <conditionalFormatting sqref="I34:Q34">
    <cfRule type="expression" dxfId="1608" priority="1338">
      <formula>$O$34="Closed"</formula>
    </cfRule>
  </conditionalFormatting>
  <conditionalFormatting sqref="I34:Q34">
    <cfRule type="expression" dxfId="1607" priority="1337">
      <formula>$O$34="Canceled"</formula>
    </cfRule>
  </conditionalFormatting>
  <conditionalFormatting sqref="I34:Q34">
    <cfRule type="expression" dxfId="1606" priority="1336">
      <formula>$O$34="Suspended"</formula>
    </cfRule>
  </conditionalFormatting>
  <conditionalFormatting sqref="I34:Q34">
    <cfRule type="expression" dxfId="1605" priority="1335">
      <formula>$O$34="Applied"</formula>
    </cfRule>
  </conditionalFormatting>
  <conditionalFormatting sqref="I34:Q34">
    <cfRule type="expression" dxfId="1604" priority="1334">
      <formula>$O$34="N/A"</formula>
    </cfRule>
  </conditionalFormatting>
  <conditionalFormatting sqref="I34:Q34">
    <cfRule type="expression" dxfId="1603" priority="1333">
      <formula>$O$34=""</formula>
    </cfRule>
  </conditionalFormatting>
  <conditionalFormatting sqref="I34:Q34">
    <cfRule type="expression" dxfId="1602" priority="1332">
      <formula>$I$34="Module 1"</formula>
    </cfRule>
  </conditionalFormatting>
  <conditionalFormatting sqref="I34:Q34">
    <cfRule type="expression" dxfId="1601" priority="1331">
      <formula>$I$34="Module 2"</formula>
    </cfRule>
  </conditionalFormatting>
  <conditionalFormatting sqref="I34:Q34">
    <cfRule type="expression" dxfId="1600" priority="1330">
      <formula>$I$34="Module 3"</formula>
    </cfRule>
  </conditionalFormatting>
  <conditionalFormatting sqref="I34:Q34">
    <cfRule type="expression" dxfId="1599" priority="1329">
      <formula>$I$34="or"</formula>
    </cfRule>
  </conditionalFormatting>
  <conditionalFormatting sqref="I34:Q34">
    <cfRule type="expression" dxfId="1598" priority="1328">
      <formula>$I$34="Type 1"</formula>
    </cfRule>
  </conditionalFormatting>
  <conditionalFormatting sqref="I34:Q34">
    <cfRule type="expression" dxfId="1597" priority="1327">
      <formula>$I$34="Type 2"</formula>
    </cfRule>
  </conditionalFormatting>
  <conditionalFormatting sqref="I34:Q34">
    <cfRule type="expression" dxfId="1596" priority="1326">
      <formula>$I$34="Type 3"</formula>
    </cfRule>
  </conditionalFormatting>
  <conditionalFormatting sqref="I35:Q35">
    <cfRule type="expression" dxfId="1595" priority="1320">
      <formula>$O$35="Not started"</formula>
    </cfRule>
  </conditionalFormatting>
  <conditionalFormatting sqref="I35:Q35">
    <cfRule type="expression" dxfId="1594" priority="1319">
      <formula>$O$35="In progress"</formula>
    </cfRule>
  </conditionalFormatting>
  <conditionalFormatting sqref="I35:Q35">
    <cfRule type="expression" dxfId="1593" priority="1318">
      <formula>$O$35="Closed"</formula>
    </cfRule>
  </conditionalFormatting>
  <conditionalFormatting sqref="I35:Q35">
    <cfRule type="expression" dxfId="1592" priority="1317">
      <formula>$O$35="Canceled"</formula>
    </cfRule>
  </conditionalFormatting>
  <conditionalFormatting sqref="I35:Q35">
    <cfRule type="expression" dxfId="1591" priority="1316">
      <formula>$O$35="Suspended"</formula>
    </cfRule>
  </conditionalFormatting>
  <conditionalFormatting sqref="I35:Q35">
    <cfRule type="expression" dxfId="1590" priority="1315">
      <formula>$O$35="Applied"</formula>
    </cfRule>
  </conditionalFormatting>
  <conditionalFormatting sqref="I35:Q35">
    <cfRule type="expression" dxfId="1589" priority="1314">
      <formula>$O$35="N/A"</formula>
    </cfRule>
  </conditionalFormatting>
  <conditionalFormatting sqref="I35:Q35">
    <cfRule type="expression" dxfId="1588" priority="1313">
      <formula>$O$35=""</formula>
    </cfRule>
  </conditionalFormatting>
  <conditionalFormatting sqref="I35:Q35">
    <cfRule type="expression" dxfId="1587" priority="1312">
      <formula>$I$35="Module 1"</formula>
    </cfRule>
  </conditionalFormatting>
  <conditionalFormatting sqref="I35:Q35">
    <cfRule type="expression" dxfId="1586" priority="1311">
      <formula>$I$35="Module 2"</formula>
    </cfRule>
  </conditionalFormatting>
  <conditionalFormatting sqref="I35:Q35">
    <cfRule type="expression" dxfId="1585" priority="1310">
      <formula>$I$35="Module 3"</formula>
    </cfRule>
  </conditionalFormatting>
  <conditionalFormatting sqref="I35:Q35">
    <cfRule type="expression" dxfId="1584" priority="1309">
      <formula>$I$35="or"</formula>
    </cfRule>
  </conditionalFormatting>
  <conditionalFormatting sqref="I35:Q35">
    <cfRule type="expression" dxfId="1583" priority="1308">
      <formula>$I$35="Type 1"</formula>
    </cfRule>
  </conditionalFormatting>
  <conditionalFormatting sqref="I35:Q35">
    <cfRule type="expression" dxfId="1582" priority="1307">
      <formula>$I$35="Type 2"</formula>
    </cfRule>
  </conditionalFormatting>
  <conditionalFormatting sqref="I35:Q35">
    <cfRule type="expression" dxfId="1581" priority="1306">
      <formula>$I$35="Type 3"</formula>
    </cfRule>
  </conditionalFormatting>
  <conditionalFormatting sqref="I36:Q36">
    <cfRule type="expression" dxfId="1580" priority="1300">
      <formula>$O$36="Not started"</formula>
    </cfRule>
  </conditionalFormatting>
  <conditionalFormatting sqref="I36:Q36">
    <cfRule type="expression" dxfId="1579" priority="1299">
      <formula>$O$36="In progress"</formula>
    </cfRule>
  </conditionalFormatting>
  <conditionalFormatting sqref="I36:Q36">
    <cfRule type="expression" dxfId="1578" priority="1298">
      <formula>$O$36="Closed"</formula>
    </cfRule>
  </conditionalFormatting>
  <conditionalFormatting sqref="I36:Q36">
    <cfRule type="expression" dxfId="1577" priority="1297">
      <formula>$O$36="Canceled"</formula>
    </cfRule>
  </conditionalFormatting>
  <conditionalFormatting sqref="I36:Q36">
    <cfRule type="expression" dxfId="1576" priority="1296">
      <formula>$O$36="Suspended"</formula>
    </cfRule>
  </conditionalFormatting>
  <conditionalFormatting sqref="I36:Q36">
    <cfRule type="expression" dxfId="1575" priority="1295">
      <formula>$O$36="Applied"</formula>
    </cfRule>
  </conditionalFormatting>
  <conditionalFormatting sqref="I36:Q36">
    <cfRule type="expression" dxfId="1574" priority="1294">
      <formula>$O$36="N/A"</formula>
    </cfRule>
  </conditionalFormatting>
  <conditionalFormatting sqref="I36:Q36">
    <cfRule type="expression" dxfId="1573" priority="1293">
      <formula>$O$36=""</formula>
    </cfRule>
  </conditionalFormatting>
  <conditionalFormatting sqref="I36:Q36">
    <cfRule type="expression" dxfId="1572" priority="1292">
      <formula>$I$36="Module 1"</formula>
    </cfRule>
  </conditionalFormatting>
  <conditionalFormatting sqref="I36:Q36">
    <cfRule type="expression" dxfId="1571" priority="1291">
      <formula>$I$36="Module 2"</formula>
    </cfRule>
  </conditionalFormatting>
  <conditionalFormatting sqref="I36:Q36">
    <cfRule type="expression" dxfId="1570" priority="1290">
      <formula>$I$36="Module 3"</formula>
    </cfRule>
  </conditionalFormatting>
  <conditionalFormatting sqref="I36:Q36">
    <cfRule type="expression" dxfId="1569" priority="1289">
      <formula>$I$36="or"</formula>
    </cfRule>
  </conditionalFormatting>
  <conditionalFormatting sqref="I36:Q36">
    <cfRule type="expression" dxfId="1568" priority="1288">
      <formula>$I$36="Type 1"</formula>
    </cfRule>
  </conditionalFormatting>
  <conditionalFormatting sqref="I36:Q36">
    <cfRule type="expression" dxfId="1567" priority="1287">
      <formula>$I$36="Type 2"</formula>
    </cfRule>
  </conditionalFormatting>
  <conditionalFormatting sqref="I36:Q36">
    <cfRule type="expression" dxfId="1566" priority="1286">
      <formula>$I$36="Type 3"</formula>
    </cfRule>
  </conditionalFormatting>
  <conditionalFormatting sqref="I37:Q37">
    <cfRule type="expression" dxfId="1565" priority="1280">
      <formula>$O$37="Not started"</formula>
    </cfRule>
  </conditionalFormatting>
  <conditionalFormatting sqref="I37:Q37">
    <cfRule type="expression" dxfId="1564" priority="1279">
      <formula>$O$37="In progress"</formula>
    </cfRule>
  </conditionalFormatting>
  <conditionalFormatting sqref="I37:Q37">
    <cfRule type="expression" dxfId="1563" priority="1278">
      <formula>$O$37="Closed"</formula>
    </cfRule>
  </conditionalFormatting>
  <conditionalFormatting sqref="I37:Q37">
    <cfRule type="expression" dxfId="1562" priority="1277">
      <formula>$O$37="Canceled"</formula>
    </cfRule>
  </conditionalFormatting>
  <conditionalFormatting sqref="I37:Q37">
    <cfRule type="expression" dxfId="1561" priority="1276">
      <formula>$O$37="Suspended"</formula>
    </cfRule>
  </conditionalFormatting>
  <conditionalFormatting sqref="I37:Q37">
    <cfRule type="expression" dxfId="1560" priority="1275">
      <formula>$O$37="Applied"</formula>
    </cfRule>
  </conditionalFormatting>
  <conditionalFormatting sqref="I37:Q37">
    <cfRule type="expression" dxfId="1559" priority="1274">
      <formula>$O$37="N/A"</formula>
    </cfRule>
  </conditionalFormatting>
  <conditionalFormatting sqref="I37:Q37">
    <cfRule type="expression" dxfId="1558" priority="1273">
      <formula>$O$37=""</formula>
    </cfRule>
  </conditionalFormatting>
  <conditionalFormatting sqref="I37:Q37">
    <cfRule type="expression" dxfId="1557" priority="1272">
      <formula>$I$37="Module 1"</formula>
    </cfRule>
  </conditionalFormatting>
  <conditionalFormatting sqref="I37:Q37">
    <cfRule type="expression" dxfId="1556" priority="1271">
      <formula>$I$37="Module 2"</formula>
    </cfRule>
  </conditionalFormatting>
  <conditionalFormatting sqref="I37:Q37">
    <cfRule type="expression" dxfId="1555" priority="1270">
      <formula>$I$37="Module 3"</formula>
    </cfRule>
  </conditionalFormatting>
  <conditionalFormatting sqref="I37:Q37">
    <cfRule type="expression" dxfId="1554" priority="1269">
      <formula>$I$37="or"</formula>
    </cfRule>
  </conditionalFormatting>
  <conditionalFormatting sqref="I37:Q37">
    <cfRule type="expression" dxfId="1553" priority="1268">
      <formula>$I$37="Type 1"</formula>
    </cfRule>
  </conditionalFormatting>
  <conditionalFormatting sqref="I37:Q37">
    <cfRule type="expression" dxfId="1552" priority="1267">
      <formula>$I$37="Type 2"</formula>
    </cfRule>
  </conditionalFormatting>
  <conditionalFormatting sqref="I37:Q37">
    <cfRule type="expression" dxfId="1551" priority="1266">
      <formula>$I$37="Type 3"</formula>
    </cfRule>
  </conditionalFormatting>
  <conditionalFormatting sqref="I38:Q38">
    <cfRule type="expression" dxfId="1550" priority="1260">
      <formula>$O$38="Not started"</formula>
    </cfRule>
  </conditionalFormatting>
  <conditionalFormatting sqref="I38:Q38">
    <cfRule type="expression" dxfId="1549" priority="1259">
      <formula>$O$38="In progress"</formula>
    </cfRule>
  </conditionalFormatting>
  <conditionalFormatting sqref="I38:Q38">
    <cfRule type="expression" dxfId="1548" priority="1258">
      <formula>$O$38="Closed"</formula>
    </cfRule>
  </conditionalFormatting>
  <conditionalFormatting sqref="I38:Q38">
    <cfRule type="expression" dxfId="1547" priority="1257">
      <formula>$O$38="Canceled"</formula>
    </cfRule>
  </conditionalFormatting>
  <conditionalFormatting sqref="I38:Q38">
    <cfRule type="expression" dxfId="1546" priority="1256">
      <formula>$O$38="Suspended"</formula>
    </cfRule>
  </conditionalFormatting>
  <conditionalFormatting sqref="I38:Q38">
    <cfRule type="expression" dxfId="1545" priority="1255">
      <formula>$O$38="Applied"</formula>
    </cfRule>
  </conditionalFormatting>
  <conditionalFormatting sqref="I38:Q38">
    <cfRule type="expression" dxfId="1544" priority="1254">
      <formula>$O$38="N/A"</formula>
    </cfRule>
  </conditionalFormatting>
  <conditionalFormatting sqref="I38:Q38">
    <cfRule type="expression" dxfId="1543" priority="1253">
      <formula>$O$38=""</formula>
    </cfRule>
  </conditionalFormatting>
  <conditionalFormatting sqref="I38:Q38">
    <cfRule type="expression" dxfId="1542" priority="1252">
      <formula>$I$38="Module 1"</formula>
    </cfRule>
  </conditionalFormatting>
  <conditionalFormatting sqref="I38:Q38">
    <cfRule type="expression" dxfId="1541" priority="1251">
      <formula>$I$38="Module 2"</formula>
    </cfRule>
  </conditionalFormatting>
  <conditionalFormatting sqref="I38:Q38">
    <cfRule type="expression" dxfId="1540" priority="1250">
      <formula>$I$38="Module 3"</formula>
    </cfRule>
  </conditionalFormatting>
  <conditionalFormatting sqref="I38:Q38">
    <cfRule type="expression" dxfId="1539" priority="1249">
      <formula>$I$38="or"</formula>
    </cfRule>
  </conditionalFormatting>
  <conditionalFormatting sqref="I38:Q38">
    <cfRule type="expression" dxfId="1538" priority="1248">
      <formula>$I$38="Type 1"</formula>
    </cfRule>
  </conditionalFormatting>
  <conditionalFormatting sqref="I38:Q38">
    <cfRule type="expression" dxfId="1537" priority="1247">
      <formula>$I$38="Type 2"</formula>
    </cfRule>
  </conditionalFormatting>
  <conditionalFormatting sqref="I38:Q38">
    <cfRule type="expression" dxfId="1536" priority="1246">
      <formula>$I$38="Type 3"</formula>
    </cfRule>
  </conditionalFormatting>
  <conditionalFormatting sqref="I39:Q39">
    <cfRule type="expression" dxfId="1535" priority="1240">
      <formula>$O$39="Not started"</formula>
    </cfRule>
  </conditionalFormatting>
  <conditionalFormatting sqref="I39:Q39">
    <cfRule type="expression" dxfId="1534" priority="1239">
      <formula>$O$39="In progress"</formula>
    </cfRule>
  </conditionalFormatting>
  <conditionalFormatting sqref="I39:Q39">
    <cfRule type="expression" dxfId="1533" priority="1238">
      <formula>$O$39="Closed"</formula>
    </cfRule>
  </conditionalFormatting>
  <conditionalFormatting sqref="I39:Q39">
    <cfRule type="expression" dxfId="1532" priority="1237">
      <formula>$O$39="Canceled"</formula>
    </cfRule>
  </conditionalFormatting>
  <conditionalFormatting sqref="I39:Q39">
    <cfRule type="expression" dxfId="1531" priority="1236">
      <formula>$O$39="Suspended"</formula>
    </cfRule>
  </conditionalFormatting>
  <conditionalFormatting sqref="I39:Q39">
    <cfRule type="expression" dxfId="1530" priority="1235">
      <formula>$O$39="Applied"</formula>
    </cfRule>
  </conditionalFormatting>
  <conditionalFormatting sqref="I39:Q39">
    <cfRule type="expression" dxfId="1529" priority="1234">
      <formula>$O$39="N/A"</formula>
    </cfRule>
  </conditionalFormatting>
  <conditionalFormatting sqref="I39:Q39">
    <cfRule type="expression" dxfId="1528" priority="1233">
      <formula>$O$39=""</formula>
    </cfRule>
  </conditionalFormatting>
  <conditionalFormatting sqref="I39:Q39">
    <cfRule type="expression" dxfId="1527" priority="1232">
      <formula>$I$39="Module 1"</formula>
    </cfRule>
  </conditionalFormatting>
  <conditionalFormatting sqref="I39:Q39">
    <cfRule type="expression" dxfId="1526" priority="1231">
      <formula>$I$39="Module 2"</formula>
    </cfRule>
  </conditionalFormatting>
  <conditionalFormatting sqref="I39:Q39">
    <cfRule type="expression" dxfId="1525" priority="1230">
      <formula>$I$39="Module 3"</formula>
    </cfRule>
  </conditionalFormatting>
  <conditionalFormatting sqref="I39:Q39">
    <cfRule type="expression" dxfId="1524" priority="1229">
      <formula>$I$39="or"</formula>
    </cfRule>
  </conditionalFormatting>
  <conditionalFormatting sqref="I39:Q39">
    <cfRule type="expression" dxfId="1523" priority="1228">
      <formula>$I$39="Type 1"</formula>
    </cfRule>
  </conditionalFormatting>
  <conditionalFormatting sqref="I39:Q39">
    <cfRule type="expression" dxfId="1522" priority="1227">
      <formula>$I$39="Type 2"</formula>
    </cfRule>
  </conditionalFormatting>
  <conditionalFormatting sqref="I39:Q39">
    <cfRule type="expression" dxfId="1521" priority="1226">
      <formula>$I$39="Type 3"</formula>
    </cfRule>
  </conditionalFormatting>
  <conditionalFormatting sqref="I40:Q40">
    <cfRule type="expression" dxfId="1520" priority="1220">
      <formula>$O$40="Not started"</formula>
    </cfRule>
  </conditionalFormatting>
  <conditionalFormatting sqref="I40:Q40">
    <cfRule type="expression" dxfId="1519" priority="1219">
      <formula>$O$40="In progress"</formula>
    </cfRule>
  </conditionalFormatting>
  <conditionalFormatting sqref="I40:Q40">
    <cfRule type="expression" dxfId="1518" priority="1218">
      <formula>$O$40="Closed"</formula>
    </cfRule>
  </conditionalFormatting>
  <conditionalFormatting sqref="I40:Q40">
    <cfRule type="expression" dxfId="1517" priority="1217">
      <formula>$O$40="Canceled"</formula>
    </cfRule>
  </conditionalFormatting>
  <conditionalFormatting sqref="I40:Q40">
    <cfRule type="expression" dxfId="1516" priority="1216">
      <formula>$O$40="Suspended"</formula>
    </cfRule>
  </conditionalFormatting>
  <conditionalFormatting sqref="I40:Q40">
    <cfRule type="expression" dxfId="1515" priority="1215">
      <formula>$O$40="Applied"</formula>
    </cfRule>
  </conditionalFormatting>
  <conditionalFormatting sqref="I40:Q40">
    <cfRule type="expression" dxfId="1514" priority="1214">
      <formula>$O$40="N/A"</formula>
    </cfRule>
  </conditionalFormatting>
  <conditionalFormatting sqref="I40:Q40">
    <cfRule type="expression" dxfId="1513" priority="1213">
      <formula>$O$40=""</formula>
    </cfRule>
  </conditionalFormatting>
  <conditionalFormatting sqref="I40:Q40">
    <cfRule type="expression" dxfId="1512" priority="1212">
      <formula>$I$40="Module 1"</formula>
    </cfRule>
  </conditionalFormatting>
  <conditionalFormatting sqref="I40:Q40">
    <cfRule type="expression" dxfId="1511" priority="1211">
      <formula>$I$40="Module 2"</formula>
    </cfRule>
  </conditionalFormatting>
  <conditionalFormatting sqref="I40:Q40">
    <cfRule type="expression" dxfId="1510" priority="1210">
      <formula>$I$40="Module 3"</formula>
    </cfRule>
  </conditionalFormatting>
  <conditionalFormatting sqref="I40:Q40">
    <cfRule type="expression" dxfId="1509" priority="1209">
      <formula>$I$40="or"</formula>
    </cfRule>
  </conditionalFormatting>
  <conditionalFormatting sqref="I40:Q40">
    <cfRule type="expression" dxfId="1508" priority="1208">
      <formula>$I$40="Type 1"</formula>
    </cfRule>
  </conditionalFormatting>
  <conditionalFormatting sqref="I40:Q40">
    <cfRule type="expression" dxfId="1507" priority="1207">
      <formula>$I$40="Type 2"</formula>
    </cfRule>
  </conditionalFormatting>
  <conditionalFormatting sqref="I40:Q40">
    <cfRule type="expression" dxfId="1506" priority="1206">
      <formula>$I$40="Type 3"</formula>
    </cfRule>
  </conditionalFormatting>
  <conditionalFormatting sqref="I41:Q41">
    <cfRule type="expression" dxfId="1505" priority="1200">
      <formula>$O$41="Not started"</formula>
    </cfRule>
  </conditionalFormatting>
  <conditionalFormatting sqref="I41:Q41">
    <cfRule type="expression" dxfId="1504" priority="1199">
      <formula>$O$41="In progress"</formula>
    </cfRule>
  </conditionalFormatting>
  <conditionalFormatting sqref="I41:Q41">
    <cfRule type="expression" dxfId="1503" priority="1198">
      <formula>$O$41="Closed"</formula>
    </cfRule>
  </conditionalFormatting>
  <conditionalFormatting sqref="I41:Q41">
    <cfRule type="expression" dxfId="1502" priority="1197">
      <formula>$O$41="Canceled"</formula>
    </cfRule>
  </conditionalFormatting>
  <conditionalFormatting sqref="I41:Q41">
    <cfRule type="expression" dxfId="1501" priority="1196">
      <formula>$O$41="Suspended"</formula>
    </cfRule>
  </conditionalFormatting>
  <conditionalFormatting sqref="I41:Q41">
    <cfRule type="expression" dxfId="1500" priority="1195">
      <formula>$O$41="Applied"</formula>
    </cfRule>
  </conditionalFormatting>
  <conditionalFormatting sqref="I41:Q41">
    <cfRule type="expression" dxfId="1499" priority="1194">
      <formula>$O$41="N/A"</formula>
    </cfRule>
  </conditionalFormatting>
  <conditionalFormatting sqref="I41:Q41">
    <cfRule type="expression" dxfId="1498" priority="1193">
      <formula>$O$41=""</formula>
    </cfRule>
  </conditionalFormatting>
  <conditionalFormatting sqref="I41:Q41">
    <cfRule type="expression" dxfId="1497" priority="1192">
      <formula>$I$41="Module 1"</formula>
    </cfRule>
  </conditionalFormatting>
  <conditionalFormatting sqref="I41:Q41">
    <cfRule type="expression" dxfId="1496" priority="1191">
      <formula>$I$41="Module 2"</formula>
    </cfRule>
  </conditionalFormatting>
  <conditionalFormatting sqref="I41:Q41">
    <cfRule type="expression" dxfId="1495" priority="1190">
      <formula>$I$41="Module 3"</formula>
    </cfRule>
  </conditionalFormatting>
  <conditionalFormatting sqref="I41:Q41">
    <cfRule type="expression" dxfId="1494" priority="1189">
      <formula>$I$41="or"</formula>
    </cfRule>
  </conditionalFormatting>
  <conditionalFormatting sqref="I41:Q41">
    <cfRule type="expression" dxfId="1493" priority="1188">
      <formula>$I$41="Type 1"</formula>
    </cfRule>
  </conditionalFormatting>
  <conditionalFormatting sqref="I41:Q41">
    <cfRule type="expression" dxfId="1492" priority="1187">
      <formula>$I$41="Type 2"</formula>
    </cfRule>
  </conditionalFormatting>
  <conditionalFormatting sqref="I41:Q41">
    <cfRule type="expression" dxfId="1491" priority="1186">
      <formula>$I$41="Type 3"</formula>
    </cfRule>
  </conditionalFormatting>
  <conditionalFormatting sqref="I42:Q42">
    <cfRule type="expression" dxfId="1490" priority="1180">
      <formula>$O$42="Not started"</formula>
    </cfRule>
  </conditionalFormatting>
  <conditionalFormatting sqref="I42:Q42">
    <cfRule type="expression" dxfId="1489" priority="1179">
      <formula>$O$42="In progress"</formula>
    </cfRule>
  </conditionalFormatting>
  <conditionalFormatting sqref="I42:Q42">
    <cfRule type="expression" dxfId="1488" priority="1178">
      <formula>$O$42="Closed"</formula>
    </cfRule>
  </conditionalFormatting>
  <conditionalFormatting sqref="I42:Q42">
    <cfRule type="expression" dxfId="1487" priority="1177">
      <formula>$O$42="Canceled"</formula>
    </cfRule>
  </conditionalFormatting>
  <conditionalFormatting sqref="I42:Q42">
    <cfRule type="expression" dxfId="1486" priority="1176">
      <formula>$O$42="Suspended"</formula>
    </cfRule>
  </conditionalFormatting>
  <conditionalFormatting sqref="I42:Q42">
    <cfRule type="expression" dxfId="1485" priority="1175">
      <formula>$O$42="Applied"</formula>
    </cfRule>
  </conditionalFormatting>
  <conditionalFormatting sqref="I42:Q42">
    <cfRule type="expression" dxfId="1484" priority="1174">
      <formula>$O$42="N/A"</formula>
    </cfRule>
  </conditionalFormatting>
  <conditionalFormatting sqref="I42:Q42">
    <cfRule type="expression" dxfId="1483" priority="1173">
      <formula>$O$42=""</formula>
    </cfRule>
  </conditionalFormatting>
  <conditionalFormatting sqref="I42:Q42">
    <cfRule type="expression" dxfId="1482" priority="1172">
      <formula>$I$42="Module 1"</formula>
    </cfRule>
  </conditionalFormatting>
  <conditionalFormatting sqref="I42:Q42">
    <cfRule type="expression" dxfId="1481" priority="1171">
      <formula>$I$42="Module 2"</formula>
    </cfRule>
  </conditionalFormatting>
  <conditionalFormatting sqref="I42:Q42">
    <cfRule type="expression" dxfId="1480" priority="1170">
      <formula>$I$42="Module 3"</formula>
    </cfRule>
  </conditionalFormatting>
  <conditionalFormatting sqref="I42:Q42">
    <cfRule type="expression" dxfId="1479" priority="1169">
      <formula>$I$42="or"</formula>
    </cfRule>
  </conditionalFormatting>
  <conditionalFormatting sqref="I42:Q42">
    <cfRule type="expression" dxfId="1478" priority="1168">
      <formula>$I$42="Type 1"</formula>
    </cfRule>
  </conditionalFormatting>
  <conditionalFormatting sqref="I42:Q42">
    <cfRule type="expression" dxfId="1477" priority="1167">
      <formula>$I$42="Type 2"</formula>
    </cfRule>
  </conditionalFormatting>
  <conditionalFormatting sqref="I42:Q42">
    <cfRule type="expression" dxfId="1476" priority="1166">
      <formula>$I$42="Type 3"</formula>
    </cfRule>
  </conditionalFormatting>
  <conditionalFormatting sqref="I43:Q43">
    <cfRule type="expression" dxfId="1475" priority="1160">
      <formula>$O$43="Not started"</formula>
    </cfRule>
  </conditionalFormatting>
  <conditionalFormatting sqref="I43:Q43">
    <cfRule type="expression" dxfId="1474" priority="1159">
      <formula>$O$43="In progress"</formula>
    </cfRule>
  </conditionalFormatting>
  <conditionalFormatting sqref="I43:Q43">
    <cfRule type="expression" dxfId="1473" priority="1158">
      <formula>$O$43="Closed"</formula>
    </cfRule>
  </conditionalFormatting>
  <conditionalFormatting sqref="I43:Q43">
    <cfRule type="expression" dxfId="1472" priority="1157">
      <formula>$O$43="Canceled"</formula>
    </cfRule>
  </conditionalFormatting>
  <conditionalFormatting sqref="I43:Q43">
    <cfRule type="expression" dxfId="1471" priority="1156">
      <formula>$O$43="Suspended"</formula>
    </cfRule>
  </conditionalFormatting>
  <conditionalFormatting sqref="I43:Q43">
    <cfRule type="expression" dxfId="1470" priority="1155">
      <formula>$O$43="Applied"</formula>
    </cfRule>
  </conditionalFormatting>
  <conditionalFormatting sqref="I43:Q43">
    <cfRule type="expression" dxfId="1469" priority="1154">
      <formula>$O$43="N/A"</formula>
    </cfRule>
  </conditionalFormatting>
  <conditionalFormatting sqref="I43:Q43">
    <cfRule type="expression" dxfId="1468" priority="1153">
      <formula>$O$43=""</formula>
    </cfRule>
  </conditionalFormatting>
  <conditionalFormatting sqref="I43:Q43">
    <cfRule type="expression" dxfId="1467" priority="1152">
      <formula>$I$43="Module 1"</formula>
    </cfRule>
  </conditionalFormatting>
  <conditionalFormatting sqref="I43:Q43">
    <cfRule type="expression" dxfId="1466" priority="1151">
      <formula>$I$43="Module 2"</formula>
    </cfRule>
  </conditionalFormatting>
  <conditionalFormatting sqref="I43:Q43">
    <cfRule type="expression" dxfId="1465" priority="1150">
      <formula>$I$43="Module 3"</formula>
    </cfRule>
  </conditionalFormatting>
  <conditionalFormatting sqref="I43:Q43">
    <cfRule type="expression" dxfId="1464" priority="1149">
      <formula>$I$43="or"</formula>
    </cfRule>
  </conditionalFormatting>
  <conditionalFormatting sqref="I43:Q43">
    <cfRule type="expression" dxfId="1463" priority="1148">
      <formula>$I$43="Type 1"</formula>
    </cfRule>
  </conditionalFormatting>
  <conditionalFormatting sqref="I43:Q43">
    <cfRule type="expression" dxfId="1462" priority="1147">
      <formula>$I$43="Type 2"</formula>
    </cfRule>
  </conditionalFormatting>
  <conditionalFormatting sqref="I43:Q43">
    <cfRule type="expression" dxfId="1461" priority="1146">
      <formula>$I$43="Type 3"</formula>
    </cfRule>
  </conditionalFormatting>
  <conditionalFormatting sqref="I44:Q44">
    <cfRule type="expression" dxfId="1460" priority="1140">
      <formula>$O$44="Not started"</formula>
    </cfRule>
  </conditionalFormatting>
  <conditionalFormatting sqref="I44:Q44">
    <cfRule type="expression" dxfId="1459" priority="1139">
      <formula>$O$44="In progress"</formula>
    </cfRule>
  </conditionalFormatting>
  <conditionalFormatting sqref="I44:Q44">
    <cfRule type="expression" dxfId="1458" priority="1138">
      <formula>$O$44="Closed"</formula>
    </cfRule>
  </conditionalFormatting>
  <conditionalFormatting sqref="I44:Q44">
    <cfRule type="expression" dxfId="1457" priority="1137">
      <formula>$O$44="Canceled"</formula>
    </cfRule>
  </conditionalFormatting>
  <conditionalFormatting sqref="I44:Q44">
    <cfRule type="expression" dxfId="1456" priority="1136">
      <formula>$O$44="Suspended"</formula>
    </cfRule>
  </conditionalFormatting>
  <conditionalFormatting sqref="I44:Q44">
    <cfRule type="expression" dxfId="1455" priority="1135">
      <formula>$O$44="Applied"</formula>
    </cfRule>
  </conditionalFormatting>
  <conditionalFormatting sqref="I44:Q44">
    <cfRule type="expression" dxfId="1454" priority="1134">
      <formula>$O$44="N/A"</formula>
    </cfRule>
  </conditionalFormatting>
  <conditionalFormatting sqref="I44:Q44">
    <cfRule type="expression" dxfId="1453" priority="1133">
      <formula>$O$44=""</formula>
    </cfRule>
  </conditionalFormatting>
  <conditionalFormatting sqref="I44:Q44">
    <cfRule type="expression" dxfId="1452" priority="1132">
      <formula>$I$44="Module 1"</formula>
    </cfRule>
  </conditionalFormatting>
  <conditionalFormatting sqref="I44:Q44">
    <cfRule type="expression" dxfId="1451" priority="1131">
      <formula>$I$44="Module 2"</formula>
    </cfRule>
  </conditionalFormatting>
  <conditionalFormatting sqref="I44:Q44">
    <cfRule type="expression" dxfId="1450" priority="1130">
      <formula>$I$44="Module 3"</formula>
    </cfRule>
  </conditionalFormatting>
  <conditionalFormatting sqref="I44:Q44">
    <cfRule type="expression" dxfId="1449" priority="1129">
      <formula>$I$44="or"</formula>
    </cfRule>
  </conditionalFormatting>
  <conditionalFormatting sqref="I44:Q44">
    <cfRule type="expression" dxfId="1448" priority="1128">
      <formula>$I$44="Type 1"</formula>
    </cfRule>
  </conditionalFormatting>
  <conditionalFormatting sqref="I44:Q44">
    <cfRule type="expression" dxfId="1447" priority="1127">
      <formula>$I$44="Type 2"</formula>
    </cfRule>
  </conditionalFormatting>
  <conditionalFormatting sqref="I44:Q44">
    <cfRule type="expression" dxfId="1446" priority="1126">
      <formula>$I$44="Type 3"</formula>
    </cfRule>
  </conditionalFormatting>
  <conditionalFormatting sqref="I45:Q45">
    <cfRule type="expression" dxfId="1445" priority="1120">
      <formula>$O$45="Not started"</formula>
    </cfRule>
  </conditionalFormatting>
  <conditionalFormatting sqref="I45:Q45">
    <cfRule type="expression" dxfId="1444" priority="1119">
      <formula>$O$45="In progress"</formula>
    </cfRule>
  </conditionalFormatting>
  <conditionalFormatting sqref="I45:Q45">
    <cfRule type="expression" dxfId="1443" priority="1118">
      <formula>$O$45="Closed"</formula>
    </cfRule>
  </conditionalFormatting>
  <conditionalFormatting sqref="I45:Q45">
    <cfRule type="expression" dxfId="1442" priority="1117">
      <formula>$O$45="Canceled"</formula>
    </cfRule>
  </conditionalFormatting>
  <conditionalFormatting sqref="I45:Q45">
    <cfRule type="expression" dxfId="1441" priority="1116">
      <formula>$O$45="Suspended"</formula>
    </cfRule>
  </conditionalFormatting>
  <conditionalFormatting sqref="I45:Q45">
    <cfRule type="expression" dxfId="1440" priority="1115">
      <formula>$O$45="Applied"</formula>
    </cfRule>
  </conditionalFormatting>
  <conditionalFormatting sqref="I45:Q45">
    <cfRule type="expression" dxfId="1439" priority="1114">
      <formula>$O$45="N/A"</formula>
    </cfRule>
  </conditionalFormatting>
  <conditionalFormatting sqref="I45:Q45">
    <cfRule type="expression" dxfId="1438" priority="1113">
      <formula>$O$45=""</formula>
    </cfRule>
  </conditionalFormatting>
  <conditionalFormatting sqref="I45:Q45">
    <cfRule type="expression" dxfId="1437" priority="1112">
      <formula>$I$45="Module 1"</formula>
    </cfRule>
  </conditionalFormatting>
  <conditionalFormatting sqref="I45:Q45">
    <cfRule type="expression" dxfId="1436" priority="1111">
      <formula>$I$45="Module 2"</formula>
    </cfRule>
  </conditionalFormatting>
  <conditionalFormatting sqref="I45:Q45">
    <cfRule type="expression" dxfId="1435" priority="1110">
      <formula>$I$45="Module 3"</formula>
    </cfRule>
  </conditionalFormatting>
  <conditionalFormatting sqref="I45:Q45">
    <cfRule type="expression" dxfId="1434" priority="1109">
      <formula>$I$45="or"</formula>
    </cfRule>
  </conditionalFormatting>
  <conditionalFormatting sqref="I45:Q45">
    <cfRule type="expression" dxfId="1433" priority="1108">
      <formula>$I$45="Type 1"</formula>
    </cfRule>
  </conditionalFormatting>
  <conditionalFormatting sqref="I45:Q45">
    <cfRule type="expression" dxfId="1432" priority="1107">
      <formula>$I$45="Type 2"</formula>
    </cfRule>
  </conditionalFormatting>
  <conditionalFormatting sqref="I45:Q45">
    <cfRule type="expression" dxfId="1431" priority="1106">
      <formula>$I$45="Type 3"</formula>
    </cfRule>
  </conditionalFormatting>
  <conditionalFormatting sqref="I46:Q46">
    <cfRule type="expression" dxfId="1430" priority="1100">
      <formula>$O$46="Not started"</formula>
    </cfRule>
  </conditionalFormatting>
  <conditionalFormatting sqref="I46:Q46">
    <cfRule type="expression" dxfId="1429" priority="1099">
      <formula>$O$46="In progress"</formula>
    </cfRule>
  </conditionalFormatting>
  <conditionalFormatting sqref="I46:Q46">
    <cfRule type="expression" dxfId="1428" priority="1098">
      <formula>$O$46="Closed"</formula>
    </cfRule>
  </conditionalFormatting>
  <conditionalFormatting sqref="I46:Q46">
    <cfRule type="expression" dxfId="1427" priority="1097">
      <formula>$O$46="Canceled"</formula>
    </cfRule>
  </conditionalFormatting>
  <conditionalFormatting sqref="I46:Q46">
    <cfRule type="expression" dxfId="1426" priority="1096">
      <formula>$O$46="Suspended"</formula>
    </cfRule>
  </conditionalFormatting>
  <conditionalFormatting sqref="I46:Q46">
    <cfRule type="expression" dxfId="1425" priority="1095">
      <formula>$O$46="Applied"</formula>
    </cfRule>
  </conditionalFormatting>
  <conditionalFormatting sqref="I46:Q46">
    <cfRule type="expression" dxfId="1424" priority="1094">
      <formula>$O$46="N/A"</formula>
    </cfRule>
  </conditionalFormatting>
  <conditionalFormatting sqref="I46:Q46">
    <cfRule type="expression" dxfId="1423" priority="1093">
      <formula>$O$46=""</formula>
    </cfRule>
  </conditionalFormatting>
  <conditionalFormatting sqref="I46:Q46">
    <cfRule type="expression" dxfId="1422" priority="1092">
      <formula>$I$46="Module 1"</formula>
    </cfRule>
  </conditionalFormatting>
  <conditionalFormatting sqref="I46:Q46">
    <cfRule type="expression" dxfId="1421" priority="1091">
      <formula>$I$46="Module 2"</formula>
    </cfRule>
  </conditionalFormatting>
  <conditionalFormatting sqref="I46:Q46">
    <cfRule type="expression" dxfId="1420" priority="1090">
      <formula>$I$46="Module 3"</formula>
    </cfRule>
  </conditionalFormatting>
  <conditionalFormatting sqref="I46:Q46">
    <cfRule type="expression" dxfId="1419" priority="1089">
      <formula>$I$46="or"</formula>
    </cfRule>
  </conditionalFormatting>
  <conditionalFormatting sqref="I46:Q46">
    <cfRule type="expression" dxfId="1418" priority="1088">
      <formula>$I$46="Type 1"</formula>
    </cfRule>
  </conditionalFormatting>
  <conditionalFormatting sqref="I46:Q46">
    <cfRule type="expression" dxfId="1417" priority="1087">
      <formula>$I$46="Type 2"</formula>
    </cfRule>
  </conditionalFormatting>
  <conditionalFormatting sqref="I46:Q46">
    <cfRule type="expression" dxfId="1416" priority="1086">
      <formula>$I$46="Type 3"</formula>
    </cfRule>
  </conditionalFormatting>
  <conditionalFormatting sqref="I47:Q47">
    <cfRule type="expression" dxfId="1415" priority="1080">
      <formula>$O$47="Not started"</formula>
    </cfRule>
  </conditionalFormatting>
  <conditionalFormatting sqref="I47:Q47">
    <cfRule type="expression" dxfId="1414" priority="1079">
      <formula>$O$47="In progress"</formula>
    </cfRule>
  </conditionalFormatting>
  <conditionalFormatting sqref="I47:Q47">
    <cfRule type="expression" dxfId="1413" priority="1078">
      <formula>$O$47="Closed"</formula>
    </cfRule>
  </conditionalFormatting>
  <conditionalFormatting sqref="I47:Q47">
    <cfRule type="expression" dxfId="1412" priority="1077">
      <formula>$O$47="Canceled"</formula>
    </cfRule>
  </conditionalFormatting>
  <conditionalFormatting sqref="I47:Q47">
    <cfRule type="expression" dxfId="1411" priority="1076">
      <formula>$O$47="Suspended"</formula>
    </cfRule>
  </conditionalFormatting>
  <conditionalFormatting sqref="I47:Q47">
    <cfRule type="expression" dxfId="1410" priority="1075">
      <formula>$O$47="Applied"</formula>
    </cfRule>
  </conditionalFormatting>
  <conditionalFormatting sqref="I47:Q47">
    <cfRule type="expression" dxfId="1409" priority="1074">
      <formula>$O$47="N/A"</formula>
    </cfRule>
  </conditionalFormatting>
  <conditionalFormatting sqref="I47:Q47">
    <cfRule type="expression" dxfId="1408" priority="1073">
      <formula>$O$47=""</formula>
    </cfRule>
  </conditionalFormatting>
  <conditionalFormatting sqref="I47:Q47">
    <cfRule type="expression" dxfId="1407" priority="1072">
      <formula>$I$47="Module 1"</formula>
    </cfRule>
  </conditionalFormatting>
  <conditionalFormatting sqref="I47:Q47">
    <cfRule type="expression" dxfId="1406" priority="1071">
      <formula>$I$47="Module 2"</formula>
    </cfRule>
  </conditionalFormatting>
  <conditionalFormatting sqref="I47:Q47">
    <cfRule type="expression" dxfId="1405" priority="1070">
      <formula>$I$47="Module 3"</formula>
    </cfRule>
  </conditionalFormatting>
  <conditionalFormatting sqref="I47:Q47">
    <cfRule type="expression" dxfId="1404" priority="1069">
      <formula>$I$47="or"</formula>
    </cfRule>
  </conditionalFormatting>
  <conditionalFormatting sqref="I47:Q47">
    <cfRule type="expression" dxfId="1403" priority="1068">
      <formula>$I$47="Type 1"</formula>
    </cfRule>
  </conditionalFormatting>
  <conditionalFormatting sqref="I47:Q47">
    <cfRule type="expression" dxfId="1402" priority="1067">
      <formula>$I$47="Type 2"</formula>
    </cfRule>
  </conditionalFormatting>
  <conditionalFormatting sqref="I47:Q47">
    <cfRule type="expression" dxfId="1401" priority="1066">
      <formula>$I$47="Type 3"</formula>
    </cfRule>
  </conditionalFormatting>
  <conditionalFormatting sqref="I48:Q48">
    <cfRule type="expression" dxfId="1400" priority="1060">
      <formula>$O$48="Not started"</formula>
    </cfRule>
  </conditionalFormatting>
  <conditionalFormatting sqref="I48:Q48">
    <cfRule type="expression" dxfId="1399" priority="1059">
      <formula>$O$48="In progress"</formula>
    </cfRule>
  </conditionalFormatting>
  <conditionalFormatting sqref="I48:Q48">
    <cfRule type="expression" dxfId="1398" priority="1058">
      <formula>$O$48="Closed"</formula>
    </cfRule>
  </conditionalFormatting>
  <conditionalFormatting sqref="I48:Q48">
    <cfRule type="expression" dxfId="1397" priority="1057">
      <formula>$O$48="Canceled"</formula>
    </cfRule>
  </conditionalFormatting>
  <conditionalFormatting sqref="I48:Q48">
    <cfRule type="expression" dxfId="1396" priority="1056">
      <formula>$O$48="Suspended"</formula>
    </cfRule>
  </conditionalFormatting>
  <conditionalFormatting sqref="I48:Q48">
    <cfRule type="expression" dxfId="1395" priority="1055">
      <formula>$O$48="Applied"</formula>
    </cfRule>
  </conditionalFormatting>
  <conditionalFormatting sqref="I48:Q48">
    <cfRule type="expression" dxfId="1394" priority="1054">
      <formula>$O$48="N/A"</formula>
    </cfRule>
  </conditionalFormatting>
  <conditionalFormatting sqref="I48:Q48">
    <cfRule type="expression" dxfId="1393" priority="1053">
      <formula>$O$48=""</formula>
    </cfRule>
  </conditionalFormatting>
  <conditionalFormatting sqref="I48:Q48">
    <cfRule type="expression" dxfId="1392" priority="1052">
      <formula>$I$48="Module 1"</formula>
    </cfRule>
  </conditionalFormatting>
  <conditionalFormatting sqref="I48:Q48">
    <cfRule type="expression" dxfId="1391" priority="1051">
      <formula>$I$48="Module 2"</formula>
    </cfRule>
  </conditionalFormatting>
  <conditionalFormatting sqref="I48:Q48">
    <cfRule type="expression" dxfId="1390" priority="1050">
      <formula>$I$48="Module 3"</formula>
    </cfRule>
  </conditionalFormatting>
  <conditionalFormatting sqref="I48:Q48">
    <cfRule type="expression" dxfId="1389" priority="1049">
      <formula>$I$48="or"</formula>
    </cfRule>
  </conditionalFormatting>
  <conditionalFormatting sqref="I48:Q48">
    <cfRule type="expression" dxfId="1388" priority="1048">
      <formula>$I$48="Type 1"</formula>
    </cfRule>
  </conditionalFormatting>
  <conditionalFormatting sqref="I48:Q48">
    <cfRule type="expression" dxfId="1387" priority="1047">
      <formula>$I$48="Type 2"</formula>
    </cfRule>
  </conditionalFormatting>
  <conditionalFormatting sqref="I48:Q48">
    <cfRule type="expression" dxfId="1386" priority="1046">
      <formula>$I$48="Type 3"</formula>
    </cfRule>
  </conditionalFormatting>
  <conditionalFormatting sqref="I49:Q49">
    <cfRule type="expression" dxfId="1385" priority="1040">
      <formula>$O$49="Not started"</formula>
    </cfRule>
  </conditionalFormatting>
  <conditionalFormatting sqref="I49:Q49">
    <cfRule type="expression" dxfId="1384" priority="1039">
      <formula>$O$49="In progress"</formula>
    </cfRule>
  </conditionalFormatting>
  <conditionalFormatting sqref="I49:Q49">
    <cfRule type="expression" dxfId="1383" priority="1038">
      <formula>$O$49="Closed"</formula>
    </cfRule>
  </conditionalFormatting>
  <conditionalFormatting sqref="I49:Q49">
    <cfRule type="expression" dxfId="1382" priority="1037">
      <formula>$O$49="Canceled"</formula>
    </cfRule>
  </conditionalFormatting>
  <conditionalFormatting sqref="I49:Q49">
    <cfRule type="expression" dxfId="1381" priority="1036">
      <formula>$O$49="Suspended"</formula>
    </cfRule>
  </conditionalFormatting>
  <conditionalFormatting sqref="I49:Q49">
    <cfRule type="expression" dxfId="1380" priority="1035">
      <formula>$O$49="Applied"</formula>
    </cfRule>
  </conditionalFormatting>
  <conditionalFormatting sqref="I49:Q49">
    <cfRule type="expression" dxfId="1379" priority="1034">
      <formula>$O$49="N/A"</formula>
    </cfRule>
  </conditionalFormatting>
  <conditionalFormatting sqref="I49:Q49">
    <cfRule type="expression" dxfId="1378" priority="1033">
      <formula>$O$49=""</formula>
    </cfRule>
  </conditionalFormatting>
  <conditionalFormatting sqref="I49:Q49">
    <cfRule type="expression" dxfId="1377" priority="1032">
      <formula>$I$49="Module 1"</formula>
    </cfRule>
  </conditionalFormatting>
  <conditionalFormatting sqref="I49:Q49">
    <cfRule type="expression" dxfId="1376" priority="1031">
      <formula>$I$49="Module 2"</formula>
    </cfRule>
  </conditionalFormatting>
  <conditionalFormatting sqref="I49:Q49">
    <cfRule type="expression" dxfId="1375" priority="1030">
      <formula>$I$49="Module 3"</formula>
    </cfRule>
  </conditionalFormatting>
  <conditionalFormatting sqref="I49:Q49">
    <cfRule type="expression" dxfId="1374" priority="1029">
      <formula>$I$49="or"</formula>
    </cfRule>
  </conditionalFormatting>
  <conditionalFormatting sqref="I49:Q49">
    <cfRule type="expression" dxfId="1373" priority="1028">
      <formula>$I$49="Type 1"</formula>
    </cfRule>
  </conditionalFormatting>
  <conditionalFormatting sqref="I49:Q49">
    <cfRule type="expression" dxfId="1372" priority="1027">
      <formula>$I$49="Type 2"</formula>
    </cfRule>
  </conditionalFormatting>
  <conditionalFormatting sqref="I49:Q49">
    <cfRule type="expression" dxfId="1371" priority="1026">
      <formula>$I$49="Type 3"</formula>
    </cfRule>
  </conditionalFormatting>
  <conditionalFormatting sqref="I50:Q50">
    <cfRule type="expression" dxfId="1370" priority="1020">
      <formula>$O$50="Not started"</formula>
    </cfRule>
  </conditionalFormatting>
  <conditionalFormatting sqref="I50:Q50">
    <cfRule type="expression" dxfId="1369" priority="1019">
      <formula>$O$50="In progress"</formula>
    </cfRule>
  </conditionalFormatting>
  <conditionalFormatting sqref="I50:Q50">
    <cfRule type="expression" dxfId="1368" priority="1018">
      <formula>$O$50="Closed"</formula>
    </cfRule>
  </conditionalFormatting>
  <conditionalFormatting sqref="I50:Q50">
    <cfRule type="expression" dxfId="1367" priority="1017">
      <formula>$O$50="Canceled"</formula>
    </cfRule>
  </conditionalFormatting>
  <conditionalFormatting sqref="I50:Q50">
    <cfRule type="expression" dxfId="1366" priority="1016">
      <formula>$O$50="Suspended"</formula>
    </cfRule>
  </conditionalFormatting>
  <conditionalFormatting sqref="I50:Q50">
    <cfRule type="expression" dxfId="1365" priority="1015">
      <formula>$O$50="Applied"</formula>
    </cfRule>
  </conditionalFormatting>
  <conditionalFormatting sqref="I50:Q50">
    <cfRule type="expression" dxfId="1364" priority="1014">
      <formula>$O$50="N/A"</formula>
    </cfRule>
  </conditionalFormatting>
  <conditionalFormatting sqref="I50:Q50">
    <cfRule type="expression" dxfId="1363" priority="1013">
      <formula>$O$50=""</formula>
    </cfRule>
  </conditionalFormatting>
  <conditionalFormatting sqref="I50:Q50">
    <cfRule type="expression" dxfId="1362" priority="1012">
      <formula>$I$50="Module 1"</formula>
    </cfRule>
  </conditionalFormatting>
  <conditionalFormatting sqref="I50:Q50">
    <cfRule type="expression" dxfId="1361" priority="1011">
      <formula>$I$50="Module 2"</formula>
    </cfRule>
  </conditionalFormatting>
  <conditionalFormatting sqref="I50:Q50">
    <cfRule type="expression" dxfId="1360" priority="1010">
      <formula>$I$50="Module 3"</formula>
    </cfRule>
  </conditionalFormatting>
  <conditionalFormatting sqref="I50:Q50">
    <cfRule type="expression" dxfId="1359" priority="1009">
      <formula>$I$50="or"</formula>
    </cfRule>
  </conditionalFormatting>
  <conditionalFormatting sqref="I50:Q50">
    <cfRule type="expression" dxfId="1358" priority="1008">
      <formula>$I$50="Type 1"</formula>
    </cfRule>
  </conditionalFormatting>
  <conditionalFormatting sqref="I50:Q50">
    <cfRule type="expression" dxfId="1357" priority="1007">
      <formula>$I$50="Type 2"</formula>
    </cfRule>
  </conditionalFormatting>
  <conditionalFormatting sqref="I50:Q50">
    <cfRule type="expression" dxfId="1356" priority="1006">
      <formula>$I$50="Type 3"</formula>
    </cfRule>
  </conditionalFormatting>
  <conditionalFormatting sqref="I51:Q51">
    <cfRule type="expression" dxfId="1355" priority="1000">
      <formula>$O$51="Not started"</formula>
    </cfRule>
  </conditionalFormatting>
  <conditionalFormatting sqref="I51:Q51">
    <cfRule type="expression" dxfId="1354" priority="999">
      <formula>$O$51="In progress"</formula>
    </cfRule>
  </conditionalFormatting>
  <conditionalFormatting sqref="I51:Q51">
    <cfRule type="expression" dxfId="1353" priority="998">
      <formula>$O$51="Closed"</formula>
    </cfRule>
  </conditionalFormatting>
  <conditionalFormatting sqref="I51:Q51">
    <cfRule type="expression" dxfId="1352" priority="997">
      <formula>$O$51="Canceled"</formula>
    </cfRule>
  </conditionalFormatting>
  <conditionalFormatting sqref="I51:Q51">
    <cfRule type="expression" dxfId="1351" priority="996">
      <formula>$O$51="Suspended"</formula>
    </cfRule>
  </conditionalFormatting>
  <conditionalFormatting sqref="I51:Q51">
    <cfRule type="expression" dxfId="1350" priority="995">
      <formula>$O$51="Applied"</formula>
    </cfRule>
  </conditionalFormatting>
  <conditionalFormatting sqref="I51:Q51">
    <cfRule type="expression" dxfId="1349" priority="994">
      <formula>$O$51="N/A"</formula>
    </cfRule>
  </conditionalFormatting>
  <conditionalFormatting sqref="I51:Q51">
    <cfRule type="expression" dxfId="1348" priority="993">
      <formula>$O$51=""</formula>
    </cfRule>
  </conditionalFormatting>
  <conditionalFormatting sqref="I51:Q51">
    <cfRule type="expression" dxfId="1347" priority="992">
      <formula>$I$51="Module 1"</formula>
    </cfRule>
  </conditionalFormatting>
  <conditionalFormatting sqref="I51:Q51">
    <cfRule type="expression" dxfId="1346" priority="991">
      <formula>$I$51="Module 2"</formula>
    </cfRule>
  </conditionalFormatting>
  <conditionalFormatting sqref="I51:Q51">
    <cfRule type="expression" dxfId="1345" priority="990">
      <formula>$I$51="Module 3"</formula>
    </cfRule>
  </conditionalFormatting>
  <conditionalFormatting sqref="I51:Q51">
    <cfRule type="expression" dxfId="1344" priority="989">
      <formula>$I$51="or"</formula>
    </cfRule>
  </conditionalFormatting>
  <conditionalFormatting sqref="I51:Q51">
    <cfRule type="expression" dxfId="1343" priority="988">
      <formula>$I$51="Type 1"</formula>
    </cfRule>
  </conditionalFormatting>
  <conditionalFormatting sqref="I51:Q51">
    <cfRule type="expression" dxfId="1342" priority="987">
      <formula>$I$51="Type 2"</formula>
    </cfRule>
  </conditionalFormatting>
  <conditionalFormatting sqref="I51:Q51">
    <cfRule type="expression" dxfId="1341" priority="986">
      <formula>$I$51="Type 3"</formula>
    </cfRule>
  </conditionalFormatting>
  <conditionalFormatting sqref="I52:Q52">
    <cfRule type="expression" dxfId="1340" priority="980">
      <formula>$O$52="Not started"</formula>
    </cfRule>
  </conditionalFormatting>
  <conditionalFormatting sqref="I52:Q52">
    <cfRule type="expression" dxfId="1339" priority="979">
      <formula>$O$52="In progress"</formula>
    </cfRule>
  </conditionalFormatting>
  <conditionalFormatting sqref="I52:Q52">
    <cfRule type="expression" dxfId="1338" priority="978">
      <formula>$O$52="Closed"</formula>
    </cfRule>
  </conditionalFormatting>
  <conditionalFormatting sqref="I52:Q52">
    <cfRule type="expression" dxfId="1337" priority="977">
      <formula>$O$52="Canceled"</formula>
    </cfRule>
  </conditionalFormatting>
  <conditionalFormatting sqref="I52:Q52">
    <cfRule type="expression" dxfId="1336" priority="976">
      <formula>$O$52="Suspended"</formula>
    </cfRule>
  </conditionalFormatting>
  <conditionalFormatting sqref="I52:Q52">
    <cfRule type="expression" dxfId="1335" priority="975">
      <formula>$O$52="Applied"</formula>
    </cfRule>
  </conditionalFormatting>
  <conditionalFormatting sqref="I52:Q52">
    <cfRule type="expression" dxfId="1334" priority="974">
      <formula>$O$52="N/A"</formula>
    </cfRule>
  </conditionalFormatting>
  <conditionalFormatting sqref="I52:Q52">
    <cfRule type="expression" dxfId="1333" priority="973">
      <formula>$O$52=""</formula>
    </cfRule>
  </conditionalFormatting>
  <conditionalFormatting sqref="I52:Q52">
    <cfRule type="expression" dxfId="1332" priority="972">
      <formula>$I$52="Module 1"</formula>
    </cfRule>
  </conditionalFormatting>
  <conditionalFormatting sqref="I52:Q52">
    <cfRule type="expression" dxfId="1331" priority="971">
      <formula>$I$52="Module 2"</formula>
    </cfRule>
  </conditionalFormatting>
  <conditionalFormatting sqref="I52:Q52">
    <cfRule type="expression" dxfId="1330" priority="970">
      <formula>$I$52="Module 3"</formula>
    </cfRule>
  </conditionalFormatting>
  <conditionalFormatting sqref="I52:Q52">
    <cfRule type="expression" dxfId="1329" priority="969">
      <formula>$I$52="or"</formula>
    </cfRule>
  </conditionalFormatting>
  <conditionalFormatting sqref="I52:Q52">
    <cfRule type="expression" dxfId="1328" priority="968">
      <formula>$I$52="Type 1"</formula>
    </cfRule>
  </conditionalFormatting>
  <conditionalFormatting sqref="I52:Q52">
    <cfRule type="expression" dxfId="1327" priority="967">
      <formula>$I$52="Type 2"</formula>
    </cfRule>
  </conditionalFormatting>
  <conditionalFormatting sqref="I52:Q52">
    <cfRule type="expression" dxfId="1326" priority="966">
      <formula>$I$52="Type 3"</formula>
    </cfRule>
  </conditionalFormatting>
  <conditionalFormatting sqref="I53:Q53">
    <cfRule type="expression" dxfId="1325" priority="960">
      <formula>$O$53="Not started"</formula>
    </cfRule>
  </conditionalFormatting>
  <conditionalFormatting sqref="I53:Q53">
    <cfRule type="expression" dxfId="1324" priority="959">
      <formula>$O$53="In progress"</formula>
    </cfRule>
  </conditionalFormatting>
  <conditionalFormatting sqref="I53:Q53">
    <cfRule type="expression" dxfId="1323" priority="958">
      <formula>$O$53="Closed"</formula>
    </cfRule>
  </conditionalFormatting>
  <conditionalFormatting sqref="I53:Q53">
    <cfRule type="expression" dxfId="1322" priority="957">
      <formula>$O$53="Canceled"</formula>
    </cfRule>
  </conditionalFormatting>
  <conditionalFormatting sqref="I53:Q53">
    <cfRule type="expression" dxfId="1321" priority="956">
      <formula>$O$53="Suspended"</formula>
    </cfRule>
  </conditionalFormatting>
  <conditionalFormatting sqref="I53:Q53">
    <cfRule type="expression" dxfId="1320" priority="955">
      <formula>$O$53="Applied"</formula>
    </cfRule>
  </conditionalFormatting>
  <conditionalFormatting sqref="I53:Q53">
    <cfRule type="expression" dxfId="1319" priority="954">
      <formula>$O$53="N/A"</formula>
    </cfRule>
  </conditionalFormatting>
  <conditionalFormatting sqref="I53:Q53">
    <cfRule type="expression" dxfId="1318" priority="953">
      <formula>$O$53=""</formula>
    </cfRule>
  </conditionalFormatting>
  <conditionalFormatting sqref="I53:Q53">
    <cfRule type="expression" dxfId="1317" priority="952">
      <formula>$I$53="Module 1"</formula>
    </cfRule>
  </conditionalFormatting>
  <conditionalFormatting sqref="I53:Q53">
    <cfRule type="expression" dxfId="1316" priority="951">
      <formula>$I$53="Module 2"</formula>
    </cfRule>
  </conditionalFormatting>
  <conditionalFormatting sqref="I53:Q53">
    <cfRule type="expression" dxfId="1315" priority="950">
      <formula>$I$53="Module 3"</formula>
    </cfRule>
  </conditionalFormatting>
  <conditionalFormatting sqref="I53:Q53">
    <cfRule type="expression" dxfId="1314" priority="949">
      <formula>$I$53="or"</formula>
    </cfRule>
  </conditionalFormatting>
  <conditionalFormatting sqref="I53:Q53">
    <cfRule type="expression" dxfId="1313" priority="948">
      <formula>$I$53="Type 1"</formula>
    </cfRule>
  </conditionalFormatting>
  <conditionalFormatting sqref="I53:Q53">
    <cfRule type="expression" dxfId="1312" priority="947">
      <formula>$I$53="Type 2"</formula>
    </cfRule>
  </conditionalFormatting>
  <conditionalFormatting sqref="I53:Q53">
    <cfRule type="expression" dxfId="1311" priority="946">
      <formula>$I$53="Type 3"</formula>
    </cfRule>
  </conditionalFormatting>
  <conditionalFormatting sqref="I54:Q54">
    <cfRule type="expression" dxfId="1310" priority="940">
      <formula>$O$54="Not started"</formula>
    </cfRule>
  </conditionalFormatting>
  <conditionalFormatting sqref="I54:Q54">
    <cfRule type="expression" dxfId="1309" priority="939">
      <formula>$O$54="In progress"</formula>
    </cfRule>
  </conditionalFormatting>
  <conditionalFormatting sqref="I54:Q54">
    <cfRule type="expression" dxfId="1308" priority="938">
      <formula>$O$54="Closed"</formula>
    </cfRule>
  </conditionalFormatting>
  <conditionalFormatting sqref="I54:Q54">
    <cfRule type="expression" dxfId="1307" priority="937">
      <formula>$O$54="Canceled"</formula>
    </cfRule>
  </conditionalFormatting>
  <conditionalFormatting sqref="I54:Q54">
    <cfRule type="expression" dxfId="1306" priority="936">
      <formula>$O$54="Suspended"</formula>
    </cfRule>
  </conditionalFormatting>
  <conditionalFormatting sqref="I54:Q54">
    <cfRule type="expression" dxfId="1305" priority="935">
      <formula>$O$54="Applied"</formula>
    </cfRule>
  </conditionalFormatting>
  <conditionalFormatting sqref="I54:Q54">
    <cfRule type="expression" dxfId="1304" priority="934">
      <formula>$O$54="N/A"</formula>
    </cfRule>
  </conditionalFormatting>
  <conditionalFormatting sqref="I54:Q54">
    <cfRule type="expression" dxfId="1303" priority="933">
      <formula>$O$54=""</formula>
    </cfRule>
  </conditionalFormatting>
  <conditionalFormatting sqref="I54:Q54">
    <cfRule type="expression" dxfId="1302" priority="932">
      <formula>$I$54="Module 1"</formula>
    </cfRule>
  </conditionalFormatting>
  <conditionalFormatting sqref="I54:Q54">
    <cfRule type="expression" dxfId="1301" priority="931">
      <formula>$I$54="Module 2"</formula>
    </cfRule>
  </conditionalFormatting>
  <conditionalFormatting sqref="I54:Q54">
    <cfRule type="expression" dxfId="1300" priority="930">
      <formula>$I$54="Module 3"</formula>
    </cfRule>
  </conditionalFormatting>
  <conditionalFormatting sqref="I54:Q54">
    <cfRule type="expression" dxfId="1299" priority="929">
      <formula>$I$54="or"</formula>
    </cfRule>
  </conditionalFormatting>
  <conditionalFormatting sqref="I54:Q54">
    <cfRule type="expression" dxfId="1298" priority="928">
      <formula>$I$54="Type 1"</formula>
    </cfRule>
  </conditionalFormatting>
  <conditionalFormatting sqref="I54:Q54">
    <cfRule type="expression" dxfId="1297" priority="927">
      <formula>$I$54="Type 2"</formula>
    </cfRule>
  </conditionalFormatting>
  <conditionalFormatting sqref="I54:Q54">
    <cfRule type="expression" dxfId="1296" priority="926">
      <formula>$I$54="Type 3"</formula>
    </cfRule>
  </conditionalFormatting>
  <conditionalFormatting sqref="I55:Q55">
    <cfRule type="expression" dxfId="1295" priority="920">
      <formula>$O$55="Not started"</formula>
    </cfRule>
  </conditionalFormatting>
  <conditionalFormatting sqref="I55:Q55">
    <cfRule type="expression" dxfId="1294" priority="919">
      <formula>$O$55="In progress"</formula>
    </cfRule>
  </conditionalFormatting>
  <conditionalFormatting sqref="I55:Q55">
    <cfRule type="expression" dxfId="1293" priority="918">
      <formula>$O$55="Closed"</formula>
    </cfRule>
  </conditionalFormatting>
  <conditionalFormatting sqref="I55:Q55">
    <cfRule type="expression" dxfId="1292" priority="917">
      <formula>$O$55="Canceled"</formula>
    </cfRule>
  </conditionalFormatting>
  <conditionalFormatting sqref="I55:Q55">
    <cfRule type="expression" dxfId="1291" priority="916">
      <formula>$O$55="Suspended"</formula>
    </cfRule>
  </conditionalFormatting>
  <conditionalFormatting sqref="I55:Q55">
    <cfRule type="expression" dxfId="1290" priority="915">
      <formula>$O$55="Applied"</formula>
    </cfRule>
  </conditionalFormatting>
  <conditionalFormatting sqref="I55:Q55">
    <cfRule type="expression" dxfId="1289" priority="914">
      <formula>$O$55="N/A"</formula>
    </cfRule>
  </conditionalFormatting>
  <conditionalFormatting sqref="I55:Q55">
    <cfRule type="expression" dxfId="1288" priority="913">
      <formula>$O$55=""</formula>
    </cfRule>
  </conditionalFormatting>
  <conditionalFormatting sqref="I55:Q55">
    <cfRule type="expression" dxfId="1287" priority="912">
      <formula>$I$55="Module 1"</formula>
    </cfRule>
  </conditionalFormatting>
  <conditionalFormatting sqref="I55:Q55">
    <cfRule type="expression" dxfId="1286" priority="911">
      <formula>$I$55="Module 2"</formula>
    </cfRule>
  </conditionalFormatting>
  <conditionalFormatting sqref="I55:Q55">
    <cfRule type="expression" dxfId="1285" priority="910">
      <formula>$I$55="Module 3"</formula>
    </cfRule>
  </conditionalFormatting>
  <conditionalFormatting sqref="I55:Q55">
    <cfRule type="expression" dxfId="1284" priority="909">
      <formula>$I$55="or"</formula>
    </cfRule>
  </conditionalFormatting>
  <conditionalFormatting sqref="I55:Q55">
    <cfRule type="expression" dxfId="1283" priority="908">
      <formula>$I$55="Type 1"</formula>
    </cfRule>
  </conditionalFormatting>
  <conditionalFormatting sqref="I55:Q55">
    <cfRule type="expression" dxfId="1282" priority="907">
      <formula>$I$55="Type 2"</formula>
    </cfRule>
  </conditionalFormatting>
  <conditionalFormatting sqref="I55:Q55">
    <cfRule type="expression" dxfId="1281" priority="906">
      <formula>$I$55="Type 3"</formula>
    </cfRule>
  </conditionalFormatting>
  <conditionalFormatting sqref="I56:Q56">
    <cfRule type="expression" dxfId="1280" priority="900">
      <formula>$O$56="Not started"</formula>
    </cfRule>
  </conditionalFormatting>
  <conditionalFormatting sqref="I56:Q56">
    <cfRule type="expression" dxfId="1279" priority="899">
      <formula>$O$56="In progress"</formula>
    </cfRule>
  </conditionalFormatting>
  <conditionalFormatting sqref="I56:Q56">
    <cfRule type="expression" dxfId="1278" priority="898">
      <formula>$O$56="Closed"</formula>
    </cfRule>
  </conditionalFormatting>
  <conditionalFormatting sqref="I56:Q56">
    <cfRule type="expression" dxfId="1277" priority="897">
      <formula>$O$56="Canceled"</formula>
    </cfRule>
  </conditionalFormatting>
  <conditionalFormatting sqref="I56:Q56">
    <cfRule type="expression" dxfId="1276" priority="896">
      <formula>$O$56="Suspended"</formula>
    </cfRule>
  </conditionalFormatting>
  <conditionalFormatting sqref="I56:Q56">
    <cfRule type="expression" dxfId="1275" priority="895">
      <formula>$O$56="Applied"</formula>
    </cfRule>
  </conditionalFormatting>
  <conditionalFormatting sqref="I56:Q56">
    <cfRule type="expression" dxfId="1274" priority="894">
      <formula>$O$56="N/A"</formula>
    </cfRule>
  </conditionalFormatting>
  <conditionalFormatting sqref="I56:Q56">
    <cfRule type="expression" dxfId="1273" priority="893">
      <formula>$O$56=""</formula>
    </cfRule>
  </conditionalFormatting>
  <conditionalFormatting sqref="I56:Q56">
    <cfRule type="expression" dxfId="1272" priority="892">
      <formula>$I$56="Module 1"</formula>
    </cfRule>
  </conditionalFormatting>
  <conditionalFormatting sqref="I56:Q56">
    <cfRule type="expression" dxfId="1271" priority="891">
      <formula>$I$56="Module 2"</formula>
    </cfRule>
  </conditionalFormatting>
  <conditionalFormatting sqref="I56:Q56">
    <cfRule type="expression" dxfId="1270" priority="890">
      <formula>$I$56="Module 3"</formula>
    </cfRule>
  </conditionalFormatting>
  <conditionalFormatting sqref="I56:Q56">
    <cfRule type="expression" dxfId="1269" priority="889">
      <formula>$I$56="or"</formula>
    </cfRule>
  </conditionalFormatting>
  <conditionalFormatting sqref="I56:Q56">
    <cfRule type="expression" dxfId="1268" priority="888">
      <formula>$I$56="Type 1"</formula>
    </cfRule>
  </conditionalFormatting>
  <conditionalFormatting sqref="I56:Q56">
    <cfRule type="expression" dxfId="1267" priority="887">
      <formula>$I$56="Type 2"</formula>
    </cfRule>
  </conditionalFormatting>
  <conditionalFormatting sqref="I56:Q56">
    <cfRule type="expression" dxfId="1266" priority="886">
      <formula>$I$56="Type 3"</formula>
    </cfRule>
  </conditionalFormatting>
  <conditionalFormatting sqref="I57:Q57">
    <cfRule type="expression" dxfId="1265" priority="880">
      <formula>$O$57="Not started"</formula>
    </cfRule>
  </conditionalFormatting>
  <conditionalFormatting sqref="I57:Q57">
    <cfRule type="expression" dxfId="1264" priority="879">
      <formula>$O$57="In progress"</formula>
    </cfRule>
  </conditionalFormatting>
  <conditionalFormatting sqref="I57:Q57">
    <cfRule type="expression" dxfId="1263" priority="878">
      <formula>$O$57="Closed"</formula>
    </cfRule>
  </conditionalFormatting>
  <conditionalFormatting sqref="I57:Q57">
    <cfRule type="expression" dxfId="1262" priority="877">
      <formula>$O$57="Canceled"</formula>
    </cfRule>
  </conditionalFormatting>
  <conditionalFormatting sqref="I57:Q57">
    <cfRule type="expression" dxfId="1261" priority="876">
      <formula>$O$57="Suspended"</formula>
    </cfRule>
  </conditionalFormatting>
  <conditionalFormatting sqref="I57:Q57">
    <cfRule type="expression" dxfId="1260" priority="875">
      <formula>$O$57="Applied"</formula>
    </cfRule>
  </conditionalFormatting>
  <conditionalFormatting sqref="I57:Q57">
    <cfRule type="expression" dxfId="1259" priority="874">
      <formula>$O$57="N/A"</formula>
    </cfRule>
  </conditionalFormatting>
  <conditionalFormatting sqref="I57:Q57">
    <cfRule type="expression" dxfId="1258" priority="873">
      <formula>$O$57=""</formula>
    </cfRule>
  </conditionalFormatting>
  <conditionalFormatting sqref="I57:Q57">
    <cfRule type="expression" dxfId="1257" priority="872">
      <formula>$I$57="Module 1"</formula>
    </cfRule>
  </conditionalFormatting>
  <conditionalFormatting sqref="I57:Q57">
    <cfRule type="expression" dxfId="1256" priority="871">
      <formula>$I$57="Module 2"</formula>
    </cfRule>
  </conditionalFormatting>
  <conditionalFormatting sqref="I57:Q57">
    <cfRule type="expression" dxfId="1255" priority="870">
      <formula>$I$57="Module 3"</formula>
    </cfRule>
  </conditionalFormatting>
  <conditionalFormatting sqref="I57:Q57">
    <cfRule type="expression" dxfId="1254" priority="869">
      <formula>$I$57="or"</formula>
    </cfRule>
  </conditionalFormatting>
  <conditionalFormatting sqref="I57:Q57">
    <cfRule type="expression" dxfId="1253" priority="868">
      <formula>$I$57="Type 1"</formula>
    </cfRule>
  </conditionalFormatting>
  <conditionalFormatting sqref="I57:Q57">
    <cfRule type="expression" dxfId="1252" priority="867">
      <formula>$I$57="Type 2"</formula>
    </cfRule>
  </conditionalFormatting>
  <conditionalFormatting sqref="I57:Q57">
    <cfRule type="expression" dxfId="1251" priority="866">
      <formula>$I$57="Type 3"</formula>
    </cfRule>
  </conditionalFormatting>
  <conditionalFormatting sqref="I58:Q58">
    <cfRule type="expression" dxfId="1250" priority="860">
      <formula>$O$58="Not started"</formula>
    </cfRule>
  </conditionalFormatting>
  <conditionalFormatting sqref="I58:Q58">
    <cfRule type="expression" dxfId="1249" priority="859">
      <formula>$O$58="In progress"</formula>
    </cfRule>
  </conditionalFormatting>
  <conditionalFormatting sqref="I58:Q58">
    <cfRule type="expression" dxfId="1248" priority="858">
      <formula>$O$58="Closed"</formula>
    </cfRule>
  </conditionalFormatting>
  <conditionalFormatting sqref="I58:Q58">
    <cfRule type="expression" dxfId="1247" priority="857">
      <formula>$O$58="Canceled"</formula>
    </cfRule>
  </conditionalFormatting>
  <conditionalFormatting sqref="I58:Q58">
    <cfRule type="expression" dxfId="1246" priority="856">
      <formula>$O$58="Suspended"</formula>
    </cfRule>
  </conditionalFormatting>
  <conditionalFormatting sqref="I58:Q58">
    <cfRule type="expression" dxfId="1245" priority="855">
      <formula>$O$58="Applied"</formula>
    </cfRule>
  </conditionalFormatting>
  <conditionalFormatting sqref="I58:Q58">
    <cfRule type="expression" dxfId="1244" priority="854">
      <formula>$O$58="N/A"</formula>
    </cfRule>
  </conditionalFormatting>
  <conditionalFormatting sqref="I58:Q58">
    <cfRule type="expression" dxfId="1243" priority="853">
      <formula>$O$58=""</formula>
    </cfRule>
  </conditionalFormatting>
  <conditionalFormatting sqref="I58:Q58">
    <cfRule type="expression" dxfId="1242" priority="852">
      <formula>$I$58="Module 1"</formula>
    </cfRule>
  </conditionalFormatting>
  <conditionalFormatting sqref="I58:Q58">
    <cfRule type="expression" dxfId="1241" priority="851">
      <formula>$I$58="Module 2"</formula>
    </cfRule>
  </conditionalFormatting>
  <conditionalFormatting sqref="I58:Q58">
    <cfRule type="expression" dxfId="1240" priority="850">
      <formula>$I$58="Module 3"</formula>
    </cfRule>
  </conditionalFormatting>
  <conditionalFormatting sqref="I58:Q58">
    <cfRule type="expression" dxfId="1239" priority="849">
      <formula>$I$58="or"</formula>
    </cfRule>
  </conditionalFormatting>
  <conditionalFormatting sqref="I58:Q58">
    <cfRule type="expression" dxfId="1238" priority="848">
      <formula>$I$58="Type 1"</formula>
    </cfRule>
  </conditionalFormatting>
  <conditionalFormatting sqref="I58:Q58">
    <cfRule type="expression" dxfId="1237" priority="847">
      <formula>$I$58="Type 2"</formula>
    </cfRule>
  </conditionalFormatting>
  <conditionalFormatting sqref="I58:Q58">
    <cfRule type="expression" dxfId="1236" priority="846">
      <formula>$I$58="Type 3"</formula>
    </cfRule>
  </conditionalFormatting>
  <conditionalFormatting sqref="I59:Q59">
    <cfRule type="expression" dxfId="1235" priority="840">
      <formula>$O$59="Not started"</formula>
    </cfRule>
  </conditionalFormatting>
  <conditionalFormatting sqref="I59:Q59">
    <cfRule type="expression" dxfId="1234" priority="839">
      <formula>$O$59="In progress"</formula>
    </cfRule>
  </conditionalFormatting>
  <conditionalFormatting sqref="I59:Q59">
    <cfRule type="expression" dxfId="1233" priority="838">
      <formula>$O$59="Closed"</formula>
    </cfRule>
  </conditionalFormatting>
  <conditionalFormatting sqref="I59:Q59">
    <cfRule type="expression" dxfId="1232" priority="837">
      <formula>$O$59="Canceled"</formula>
    </cfRule>
  </conditionalFormatting>
  <conditionalFormatting sqref="I59:Q59">
    <cfRule type="expression" dxfId="1231" priority="836">
      <formula>$O$59="Suspended"</formula>
    </cfRule>
  </conditionalFormatting>
  <conditionalFormatting sqref="I59:Q59">
    <cfRule type="expression" dxfId="1230" priority="835">
      <formula>$O$59="Applied"</formula>
    </cfRule>
  </conditionalFormatting>
  <conditionalFormatting sqref="I59:Q59">
    <cfRule type="expression" dxfId="1229" priority="834">
      <formula>$O$59="N/A"</formula>
    </cfRule>
  </conditionalFormatting>
  <conditionalFormatting sqref="I59:Q59">
    <cfRule type="expression" dxfId="1228" priority="833">
      <formula>$O$59=""</formula>
    </cfRule>
  </conditionalFormatting>
  <conditionalFormatting sqref="I59:Q59">
    <cfRule type="expression" dxfId="1227" priority="832">
      <formula>$I$59="Module 1"</formula>
    </cfRule>
  </conditionalFormatting>
  <conditionalFormatting sqref="I59:Q59">
    <cfRule type="expression" dxfId="1226" priority="831">
      <formula>$I$59="Module 2"</formula>
    </cfRule>
  </conditionalFormatting>
  <conditionalFormatting sqref="I59:Q59">
    <cfRule type="expression" dxfId="1225" priority="830">
      <formula>$I$59="Module 3"</formula>
    </cfRule>
  </conditionalFormatting>
  <conditionalFormatting sqref="I59:Q59">
    <cfRule type="expression" dxfId="1224" priority="829">
      <formula>$I$59="or"</formula>
    </cfRule>
  </conditionalFormatting>
  <conditionalFormatting sqref="I59:Q59">
    <cfRule type="expression" dxfId="1223" priority="828">
      <formula>$I$59="Type 1"</formula>
    </cfRule>
  </conditionalFormatting>
  <conditionalFormatting sqref="I59:Q59">
    <cfRule type="expression" dxfId="1222" priority="827">
      <formula>$I$59="Type 2"</formula>
    </cfRule>
  </conditionalFormatting>
  <conditionalFormatting sqref="I59:Q59">
    <cfRule type="expression" dxfId="1221" priority="826">
      <formula>$I$59="Type 3"</formula>
    </cfRule>
  </conditionalFormatting>
  <conditionalFormatting sqref="I60:Q60">
    <cfRule type="expression" dxfId="1220" priority="820">
      <formula>$O$60="Not started"</formula>
    </cfRule>
  </conditionalFormatting>
  <conditionalFormatting sqref="I60:Q60">
    <cfRule type="expression" dxfId="1219" priority="819">
      <formula>$O$60="In progress"</formula>
    </cfRule>
  </conditionalFormatting>
  <conditionalFormatting sqref="I60:Q60">
    <cfRule type="expression" dxfId="1218" priority="818">
      <formula>$O$60="Closed"</formula>
    </cfRule>
  </conditionalFormatting>
  <conditionalFormatting sqref="I60:Q60">
    <cfRule type="expression" dxfId="1217" priority="817">
      <formula>$O$60="Canceled"</formula>
    </cfRule>
  </conditionalFormatting>
  <conditionalFormatting sqref="I60:Q60">
    <cfRule type="expression" dxfId="1216" priority="816">
      <formula>$O$60="Suspended"</formula>
    </cfRule>
  </conditionalFormatting>
  <conditionalFormatting sqref="I60:Q60">
    <cfRule type="expression" dxfId="1215" priority="815">
      <formula>$O$60="Applied"</formula>
    </cfRule>
  </conditionalFormatting>
  <conditionalFormatting sqref="I60:Q60">
    <cfRule type="expression" dxfId="1214" priority="814">
      <formula>$O$60="N/A"</formula>
    </cfRule>
  </conditionalFormatting>
  <conditionalFormatting sqref="I60:Q60">
    <cfRule type="expression" dxfId="1213" priority="813">
      <formula>$O$60=""</formula>
    </cfRule>
  </conditionalFormatting>
  <conditionalFormatting sqref="I60:Q60">
    <cfRule type="expression" dxfId="1212" priority="812">
      <formula>$I$60="Module 1"</formula>
    </cfRule>
  </conditionalFormatting>
  <conditionalFormatting sqref="I60:Q60">
    <cfRule type="expression" dxfId="1211" priority="811">
      <formula>$I$60="Module 2"</formula>
    </cfRule>
  </conditionalFormatting>
  <conditionalFormatting sqref="I60:Q60">
    <cfRule type="expression" dxfId="1210" priority="810">
      <formula>$I$60="Module 3"</formula>
    </cfRule>
  </conditionalFormatting>
  <conditionalFormatting sqref="I60:Q60">
    <cfRule type="expression" dxfId="1209" priority="809">
      <formula>$I$60="or"</formula>
    </cfRule>
  </conditionalFormatting>
  <conditionalFormatting sqref="I60:Q60">
    <cfRule type="expression" dxfId="1208" priority="808">
      <formula>$I$60="Type 1"</formula>
    </cfRule>
  </conditionalFormatting>
  <conditionalFormatting sqref="I60:Q60">
    <cfRule type="expression" dxfId="1207" priority="807">
      <formula>$I$60="Type 2"</formula>
    </cfRule>
  </conditionalFormatting>
  <conditionalFormatting sqref="I60:Q60">
    <cfRule type="expression" dxfId="1206" priority="806">
      <formula>$I$60="Type 3"</formula>
    </cfRule>
  </conditionalFormatting>
  <conditionalFormatting sqref="I61:Q61">
    <cfRule type="expression" dxfId="1205" priority="800">
      <formula>$O$61="Not started"</formula>
    </cfRule>
  </conditionalFormatting>
  <conditionalFormatting sqref="I61:Q61">
    <cfRule type="expression" dxfId="1204" priority="799">
      <formula>$O$61="In progress"</formula>
    </cfRule>
  </conditionalFormatting>
  <conditionalFormatting sqref="I61:Q61">
    <cfRule type="expression" dxfId="1203" priority="798">
      <formula>$O$61="Closed"</formula>
    </cfRule>
  </conditionalFormatting>
  <conditionalFormatting sqref="I61:Q61">
    <cfRule type="expression" dxfId="1202" priority="797">
      <formula>$O$61="Canceled"</formula>
    </cfRule>
  </conditionalFormatting>
  <conditionalFormatting sqref="I61:Q61">
    <cfRule type="expression" dxfId="1201" priority="796">
      <formula>$O$61="Suspended"</formula>
    </cfRule>
  </conditionalFormatting>
  <conditionalFormatting sqref="I61:Q61">
    <cfRule type="expression" dxfId="1200" priority="795">
      <formula>$O$61="Applied"</formula>
    </cfRule>
  </conditionalFormatting>
  <conditionalFormatting sqref="I61:Q61">
    <cfRule type="expression" dxfId="1199" priority="794">
      <formula>$O$61="N/A"</formula>
    </cfRule>
  </conditionalFormatting>
  <conditionalFormatting sqref="I61:Q61">
    <cfRule type="expression" dxfId="1198" priority="793">
      <formula>$O$61=""</formula>
    </cfRule>
  </conditionalFormatting>
  <conditionalFormatting sqref="I61:Q61">
    <cfRule type="expression" dxfId="1197" priority="792">
      <formula>$I$61="Module 1"</formula>
    </cfRule>
  </conditionalFormatting>
  <conditionalFormatting sqref="I61:Q61">
    <cfRule type="expression" dxfId="1196" priority="791">
      <formula>$I$61="Module 2"</formula>
    </cfRule>
  </conditionalFormatting>
  <conditionalFormatting sqref="I61:Q61">
    <cfRule type="expression" dxfId="1195" priority="790">
      <formula>$I$61="Module 3"</formula>
    </cfRule>
  </conditionalFormatting>
  <conditionalFormatting sqref="I61:Q61">
    <cfRule type="expression" dxfId="1194" priority="789">
      <formula>$I$61="or"</formula>
    </cfRule>
  </conditionalFormatting>
  <conditionalFormatting sqref="I61:Q61">
    <cfRule type="expression" dxfId="1193" priority="788">
      <formula>$I$61="Type 1"</formula>
    </cfRule>
  </conditionalFormatting>
  <conditionalFormatting sqref="I61:Q61">
    <cfRule type="expression" dxfId="1192" priority="787">
      <formula>$I$61="Type 2"</formula>
    </cfRule>
  </conditionalFormatting>
  <conditionalFormatting sqref="I61:Q61">
    <cfRule type="expression" dxfId="1191" priority="786">
      <formula>$I$61="Type 3"</formula>
    </cfRule>
  </conditionalFormatting>
  <conditionalFormatting sqref="I62:Q62">
    <cfRule type="expression" dxfId="1190" priority="780">
      <formula>$O$62="Not started"</formula>
    </cfRule>
  </conditionalFormatting>
  <conditionalFormatting sqref="I62:Q62">
    <cfRule type="expression" dxfId="1189" priority="779">
      <formula>$O$62="In progress"</formula>
    </cfRule>
  </conditionalFormatting>
  <conditionalFormatting sqref="I62:Q62">
    <cfRule type="expression" dxfId="1188" priority="778">
      <formula>$O$62="Closed"</formula>
    </cfRule>
  </conditionalFormatting>
  <conditionalFormatting sqref="I62:Q62">
    <cfRule type="expression" dxfId="1187" priority="777">
      <formula>$O$62="Canceled"</formula>
    </cfRule>
  </conditionalFormatting>
  <conditionalFormatting sqref="I62:Q62">
    <cfRule type="expression" dxfId="1186" priority="776">
      <formula>$O$62="Suspended"</formula>
    </cfRule>
  </conditionalFormatting>
  <conditionalFormatting sqref="I62:Q62">
    <cfRule type="expression" dxfId="1185" priority="775">
      <formula>$O$62="Applied"</formula>
    </cfRule>
  </conditionalFormatting>
  <conditionalFormatting sqref="I62:Q62">
    <cfRule type="expression" dxfId="1184" priority="774">
      <formula>$O$62="N/A"</formula>
    </cfRule>
  </conditionalFormatting>
  <conditionalFormatting sqref="I62:Q62">
    <cfRule type="expression" dxfId="1183" priority="773">
      <formula>$O$62=""</formula>
    </cfRule>
  </conditionalFormatting>
  <conditionalFormatting sqref="I62:Q62">
    <cfRule type="expression" dxfId="1182" priority="772">
      <formula>$I$62="Module 1"</formula>
    </cfRule>
  </conditionalFormatting>
  <conditionalFormatting sqref="I62:Q62">
    <cfRule type="expression" dxfId="1181" priority="771">
      <formula>$I$62="Module 2"</formula>
    </cfRule>
  </conditionalFormatting>
  <conditionalFormatting sqref="I62:Q62">
    <cfRule type="expression" dxfId="1180" priority="770">
      <formula>$I$62="Module 3"</formula>
    </cfRule>
  </conditionalFormatting>
  <conditionalFormatting sqref="I62:Q62">
    <cfRule type="expression" dxfId="1179" priority="769">
      <formula>$I$62="or"</formula>
    </cfRule>
  </conditionalFormatting>
  <conditionalFormatting sqref="I62:Q62">
    <cfRule type="expression" dxfId="1178" priority="768">
      <formula>$I$62="Type 1"</formula>
    </cfRule>
  </conditionalFormatting>
  <conditionalFormatting sqref="I62:Q62">
    <cfRule type="expression" dxfId="1177" priority="767">
      <formula>$I$62="Type 2"</formula>
    </cfRule>
  </conditionalFormatting>
  <conditionalFormatting sqref="I62:Q62">
    <cfRule type="expression" dxfId="1176" priority="766">
      <formula>$I$62="Type 3"</formula>
    </cfRule>
  </conditionalFormatting>
  <conditionalFormatting sqref="I63:Q63">
    <cfRule type="expression" dxfId="1175" priority="760">
      <formula>$O$63="Not started"</formula>
    </cfRule>
  </conditionalFormatting>
  <conditionalFormatting sqref="I63:Q63">
    <cfRule type="expression" dxfId="1174" priority="759">
      <formula>$O$63="In progress"</formula>
    </cfRule>
  </conditionalFormatting>
  <conditionalFormatting sqref="I63:Q63">
    <cfRule type="expression" dxfId="1173" priority="758">
      <formula>$O$63="Closed"</formula>
    </cfRule>
  </conditionalFormatting>
  <conditionalFormatting sqref="I63:Q63">
    <cfRule type="expression" dxfId="1172" priority="757">
      <formula>$O$63="Canceled"</formula>
    </cfRule>
  </conditionalFormatting>
  <conditionalFormatting sqref="I63:Q63">
    <cfRule type="expression" dxfId="1171" priority="756">
      <formula>$O$63="Suspended"</formula>
    </cfRule>
  </conditionalFormatting>
  <conditionalFormatting sqref="I63:Q63">
    <cfRule type="expression" dxfId="1170" priority="755">
      <formula>$O$63="Applied"</formula>
    </cfRule>
  </conditionalFormatting>
  <conditionalFormatting sqref="I63:Q63">
    <cfRule type="expression" dxfId="1169" priority="754">
      <formula>$O$63="N/A"</formula>
    </cfRule>
  </conditionalFormatting>
  <conditionalFormatting sqref="I63:Q63">
    <cfRule type="expression" dxfId="1168" priority="753">
      <formula>$O$63=""</formula>
    </cfRule>
  </conditionalFormatting>
  <conditionalFormatting sqref="I63:Q63">
    <cfRule type="expression" dxfId="1167" priority="752">
      <formula>$I$63="Module 1"</formula>
    </cfRule>
  </conditionalFormatting>
  <conditionalFormatting sqref="I63:Q63">
    <cfRule type="expression" dxfId="1166" priority="751">
      <formula>$I$63="Module 2"</formula>
    </cfRule>
  </conditionalFormatting>
  <conditionalFormatting sqref="I63:Q63">
    <cfRule type="expression" dxfId="1165" priority="750">
      <formula>$I$63="Module 3"</formula>
    </cfRule>
  </conditionalFormatting>
  <conditionalFormatting sqref="I63:Q63">
    <cfRule type="expression" dxfId="1164" priority="749">
      <formula>$I$63="or"</formula>
    </cfRule>
  </conditionalFormatting>
  <conditionalFormatting sqref="I63:Q63">
    <cfRule type="expression" dxfId="1163" priority="748">
      <formula>$I$63="Type 1"</formula>
    </cfRule>
  </conditionalFormatting>
  <conditionalFormatting sqref="I63:Q63">
    <cfRule type="expression" dxfId="1162" priority="747">
      <formula>$I$63="Type 2"</formula>
    </cfRule>
  </conditionalFormatting>
  <conditionalFormatting sqref="I63:Q63">
    <cfRule type="expression" dxfId="1161" priority="746">
      <formula>$I$63="Type 3"</formula>
    </cfRule>
  </conditionalFormatting>
  <conditionalFormatting sqref="I64:Q64">
    <cfRule type="expression" dxfId="1160" priority="740">
      <formula>$O$64="Not started"</formula>
    </cfRule>
  </conditionalFormatting>
  <conditionalFormatting sqref="I64:Q64">
    <cfRule type="expression" dxfId="1159" priority="739">
      <formula>$O$64="In progress"</formula>
    </cfRule>
  </conditionalFormatting>
  <conditionalFormatting sqref="I64:Q64">
    <cfRule type="expression" dxfId="1158" priority="738">
      <formula>$O$64="Closed"</formula>
    </cfRule>
  </conditionalFormatting>
  <conditionalFormatting sqref="I64:Q64">
    <cfRule type="expression" dxfId="1157" priority="737">
      <formula>$O$64="Canceled"</formula>
    </cfRule>
  </conditionalFormatting>
  <conditionalFormatting sqref="I64:Q64">
    <cfRule type="expression" dxfId="1156" priority="736">
      <formula>$O$64="Suspended"</formula>
    </cfRule>
  </conditionalFormatting>
  <conditionalFormatting sqref="I64:Q64">
    <cfRule type="expression" dxfId="1155" priority="735">
      <formula>$O$64="Applied"</formula>
    </cfRule>
  </conditionalFormatting>
  <conditionalFormatting sqref="I64:Q64">
    <cfRule type="expression" dxfId="1154" priority="734">
      <formula>$O$64="N/A"</formula>
    </cfRule>
  </conditionalFormatting>
  <conditionalFormatting sqref="I64:Q64">
    <cfRule type="expression" dxfId="1153" priority="733">
      <formula>$O$64=""</formula>
    </cfRule>
  </conditionalFormatting>
  <conditionalFormatting sqref="I64:Q64">
    <cfRule type="expression" dxfId="1152" priority="732">
      <formula>$I$64="Module 1"</formula>
    </cfRule>
  </conditionalFormatting>
  <conditionalFormatting sqref="I64:Q64">
    <cfRule type="expression" dxfId="1151" priority="731">
      <formula>$I$64="Module 2"</formula>
    </cfRule>
  </conditionalFormatting>
  <conditionalFormatting sqref="I64:Q64">
    <cfRule type="expression" dxfId="1150" priority="730">
      <formula>$I$64="Module 3"</formula>
    </cfRule>
  </conditionalFormatting>
  <conditionalFormatting sqref="I64:Q64">
    <cfRule type="expression" dxfId="1149" priority="729">
      <formula>$I$64="or"</formula>
    </cfRule>
  </conditionalFormatting>
  <conditionalFormatting sqref="I64:Q64">
    <cfRule type="expression" dxfId="1148" priority="728">
      <formula>$I$64="Type 1"</formula>
    </cfRule>
  </conditionalFormatting>
  <conditionalFormatting sqref="I64:Q64">
    <cfRule type="expression" dxfId="1147" priority="727">
      <formula>$I$64="Type 2"</formula>
    </cfRule>
  </conditionalFormatting>
  <conditionalFormatting sqref="I64:Q64">
    <cfRule type="expression" dxfId="1146" priority="726">
      <formula>$I$64="Type 3"</formula>
    </cfRule>
  </conditionalFormatting>
  <conditionalFormatting sqref="I65:Q65">
    <cfRule type="expression" dxfId="1145" priority="720">
      <formula>$O$65="Not started"</formula>
    </cfRule>
  </conditionalFormatting>
  <conditionalFormatting sqref="I65:Q65">
    <cfRule type="expression" dxfId="1144" priority="719">
      <formula>$O$65="In progress"</formula>
    </cfRule>
  </conditionalFormatting>
  <conditionalFormatting sqref="I65:Q65">
    <cfRule type="expression" dxfId="1143" priority="718">
      <formula>$O$65="Closed"</formula>
    </cfRule>
  </conditionalFormatting>
  <conditionalFormatting sqref="I65:Q65">
    <cfRule type="expression" dxfId="1142" priority="717">
      <formula>$O$65="Canceled"</formula>
    </cfRule>
  </conditionalFormatting>
  <conditionalFormatting sqref="I65:Q65">
    <cfRule type="expression" dxfId="1141" priority="716">
      <formula>$O$65="Suspended"</formula>
    </cfRule>
  </conditionalFormatting>
  <conditionalFormatting sqref="I65:Q65">
    <cfRule type="expression" dxfId="1140" priority="715">
      <formula>$O$65="Applied"</formula>
    </cfRule>
  </conditionalFormatting>
  <conditionalFormatting sqref="I65:Q65">
    <cfRule type="expression" dxfId="1139" priority="714">
      <formula>$O$65="N/A"</formula>
    </cfRule>
  </conditionalFormatting>
  <conditionalFormatting sqref="I65:Q65">
    <cfRule type="expression" dxfId="1138" priority="713">
      <formula>$O$65=""</formula>
    </cfRule>
  </conditionalFormatting>
  <conditionalFormatting sqref="I65:Q65">
    <cfRule type="expression" dxfId="1137" priority="712">
      <formula>$I$65="Module 1"</formula>
    </cfRule>
  </conditionalFormatting>
  <conditionalFormatting sqref="I65:Q65">
    <cfRule type="expression" dxfId="1136" priority="711">
      <formula>$I$65="Module 2"</formula>
    </cfRule>
  </conditionalFormatting>
  <conditionalFormatting sqref="I65:Q65">
    <cfRule type="expression" dxfId="1135" priority="710">
      <formula>$I$65="Module 3"</formula>
    </cfRule>
  </conditionalFormatting>
  <conditionalFormatting sqref="I65:Q65">
    <cfRule type="expression" dxfId="1134" priority="709">
      <formula>$I$65="or"</formula>
    </cfRule>
  </conditionalFormatting>
  <conditionalFormatting sqref="I65:Q65">
    <cfRule type="expression" dxfId="1133" priority="708">
      <formula>$I$65="Type 1"</formula>
    </cfRule>
  </conditionalFormatting>
  <conditionalFormatting sqref="I65:Q65">
    <cfRule type="expression" dxfId="1132" priority="707">
      <formula>$I$65="Type 2"</formula>
    </cfRule>
  </conditionalFormatting>
  <conditionalFormatting sqref="I65:Q65">
    <cfRule type="expression" dxfId="1131" priority="706">
      <formula>$I$65="Type 3"</formula>
    </cfRule>
  </conditionalFormatting>
  <conditionalFormatting sqref="I66:Q66">
    <cfRule type="expression" dxfId="1130" priority="700">
      <formula>$O$66="Not started"</formula>
    </cfRule>
  </conditionalFormatting>
  <conditionalFormatting sqref="I66:Q66">
    <cfRule type="expression" dxfId="1129" priority="699">
      <formula>$O$66="In progress"</formula>
    </cfRule>
  </conditionalFormatting>
  <conditionalFormatting sqref="I66:Q66">
    <cfRule type="expression" dxfId="1128" priority="698">
      <formula>$O$66="Closed"</formula>
    </cfRule>
  </conditionalFormatting>
  <conditionalFormatting sqref="I66:Q66">
    <cfRule type="expression" dxfId="1127" priority="697">
      <formula>$O$66="Canceled"</formula>
    </cfRule>
  </conditionalFormatting>
  <conditionalFormatting sqref="I66:Q66">
    <cfRule type="expression" dxfId="1126" priority="696">
      <formula>$O$66="Suspended"</formula>
    </cfRule>
  </conditionalFormatting>
  <conditionalFormatting sqref="I66:Q66">
    <cfRule type="expression" dxfId="1125" priority="695">
      <formula>$O$66="Applied"</formula>
    </cfRule>
  </conditionalFormatting>
  <conditionalFormatting sqref="I66:Q66">
    <cfRule type="expression" dxfId="1124" priority="694">
      <formula>$O$66="N/A"</formula>
    </cfRule>
  </conditionalFormatting>
  <conditionalFormatting sqref="I66:Q66">
    <cfRule type="expression" dxfId="1123" priority="693">
      <formula>$O$66=""</formula>
    </cfRule>
  </conditionalFormatting>
  <conditionalFormatting sqref="I66:Q66">
    <cfRule type="expression" dxfId="1122" priority="692">
      <formula>$I$66="Module 1"</formula>
    </cfRule>
  </conditionalFormatting>
  <conditionalFormatting sqref="I66:Q66">
    <cfRule type="expression" dxfId="1121" priority="691">
      <formula>$I$66="Module 2"</formula>
    </cfRule>
  </conditionalFormatting>
  <conditionalFormatting sqref="I66:Q66">
    <cfRule type="expression" dxfId="1120" priority="690">
      <formula>$I$66="Module 3"</formula>
    </cfRule>
  </conditionalFormatting>
  <conditionalFormatting sqref="I66:Q66">
    <cfRule type="expression" dxfId="1119" priority="689">
      <formula>$I$66="or"</formula>
    </cfRule>
  </conditionalFormatting>
  <conditionalFormatting sqref="I66:Q66">
    <cfRule type="expression" dxfId="1118" priority="688">
      <formula>$I$66="Type 1"</formula>
    </cfRule>
  </conditionalFormatting>
  <conditionalFormatting sqref="I66:Q66">
    <cfRule type="expression" dxfId="1117" priority="687">
      <formula>$I$66="Type 2"</formula>
    </cfRule>
  </conditionalFormatting>
  <conditionalFormatting sqref="I66:Q66">
    <cfRule type="expression" dxfId="1116" priority="686">
      <formula>$I$66="Type 3"</formula>
    </cfRule>
  </conditionalFormatting>
  <conditionalFormatting sqref="I67:Q67">
    <cfRule type="expression" dxfId="1115" priority="680">
      <formula>$O$67="Not started"</formula>
    </cfRule>
  </conditionalFormatting>
  <conditionalFormatting sqref="I67:Q67">
    <cfRule type="expression" dxfId="1114" priority="679">
      <formula>$O$67="In progress"</formula>
    </cfRule>
  </conditionalFormatting>
  <conditionalFormatting sqref="I67:Q67">
    <cfRule type="expression" dxfId="1113" priority="678">
      <formula>$O$67="Closed"</formula>
    </cfRule>
  </conditionalFormatting>
  <conditionalFormatting sqref="I67:Q67">
    <cfRule type="expression" dxfId="1112" priority="677">
      <formula>$O$67="Canceled"</formula>
    </cfRule>
  </conditionalFormatting>
  <conditionalFormatting sqref="I67:Q67">
    <cfRule type="expression" dxfId="1111" priority="676">
      <formula>$O$67="Suspended"</formula>
    </cfRule>
  </conditionalFormatting>
  <conditionalFormatting sqref="I67:Q67">
    <cfRule type="expression" dxfId="1110" priority="675">
      <formula>$O$67="Applied"</formula>
    </cfRule>
  </conditionalFormatting>
  <conditionalFormatting sqref="I67:Q67">
    <cfRule type="expression" dxfId="1109" priority="674">
      <formula>$O$67="N/A"</formula>
    </cfRule>
  </conditionalFormatting>
  <conditionalFormatting sqref="I67:Q67">
    <cfRule type="expression" dxfId="1108" priority="673">
      <formula>$O$67=""</formula>
    </cfRule>
  </conditionalFormatting>
  <conditionalFormatting sqref="I67:Q67">
    <cfRule type="expression" dxfId="1107" priority="672">
      <formula>$I$67="Module 1"</formula>
    </cfRule>
  </conditionalFormatting>
  <conditionalFormatting sqref="I67:Q67">
    <cfRule type="expression" dxfId="1106" priority="671">
      <formula>$I$67="Module 2"</formula>
    </cfRule>
  </conditionalFormatting>
  <conditionalFormatting sqref="I67:Q67">
    <cfRule type="expression" dxfId="1105" priority="670">
      <formula>$I$67="Module 3"</formula>
    </cfRule>
  </conditionalFormatting>
  <conditionalFormatting sqref="I67:Q67">
    <cfRule type="expression" dxfId="1104" priority="669">
      <formula>$I$67="or"</formula>
    </cfRule>
  </conditionalFormatting>
  <conditionalFormatting sqref="I67:Q67">
    <cfRule type="expression" dxfId="1103" priority="668">
      <formula>$I$67="Type 1"</formula>
    </cfRule>
  </conditionalFormatting>
  <conditionalFormatting sqref="I67:Q67">
    <cfRule type="expression" dxfId="1102" priority="667">
      <formula>$I$67="Type 2"</formula>
    </cfRule>
  </conditionalFormatting>
  <conditionalFormatting sqref="I67:Q67">
    <cfRule type="expression" dxfId="1101" priority="666">
      <formula>$I$67="Type 3"</formula>
    </cfRule>
  </conditionalFormatting>
  <conditionalFormatting sqref="I68:Q68">
    <cfRule type="expression" dxfId="1100" priority="660">
      <formula>$O$68="Not started"</formula>
    </cfRule>
  </conditionalFormatting>
  <conditionalFormatting sqref="I68:Q68">
    <cfRule type="expression" dxfId="1099" priority="659">
      <formula>$O$68="In progress"</formula>
    </cfRule>
  </conditionalFormatting>
  <conditionalFormatting sqref="I68:Q68">
    <cfRule type="expression" dxfId="1098" priority="658">
      <formula>$O$68="Closed"</formula>
    </cfRule>
  </conditionalFormatting>
  <conditionalFormatting sqref="I68:Q68">
    <cfRule type="expression" dxfId="1097" priority="657">
      <formula>$O$68="Canceled"</formula>
    </cfRule>
  </conditionalFormatting>
  <conditionalFormatting sqref="I68:Q68">
    <cfRule type="expression" dxfId="1096" priority="656">
      <formula>$O$68="Suspended"</formula>
    </cfRule>
  </conditionalFormatting>
  <conditionalFormatting sqref="I68:Q68">
    <cfRule type="expression" dxfId="1095" priority="655">
      <formula>$O$68="Applied"</formula>
    </cfRule>
  </conditionalFormatting>
  <conditionalFormatting sqref="I68:Q68">
    <cfRule type="expression" dxfId="1094" priority="654">
      <formula>$O$68="N/A"</formula>
    </cfRule>
  </conditionalFormatting>
  <conditionalFormatting sqref="I68:Q68">
    <cfRule type="expression" dxfId="1093" priority="653">
      <formula>$O$68=""</formula>
    </cfRule>
  </conditionalFormatting>
  <conditionalFormatting sqref="I68:Q68">
    <cfRule type="expression" dxfId="1092" priority="652">
      <formula>$I$68="Module 1"</formula>
    </cfRule>
  </conditionalFormatting>
  <conditionalFormatting sqref="I68:Q68">
    <cfRule type="expression" dxfId="1091" priority="651">
      <formula>$I$68="Module 2"</formula>
    </cfRule>
  </conditionalFormatting>
  <conditionalFormatting sqref="I68:Q68">
    <cfRule type="expression" dxfId="1090" priority="650">
      <formula>$I$68="Module 3"</formula>
    </cfRule>
  </conditionalFormatting>
  <conditionalFormatting sqref="I68:Q68">
    <cfRule type="expression" dxfId="1089" priority="649">
      <formula>$I$68="or"</formula>
    </cfRule>
  </conditionalFormatting>
  <conditionalFormatting sqref="I68:Q68">
    <cfRule type="expression" dxfId="1088" priority="648">
      <formula>$I$68="Type 1"</formula>
    </cfRule>
  </conditionalFormatting>
  <conditionalFormatting sqref="I68:Q68">
    <cfRule type="expression" dxfId="1087" priority="647">
      <formula>$I$68="Type 2"</formula>
    </cfRule>
  </conditionalFormatting>
  <conditionalFormatting sqref="I68:Q68">
    <cfRule type="expression" dxfId="1086" priority="646">
      <formula>$I$68="Type 3"</formula>
    </cfRule>
  </conditionalFormatting>
  <conditionalFormatting sqref="I69:Q69">
    <cfRule type="expression" dxfId="1085" priority="640">
      <formula>$O$69="Not started"</formula>
    </cfRule>
  </conditionalFormatting>
  <conditionalFormatting sqref="I69:Q69">
    <cfRule type="expression" dxfId="1084" priority="639">
      <formula>$O$69="In progress"</formula>
    </cfRule>
  </conditionalFormatting>
  <conditionalFormatting sqref="I69:Q69">
    <cfRule type="expression" dxfId="1083" priority="638">
      <formula>$O$69="Closed"</formula>
    </cfRule>
  </conditionalFormatting>
  <conditionalFormatting sqref="I69:Q69">
    <cfRule type="expression" dxfId="1082" priority="637">
      <formula>$O$69="Canceled"</formula>
    </cfRule>
  </conditionalFormatting>
  <conditionalFormatting sqref="I69:Q69">
    <cfRule type="expression" dxfId="1081" priority="636">
      <formula>$O$69="Suspended"</formula>
    </cfRule>
  </conditionalFormatting>
  <conditionalFormatting sqref="I69:Q69">
    <cfRule type="expression" dxfId="1080" priority="635">
      <formula>$O$69="Applied"</formula>
    </cfRule>
  </conditionalFormatting>
  <conditionalFormatting sqref="I69:Q69">
    <cfRule type="expression" dxfId="1079" priority="634">
      <formula>$O$69="N/A"</formula>
    </cfRule>
  </conditionalFormatting>
  <conditionalFormatting sqref="I69:Q69">
    <cfRule type="expression" dxfId="1078" priority="633">
      <formula>$O$69=""</formula>
    </cfRule>
  </conditionalFormatting>
  <conditionalFormatting sqref="I69:Q69">
    <cfRule type="expression" dxfId="1077" priority="632">
      <formula>$I$69="Module 1"</formula>
    </cfRule>
  </conditionalFormatting>
  <conditionalFormatting sqref="I69:Q69">
    <cfRule type="expression" dxfId="1076" priority="631">
      <formula>$I$69="Module 2"</formula>
    </cfRule>
  </conditionalFormatting>
  <conditionalFormatting sqref="I69:Q69">
    <cfRule type="expression" dxfId="1075" priority="630">
      <formula>$I$69="Module 3"</formula>
    </cfRule>
  </conditionalFormatting>
  <conditionalFormatting sqref="I69:Q69">
    <cfRule type="expression" dxfId="1074" priority="629">
      <formula>$I$69="or"</formula>
    </cfRule>
  </conditionalFormatting>
  <conditionalFormatting sqref="I69:Q69">
    <cfRule type="expression" dxfId="1073" priority="628">
      <formula>$I$69="Type 1"</formula>
    </cfRule>
  </conditionalFormatting>
  <conditionalFormatting sqref="I69:Q69">
    <cfRule type="expression" dxfId="1072" priority="627">
      <formula>$I$69="Type 2"</formula>
    </cfRule>
  </conditionalFormatting>
  <conditionalFormatting sqref="I69:Q69">
    <cfRule type="expression" dxfId="1071" priority="626">
      <formula>$I$69="Type 3"</formula>
    </cfRule>
  </conditionalFormatting>
  <conditionalFormatting sqref="I70:Q70">
    <cfRule type="expression" dxfId="1070" priority="620">
      <formula>$O$70="Not started"</formula>
    </cfRule>
  </conditionalFormatting>
  <conditionalFormatting sqref="I70:Q70">
    <cfRule type="expression" dxfId="1069" priority="619">
      <formula>$O$70="In progress"</formula>
    </cfRule>
  </conditionalFormatting>
  <conditionalFormatting sqref="I70:Q70">
    <cfRule type="expression" dxfId="1068" priority="618">
      <formula>$O$70="Closed"</formula>
    </cfRule>
  </conditionalFormatting>
  <conditionalFormatting sqref="I70:Q70">
    <cfRule type="expression" dxfId="1067" priority="617">
      <formula>$O$70="Canceled"</formula>
    </cfRule>
  </conditionalFormatting>
  <conditionalFormatting sqref="I70:Q70">
    <cfRule type="expression" dxfId="1066" priority="616">
      <formula>$O$70="Suspended"</formula>
    </cfRule>
  </conditionalFormatting>
  <conditionalFormatting sqref="I70:Q70">
    <cfRule type="expression" dxfId="1065" priority="615">
      <formula>$O$70="Applied"</formula>
    </cfRule>
  </conditionalFormatting>
  <conditionalFormatting sqref="I70:Q70">
    <cfRule type="expression" dxfId="1064" priority="614">
      <formula>$O$70="N/A"</formula>
    </cfRule>
  </conditionalFormatting>
  <conditionalFormatting sqref="I70:Q70">
    <cfRule type="expression" dxfId="1063" priority="613">
      <formula>$O$70=""</formula>
    </cfRule>
  </conditionalFormatting>
  <conditionalFormatting sqref="I70:Q70">
    <cfRule type="expression" dxfId="1062" priority="612">
      <formula>$I$70="Module 1"</formula>
    </cfRule>
  </conditionalFormatting>
  <conditionalFormatting sqref="I70:Q70">
    <cfRule type="expression" dxfId="1061" priority="611">
      <formula>$I$70="Module 2"</formula>
    </cfRule>
  </conditionalFormatting>
  <conditionalFormatting sqref="I70:Q70">
    <cfRule type="expression" dxfId="1060" priority="610">
      <formula>$I$70="Module 3"</formula>
    </cfRule>
  </conditionalFormatting>
  <conditionalFormatting sqref="I70:Q70">
    <cfRule type="expression" dxfId="1059" priority="609">
      <formula>$I$70="or"</formula>
    </cfRule>
  </conditionalFormatting>
  <conditionalFormatting sqref="I70:Q70">
    <cfRule type="expression" dxfId="1058" priority="608">
      <formula>$I$70="Type 1"</formula>
    </cfRule>
  </conditionalFormatting>
  <conditionalFormatting sqref="I70:Q70">
    <cfRule type="expression" dxfId="1057" priority="607">
      <formula>$I$70="Type 2"</formula>
    </cfRule>
  </conditionalFormatting>
  <conditionalFormatting sqref="I70:Q70">
    <cfRule type="expression" dxfId="1056" priority="606">
      <formula>$I$70="Type 3"</formula>
    </cfRule>
  </conditionalFormatting>
  <conditionalFormatting sqref="I71:Q71">
    <cfRule type="expression" dxfId="1055" priority="600">
      <formula>$O$71="Not started"</formula>
    </cfRule>
  </conditionalFormatting>
  <conditionalFormatting sqref="I71:Q71">
    <cfRule type="expression" dxfId="1054" priority="599">
      <formula>$O$71="In progress"</formula>
    </cfRule>
  </conditionalFormatting>
  <conditionalFormatting sqref="I71:Q71">
    <cfRule type="expression" dxfId="1053" priority="598">
      <formula>$O$71="Closed"</formula>
    </cfRule>
  </conditionalFormatting>
  <conditionalFormatting sqref="I71:Q71">
    <cfRule type="expression" dxfId="1052" priority="597">
      <formula>$O$71="Canceled"</formula>
    </cfRule>
  </conditionalFormatting>
  <conditionalFormatting sqref="I71:Q71">
    <cfRule type="expression" dxfId="1051" priority="596">
      <formula>$O$71="Suspended"</formula>
    </cfRule>
  </conditionalFormatting>
  <conditionalFormatting sqref="I71:Q71">
    <cfRule type="expression" dxfId="1050" priority="595">
      <formula>$O$71="Applied"</formula>
    </cfRule>
  </conditionalFormatting>
  <conditionalFormatting sqref="I71:Q71">
    <cfRule type="expression" dxfId="1049" priority="594">
      <formula>$O$71="N/A"</formula>
    </cfRule>
  </conditionalFormatting>
  <conditionalFormatting sqref="I71:Q71">
    <cfRule type="expression" dxfId="1048" priority="593">
      <formula>$O$71=""</formula>
    </cfRule>
  </conditionalFormatting>
  <conditionalFormatting sqref="I71:Q71">
    <cfRule type="expression" dxfId="1047" priority="592">
      <formula>$I$71="Module 1"</formula>
    </cfRule>
  </conditionalFormatting>
  <conditionalFormatting sqref="I71:Q71">
    <cfRule type="expression" dxfId="1046" priority="591">
      <formula>$I$71="Module 2"</formula>
    </cfRule>
  </conditionalFormatting>
  <conditionalFormatting sqref="I71:Q71">
    <cfRule type="expression" dxfId="1045" priority="590">
      <formula>$I$71="Module 3"</formula>
    </cfRule>
  </conditionalFormatting>
  <conditionalFormatting sqref="I71:Q71">
    <cfRule type="expression" dxfId="1044" priority="589">
      <formula>$I$71="or"</formula>
    </cfRule>
  </conditionalFormatting>
  <conditionalFormatting sqref="I71:Q71">
    <cfRule type="expression" dxfId="1043" priority="588">
      <formula>$I$71="Type 1"</formula>
    </cfRule>
  </conditionalFormatting>
  <conditionalFormatting sqref="I71:Q71">
    <cfRule type="expression" dxfId="1042" priority="587">
      <formula>$I$71="Type 2"</formula>
    </cfRule>
  </conditionalFormatting>
  <conditionalFormatting sqref="I71:Q71">
    <cfRule type="expression" dxfId="1041" priority="586">
      <formula>$I$71="Type 3"</formula>
    </cfRule>
  </conditionalFormatting>
  <conditionalFormatting sqref="I72:Q72">
    <cfRule type="expression" dxfId="1040" priority="580">
      <formula>$O$72="Not started"</formula>
    </cfRule>
  </conditionalFormatting>
  <conditionalFormatting sqref="I72:Q72">
    <cfRule type="expression" dxfId="1039" priority="579">
      <formula>$O$72="In progress"</formula>
    </cfRule>
  </conditionalFormatting>
  <conditionalFormatting sqref="I72:Q72">
    <cfRule type="expression" dxfId="1038" priority="578">
      <formula>$O$72="Closed"</formula>
    </cfRule>
  </conditionalFormatting>
  <conditionalFormatting sqref="I72:Q72">
    <cfRule type="expression" dxfId="1037" priority="577">
      <formula>$O$72="Canceled"</formula>
    </cfRule>
  </conditionalFormatting>
  <conditionalFormatting sqref="I72:Q72">
    <cfRule type="expression" dxfId="1036" priority="576">
      <formula>$O$72="Suspended"</formula>
    </cfRule>
  </conditionalFormatting>
  <conditionalFormatting sqref="I72:Q72">
    <cfRule type="expression" dxfId="1035" priority="575">
      <formula>$O$72="Applied"</formula>
    </cfRule>
  </conditionalFormatting>
  <conditionalFormatting sqref="I72:Q72">
    <cfRule type="expression" dxfId="1034" priority="574">
      <formula>$O$72="N/A"</formula>
    </cfRule>
  </conditionalFormatting>
  <conditionalFormatting sqref="I72:Q72">
    <cfRule type="expression" dxfId="1033" priority="573">
      <formula>$O$72=""</formula>
    </cfRule>
  </conditionalFormatting>
  <conditionalFormatting sqref="I72:Q72">
    <cfRule type="expression" dxfId="1032" priority="572">
      <formula>$I$72="Module 1"</formula>
    </cfRule>
  </conditionalFormatting>
  <conditionalFormatting sqref="I72:Q72">
    <cfRule type="expression" dxfId="1031" priority="571">
      <formula>$I$72="Module 2"</formula>
    </cfRule>
  </conditionalFormatting>
  <conditionalFormatting sqref="I72:Q72">
    <cfRule type="expression" dxfId="1030" priority="570">
      <formula>$I$72="Module 3"</formula>
    </cfRule>
  </conditionalFormatting>
  <conditionalFormatting sqref="I72:Q72">
    <cfRule type="expression" dxfId="1029" priority="569">
      <formula>$I$72="or"</formula>
    </cfRule>
  </conditionalFormatting>
  <conditionalFormatting sqref="I72:Q72">
    <cfRule type="expression" dxfId="1028" priority="568">
      <formula>$I$72="Type 1"</formula>
    </cfRule>
  </conditionalFormatting>
  <conditionalFormatting sqref="I72:Q72">
    <cfRule type="expression" dxfId="1027" priority="567">
      <formula>$I$72="Type 2"</formula>
    </cfRule>
  </conditionalFormatting>
  <conditionalFormatting sqref="I72:Q72">
    <cfRule type="expression" dxfId="1026" priority="566">
      <formula>$I$72="Type 3"</formula>
    </cfRule>
  </conditionalFormatting>
  <conditionalFormatting sqref="I73:Q73">
    <cfRule type="expression" dxfId="1025" priority="560">
      <formula>$O$73="Not started"</formula>
    </cfRule>
  </conditionalFormatting>
  <conditionalFormatting sqref="I73:Q73">
    <cfRule type="expression" dxfId="1024" priority="559">
      <formula>$O$73="In progress"</formula>
    </cfRule>
  </conditionalFormatting>
  <conditionalFormatting sqref="I73:Q73">
    <cfRule type="expression" dxfId="1023" priority="558">
      <formula>$O$73="Closed"</formula>
    </cfRule>
  </conditionalFormatting>
  <conditionalFormatting sqref="I73:Q73">
    <cfRule type="expression" dxfId="1022" priority="557">
      <formula>$O$73="Canceled"</formula>
    </cfRule>
  </conditionalFormatting>
  <conditionalFormatting sqref="I73:Q73">
    <cfRule type="expression" dxfId="1021" priority="556">
      <formula>$O$73="Suspended"</formula>
    </cfRule>
  </conditionalFormatting>
  <conditionalFormatting sqref="I73:Q73">
    <cfRule type="expression" dxfId="1020" priority="555">
      <formula>$O$73="Applied"</formula>
    </cfRule>
  </conditionalFormatting>
  <conditionalFormatting sqref="I73:Q73">
    <cfRule type="expression" dxfId="1019" priority="554">
      <formula>$O$73="N/A"</formula>
    </cfRule>
  </conditionalFormatting>
  <conditionalFormatting sqref="I73:Q73">
    <cfRule type="expression" dxfId="1018" priority="553">
      <formula>$O$73=""</formula>
    </cfRule>
  </conditionalFormatting>
  <conditionalFormatting sqref="I73:Q73">
    <cfRule type="expression" dxfId="1017" priority="552">
      <formula>$I$73="Module 1"</formula>
    </cfRule>
  </conditionalFormatting>
  <conditionalFormatting sqref="I73:Q73">
    <cfRule type="expression" dxfId="1016" priority="551">
      <formula>$I$73="Module 2"</formula>
    </cfRule>
  </conditionalFormatting>
  <conditionalFormatting sqref="I73:Q73">
    <cfRule type="expression" dxfId="1015" priority="550">
      <formula>$I$73="Module 3"</formula>
    </cfRule>
  </conditionalFormatting>
  <conditionalFormatting sqref="I73:Q73">
    <cfRule type="expression" dxfId="1014" priority="549">
      <formula>$I$73="or"</formula>
    </cfRule>
  </conditionalFormatting>
  <conditionalFormatting sqref="I73:Q73">
    <cfRule type="expression" dxfId="1013" priority="548">
      <formula>$I$73="Type 1"</formula>
    </cfRule>
  </conditionalFormatting>
  <conditionalFormatting sqref="I73:Q73">
    <cfRule type="expression" dxfId="1012" priority="547">
      <formula>$I$73="Type 2"</formula>
    </cfRule>
  </conditionalFormatting>
  <conditionalFormatting sqref="I73:Q73">
    <cfRule type="expression" dxfId="1011" priority="546">
      <formula>$I$73="Type 3"</formula>
    </cfRule>
  </conditionalFormatting>
  <conditionalFormatting sqref="I74:Q74">
    <cfRule type="expression" dxfId="1010" priority="540">
      <formula>$O$74="Not started"</formula>
    </cfRule>
  </conditionalFormatting>
  <conditionalFormatting sqref="I74:Q74">
    <cfRule type="expression" dxfId="1009" priority="539">
      <formula>$O$74="In progress"</formula>
    </cfRule>
  </conditionalFormatting>
  <conditionalFormatting sqref="I74:Q74">
    <cfRule type="expression" dxfId="1008" priority="538">
      <formula>$O$74="Closed"</formula>
    </cfRule>
  </conditionalFormatting>
  <conditionalFormatting sqref="I74:Q74">
    <cfRule type="expression" dxfId="1007" priority="537">
      <formula>$O$74="Canceled"</formula>
    </cfRule>
  </conditionalFormatting>
  <conditionalFormatting sqref="I74:Q74">
    <cfRule type="expression" dxfId="1006" priority="536">
      <formula>$O$74="Suspended"</formula>
    </cfRule>
  </conditionalFormatting>
  <conditionalFormatting sqref="I74:Q74">
    <cfRule type="expression" dxfId="1005" priority="535">
      <formula>$O$74="Applied"</formula>
    </cfRule>
  </conditionalFormatting>
  <conditionalFormatting sqref="I74:Q74">
    <cfRule type="expression" dxfId="1004" priority="534">
      <formula>$O$74="N/A"</formula>
    </cfRule>
  </conditionalFormatting>
  <conditionalFormatting sqref="I74:Q74">
    <cfRule type="expression" dxfId="1003" priority="533">
      <formula>$O$74=""</formula>
    </cfRule>
  </conditionalFormatting>
  <conditionalFormatting sqref="I74:Q74">
    <cfRule type="expression" dxfId="1002" priority="532">
      <formula>$I$74="Module 1"</formula>
    </cfRule>
  </conditionalFormatting>
  <conditionalFormatting sqref="I74:Q74">
    <cfRule type="expression" dxfId="1001" priority="531">
      <formula>$I$74="Module 2"</formula>
    </cfRule>
  </conditionalFormatting>
  <conditionalFormatting sqref="I74:Q74">
    <cfRule type="expression" dxfId="1000" priority="530">
      <formula>$I$74="Module 3"</formula>
    </cfRule>
  </conditionalFormatting>
  <conditionalFormatting sqref="I74:Q74">
    <cfRule type="expression" dxfId="999" priority="529">
      <formula>$I$74="or"</formula>
    </cfRule>
  </conditionalFormatting>
  <conditionalFormatting sqref="I74:Q74">
    <cfRule type="expression" dxfId="998" priority="528">
      <formula>$I$74="Type 1"</formula>
    </cfRule>
  </conditionalFormatting>
  <conditionalFormatting sqref="I74:Q74">
    <cfRule type="expression" dxfId="997" priority="527">
      <formula>$I$74="Type 2"</formula>
    </cfRule>
  </conditionalFormatting>
  <conditionalFormatting sqref="I74:Q74">
    <cfRule type="expression" dxfId="996" priority="526">
      <formula>$I$74="Type 3"</formula>
    </cfRule>
  </conditionalFormatting>
  <conditionalFormatting sqref="I75:Q75">
    <cfRule type="expression" dxfId="995" priority="520">
      <formula>$O$75="Not started"</formula>
    </cfRule>
  </conditionalFormatting>
  <conditionalFormatting sqref="I75:Q75">
    <cfRule type="expression" dxfId="994" priority="519">
      <formula>$O$75="In progress"</formula>
    </cfRule>
  </conditionalFormatting>
  <conditionalFormatting sqref="I75:Q75">
    <cfRule type="expression" dxfId="993" priority="518">
      <formula>$O$75="Closed"</formula>
    </cfRule>
  </conditionalFormatting>
  <conditionalFormatting sqref="I75:Q75">
    <cfRule type="expression" dxfId="992" priority="517">
      <formula>$O$75="Canceled"</formula>
    </cfRule>
  </conditionalFormatting>
  <conditionalFormatting sqref="I75:Q75">
    <cfRule type="expression" dxfId="991" priority="516">
      <formula>$O$75="Suspended"</formula>
    </cfRule>
  </conditionalFormatting>
  <conditionalFormatting sqref="I75:Q75">
    <cfRule type="expression" dxfId="990" priority="515">
      <formula>$O$75="Applied"</formula>
    </cfRule>
  </conditionalFormatting>
  <conditionalFormatting sqref="I75:Q75">
    <cfRule type="expression" dxfId="989" priority="514">
      <formula>$O$75="N/A"</formula>
    </cfRule>
  </conditionalFormatting>
  <conditionalFormatting sqref="I75:Q75">
    <cfRule type="expression" dxfId="988" priority="513">
      <formula>$O$75=""</formula>
    </cfRule>
  </conditionalFormatting>
  <conditionalFormatting sqref="I75:Q75">
    <cfRule type="expression" dxfId="987" priority="512">
      <formula>$I$75="Module 1"</formula>
    </cfRule>
  </conditionalFormatting>
  <conditionalFormatting sqref="I75:Q75">
    <cfRule type="expression" dxfId="986" priority="511">
      <formula>$I$75="Module 2"</formula>
    </cfRule>
  </conditionalFormatting>
  <conditionalFormatting sqref="I75:Q75">
    <cfRule type="expression" dxfId="985" priority="510">
      <formula>$I$75="Module 3"</formula>
    </cfRule>
  </conditionalFormatting>
  <conditionalFormatting sqref="I75:Q75">
    <cfRule type="expression" dxfId="984" priority="509">
      <formula>$I$75="or"</formula>
    </cfRule>
  </conditionalFormatting>
  <conditionalFormatting sqref="I75:Q75">
    <cfRule type="expression" dxfId="983" priority="508">
      <formula>$I$75="Type 1"</formula>
    </cfRule>
  </conditionalFormatting>
  <conditionalFormatting sqref="I75:Q75">
    <cfRule type="expression" dxfId="982" priority="507">
      <formula>$I$75="Type 2"</formula>
    </cfRule>
  </conditionalFormatting>
  <conditionalFormatting sqref="I75:Q75">
    <cfRule type="expression" dxfId="981" priority="506">
      <formula>$I$75="Type 3"</formula>
    </cfRule>
  </conditionalFormatting>
  <conditionalFormatting sqref="I76:Q76">
    <cfRule type="expression" dxfId="980" priority="500">
      <formula>$O$76="Not started"</formula>
    </cfRule>
  </conditionalFormatting>
  <conditionalFormatting sqref="I76:Q76">
    <cfRule type="expression" dxfId="979" priority="499">
      <formula>$O$76="In progress"</formula>
    </cfRule>
  </conditionalFormatting>
  <conditionalFormatting sqref="I76:Q76">
    <cfRule type="expression" dxfId="978" priority="498">
      <formula>$O$76="Closed"</formula>
    </cfRule>
  </conditionalFormatting>
  <conditionalFormatting sqref="I76:Q76">
    <cfRule type="expression" dxfId="977" priority="497">
      <formula>$O$76="Canceled"</formula>
    </cfRule>
  </conditionalFormatting>
  <conditionalFormatting sqref="I76:Q76">
    <cfRule type="expression" dxfId="976" priority="496">
      <formula>$O$76="Suspended"</formula>
    </cfRule>
  </conditionalFormatting>
  <conditionalFormatting sqref="I76:Q76">
    <cfRule type="expression" dxfId="975" priority="495">
      <formula>$O$76="Applied"</formula>
    </cfRule>
  </conditionalFormatting>
  <conditionalFormatting sqref="I76:Q76">
    <cfRule type="expression" dxfId="974" priority="494">
      <formula>$O$76="N/A"</formula>
    </cfRule>
  </conditionalFormatting>
  <conditionalFormatting sqref="I76:Q76">
    <cfRule type="expression" dxfId="973" priority="493">
      <formula>$O$76=""</formula>
    </cfRule>
  </conditionalFormatting>
  <conditionalFormatting sqref="I76:Q76">
    <cfRule type="expression" dxfId="972" priority="492">
      <formula>$I$76="Module 1"</formula>
    </cfRule>
  </conditionalFormatting>
  <conditionalFormatting sqref="I76:Q76">
    <cfRule type="expression" dxfId="971" priority="491">
      <formula>$I$76="Module 2"</formula>
    </cfRule>
  </conditionalFormatting>
  <conditionalFormatting sqref="I76:Q76">
    <cfRule type="expression" dxfId="970" priority="490">
      <formula>$I$76="Module 3"</formula>
    </cfRule>
  </conditionalFormatting>
  <conditionalFormatting sqref="I76:Q76">
    <cfRule type="expression" dxfId="969" priority="489">
      <formula>$I$76="or"</formula>
    </cfRule>
  </conditionalFormatting>
  <conditionalFormatting sqref="I76:Q76">
    <cfRule type="expression" dxfId="968" priority="488">
      <formula>$I$76="Type 1"</formula>
    </cfRule>
  </conditionalFormatting>
  <conditionalFormatting sqref="I76:Q76">
    <cfRule type="expression" dxfId="967" priority="487">
      <formula>$I$76="Type 2"</formula>
    </cfRule>
  </conditionalFormatting>
  <conditionalFormatting sqref="I76:Q76">
    <cfRule type="expression" dxfId="966" priority="486">
      <formula>$I$76="Type 3"</formula>
    </cfRule>
  </conditionalFormatting>
  <conditionalFormatting sqref="I77:Q77">
    <cfRule type="expression" dxfId="965" priority="480">
      <formula>$O$77="Not started"</formula>
    </cfRule>
  </conditionalFormatting>
  <conditionalFormatting sqref="I77:Q77">
    <cfRule type="expression" dxfId="964" priority="479">
      <formula>$O$77="In progress"</formula>
    </cfRule>
  </conditionalFormatting>
  <conditionalFormatting sqref="I77:Q77">
    <cfRule type="expression" dxfId="963" priority="478">
      <formula>$O$77="Closed"</formula>
    </cfRule>
  </conditionalFormatting>
  <conditionalFormatting sqref="I77:Q77">
    <cfRule type="expression" dxfId="962" priority="477">
      <formula>$O$77="Canceled"</formula>
    </cfRule>
  </conditionalFormatting>
  <conditionalFormatting sqref="I77:Q77">
    <cfRule type="expression" dxfId="961" priority="476">
      <formula>$O$77="Suspended"</formula>
    </cfRule>
  </conditionalFormatting>
  <conditionalFormatting sqref="I77:Q77">
    <cfRule type="expression" dxfId="960" priority="475">
      <formula>$O$77="Applied"</formula>
    </cfRule>
  </conditionalFormatting>
  <conditionalFormatting sqref="I77:Q77">
    <cfRule type="expression" dxfId="959" priority="474">
      <formula>$O$77="N/A"</formula>
    </cfRule>
  </conditionalFormatting>
  <conditionalFormatting sqref="I77:Q77">
    <cfRule type="expression" dxfId="958" priority="473">
      <formula>$O$77=""</formula>
    </cfRule>
  </conditionalFormatting>
  <conditionalFormatting sqref="I77:Q77">
    <cfRule type="expression" dxfId="957" priority="472">
      <formula>$I$77="Module 1"</formula>
    </cfRule>
  </conditionalFormatting>
  <conditionalFormatting sqref="I77:Q77">
    <cfRule type="expression" dxfId="956" priority="471">
      <formula>$I$77="Module 2"</formula>
    </cfRule>
  </conditionalFormatting>
  <conditionalFormatting sqref="I77:Q77">
    <cfRule type="expression" dxfId="955" priority="470">
      <formula>$I$77="Module 3"</formula>
    </cfRule>
  </conditionalFormatting>
  <conditionalFormatting sqref="I77:Q77">
    <cfRule type="expression" dxfId="954" priority="469">
      <formula>$I$77="or"</formula>
    </cfRule>
  </conditionalFormatting>
  <conditionalFormatting sqref="I77:Q77">
    <cfRule type="expression" dxfId="953" priority="468">
      <formula>$I$77="Type 1"</formula>
    </cfRule>
  </conditionalFormatting>
  <conditionalFormatting sqref="I77:Q77">
    <cfRule type="expression" dxfId="952" priority="467">
      <formula>$I$77="Type 2"</formula>
    </cfRule>
  </conditionalFormatting>
  <conditionalFormatting sqref="I77:Q77">
    <cfRule type="expression" dxfId="951" priority="466">
      <formula>$I$77="Type 3"</formula>
    </cfRule>
  </conditionalFormatting>
  <conditionalFormatting sqref="I78:Q78">
    <cfRule type="expression" dxfId="950" priority="460">
      <formula>$O$78="Not started"</formula>
    </cfRule>
  </conditionalFormatting>
  <conditionalFormatting sqref="I78:Q78">
    <cfRule type="expression" dxfId="949" priority="459">
      <formula>$O$78="In progress"</formula>
    </cfRule>
  </conditionalFormatting>
  <conditionalFormatting sqref="I78:Q78">
    <cfRule type="expression" dxfId="948" priority="458">
      <formula>$O$78="Closed"</formula>
    </cfRule>
  </conditionalFormatting>
  <conditionalFormatting sqref="I78:Q78">
    <cfRule type="expression" dxfId="947" priority="457">
      <formula>$O$78="Canceled"</formula>
    </cfRule>
  </conditionalFormatting>
  <conditionalFormatting sqref="I78:Q78">
    <cfRule type="expression" dxfId="946" priority="456">
      <formula>$O$78="Suspended"</formula>
    </cfRule>
  </conditionalFormatting>
  <conditionalFormatting sqref="I78:Q78">
    <cfRule type="expression" dxfId="945" priority="455">
      <formula>$O$78="Applied"</formula>
    </cfRule>
  </conditionalFormatting>
  <conditionalFormatting sqref="I78:Q78">
    <cfRule type="expression" dxfId="944" priority="454">
      <formula>$O$78="N/A"</formula>
    </cfRule>
  </conditionalFormatting>
  <conditionalFormatting sqref="I78:Q78">
    <cfRule type="expression" dxfId="943" priority="453">
      <formula>$O$78=""</formula>
    </cfRule>
  </conditionalFormatting>
  <conditionalFormatting sqref="I78:Q78">
    <cfRule type="expression" dxfId="942" priority="452">
      <formula>$I$78="Module 1"</formula>
    </cfRule>
  </conditionalFormatting>
  <conditionalFormatting sqref="I78:Q78">
    <cfRule type="expression" dxfId="941" priority="451">
      <formula>$I$78="Module 2"</formula>
    </cfRule>
  </conditionalFormatting>
  <conditionalFormatting sqref="I78:Q78">
    <cfRule type="expression" dxfId="940" priority="450">
      <formula>$I$78="Module 3"</formula>
    </cfRule>
  </conditionalFormatting>
  <conditionalFormatting sqref="I78:Q78">
    <cfRule type="expression" dxfId="939" priority="449">
      <formula>$I$78="or"</formula>
    </cfRule>
  </conditionalFormatting>
  <conditionalFormatting sqref="I78:Q78">
    <cfRule type="expression" dxfId="938" priority="448">
      <formula>$I$78="Type 1"</formula>
    </cfRule>
  </conditionalFormatting>
  <conditionalFormatting sqref="I78:Q78">
    <cfRule type="expression" dxfId="937" priority="447">
      <formula>$I$78="Type 2"</formula>
    </cfRule>
  </conditionalFormatting>
  <conditionalFormatting sqref="I78:Q78">
    <cfRule type="expression" dxfId="936" priority="446">
      <formula>$I$78="Type 3"</formula>
    </cfRule>
  </conditionalFormatting>
  <conditionalFormatting sqref="I79:Q79">
    <cfRule type="expression" dxfId="935" priority="440">
      <formula>$O$79="Not started"</formula>
    </cfRule>
  </conditionalFormatting>
  <conditionalFormatting sqref="I79:Q79">
    <cfRule type="expression" dxfId="934" priority="439">
      <formula>$O$79="In progress"</formula>
    </cfRule>
  </conditionalFormatting>
  <conditionalFormatting sqref="I79:Q79">
    <cfRule type="expression" dxfId="933" priority="438">
      <formula>$O$79="Closed"</formula>
    </cfRule>
  </conditionalFormatting>
  <conditionalFormatting sqref="I79:Q79">
    <cfRule type="expression" dxfId="932" priority="437">
      <formula>$O$79="Canceled"</formula>
    </cfRule>
  </conditionalFormatting>
  <conditionalFormatting sqref="I79:Q79">
    <cfRule type="expression" dxfId="931" priority="436">
      <formula>$O$79="Suspended"</formula>
    </cfRule>
  </conditionalFormatting>
  <conditionalFormatting sqref="I79:Q79">
    <cfRule type="expression" dxfId="930" priority="435">
      <formula>$O$79="Applied"</formula>
    </cfRule>
  </conditionalFormatting>
  <conditionalFormatting sqref="I79:Q79">
    <cfRule type="expression" dxfId="929" priority="434">
      <formula>$O$79="N/A"</formula>
    </cfRule>
  </conditionalFormatting>
  <conditionalFormatting sqref="I79:Q79">
    <cfRule type="expression" dxfId="928" priority="433">
      <formula>$O$79=""</formula>
    </cfRule>
  </conditionalFormatting>
  <conditionalFormatting sqref="I79:Q79">
    <cfRule type="expression" dxfId="927" priority="432">
      <formula>$I$79="Module 1"</formula>
    </cfRule>
  </conditionalFormatting>
  <conditionalFormatting sqref="I79:Q79">
    <cfRule type="expression" dxfId="926" priority="431">
      <formula>$I$79="Module 2"</formula>
    </cfRule>
  </conditionalFormatting>
  <conditionalFormatting sqref="I79:Q79">
    <cfRule type="expression" dxfId="925" priority="430">
      <formula>$I$79="Module 3"</formula>
    </cfRule>
  </conditionalFormatting>
  <conditionalFormatting sqref="I79:Q79">
    <cfRule type="expression" dxfId="924" priority="429">
      <formula>$I$79="or"</formula>
    </cfRule>
  </conditionalFormatting>
  <conditionalFormatting sqref="I79:Q79">
    <cfRule type="expression" dxfId="923" priority="428">
      <formula>$I$79="Type 1"</formula>
    </cfRule>
  </conditionalFormatting>
  <conditionalFormatting sqref="I79:Q79">
    <cfRule type="expression" dxfId="922" priority="427">
      <formula>$I$79="Type 2"</formula>
    </cfRule>
  </conditionalFormatting>
  <conditionalFormatting sqref="I79:Q79">
    <cfRule type="expression" dxfId="921" priority="426">
      <formula>$I$79="Type 3"</formula>
    </cfRule>
  </conditionalFormatting>
  <conditionalFormatting sqref="I80:Q80">
    <cfRule type="expression" dxfId="920" priority="420">
      <formula>$O$80="Not started"</formula>
    </cfRule>
  </conditionalFormatting>
  <conditionalFormatting sqref="I80:Q80">
    <cfRule type="expression" dxfId="919" priority="419">
      <formula>$O$80="In progress"</formula>
    </cfRule>
  </conditionalFormatting>
  <conditionalFormatting sqref="I80:Q80">
    <cfRule type="expression" dxfId="918" priority="418">
      <formula>$O$80="Closed"</formula>
    </cfRule>
  </conditionalFormatting>
  <conditionalFormatting sqref="I80:Q80">
    <cfRule type="expression" dxfId="917" priority="417">
      <formula>$O$80="Canceled"</formula>
    </cfRule>
  </conditionalFormatting>
  <conditionalFormatting sqref="I80:Q80">
    <cfRule type="expression" dxfId="916" priority="416">
      <formula>$O$80="Suspended"</formula>
    </cfRule>
  </conditionalFormatting>
  <conditionalFormatting sqref="I80:Q80">
    <cfRule type="expression" dxfId="915" priority="415">
      <formula>$O$80="Applied"</formula>
    </cfRule>
  </conditionalFormatting>
  <conditionalFormatting sqref="I80:Q80">
    <cfRule type="expression" dxfId="914" priority="414">
      <formula>$O$80="N/A"</formula>
    </cfRule>
  </conditionalFormatting>
  <conditionalFormatting sqref="I80:Q80">
    <cfRule type="expression" dxfId="913" priority="413">
      <formula>$O$80=""</formula>
    </cfRule>
  </conditionalFormatting>
  <conditionalFormatting sqref="I80:Q80">
    <cfRule type="expression" dxfId="912" priority="412">
      <formula>$I$80="Module 1"</formula>
    </cfRule>
  </conditionalFormatting>
  <conditionalFormatting sqref="I80:Q80">
    <cfRule type="expression" dxfId="911" priority="411">
      <formula>$I$80="Module 2"</formula>
    </cfRule>
  </conditionalFormatting>
  <conditionalFormatting sqref="I80:Q80">
    <cfRule type="expression" dxfId="910" priority="410">
      <formula>$I$80="Module 3"</formula>
    </cfRule>
  </conditionalFormatting>
  <conditionalFormatting sqref="I80:Q80">
    <cfRule type="expression" dxfId="909" priority="409">
      <formula>$I$80="or"</formula>
    </cfRule>
  </conditionalFormatting>
  <conditionalFormatting sqref="I80:Q80">
    <cfRule type="expression" dxfId="908" priority="408">
      <formula>$I$80="Type 1"</formula>
    </cfRule>
  </conditionalFormatting>
  <conditionalFormatting sqref="I80:Q80">
    <cfRule type="expression" dxfId="907" priority="407">
      <formula>$I$80="Type 2"</formula>
    </cfRule>
  </conditionalFormatting>
  <conditionalFormatting sqref="I80:Q80">
    <cfRule type="expression" dxfId="906" priority="406">
      <formula>$I$80="Type 3"</formula>
    </cfRule>
  </conditionalFormatting>
  <conditionalFormatting sqref="I81:Q81">
    <cfRule type="expression" dxfId="905" priority="400">
      <formula>$O$81="Not started"</formula>
    </cfRule>
  </conditionalFormatting>
  <conditionalFormatting sqref="I81:Q81">
    <cfRule type="expression" dxfId="904" priority="399">
      <formula>$O$81="In progress"</formula>
    </cfRule>
  </conditionalFormatting>
  <conditionalFormatting sqref="I81:Q81">
    <cfRule type="expression" dxfId="903" priority="398">
      <formula>$O$81="Closed"</formula>
    </cfRule>
  </conditionalFormatting>
  <conditionalFormatting sqref="I81:Q81">
    <cfRule type="expression" dxfId="902" priority="397">
      <formula>$O$81="Canceled"</formula>
    </cfRule>
  </conditionalFormatting>
  <conditionalFormatting sqref="I81:Q81">
    <cfRule type="expression" dxfId="901" priority="396">
      <formula>$O$81="Suspended"</formula>
    </cfRule>
  </conditionalFormatting>
  <conditionalFormatting sqref="I81:Q81">
    <cfRule type="expression" dxfId="900" priority="395">
      <formula>$O$81="Applied"</formula>
    </cfRule>
  </conditionalFormatting>
  <conditionalFormatting sqref="I81:Q81">
    <cfRule type="expression" dxfId="899" priority="394">
      <formula>$O$81="N/A"</formula>
    </cfRule>
  </conditionalFormatting>
  <conditionalFormatting sqref="I81:Q81">
    <cfRule type="expression" dxfId="898" priority="393">
      <formula>$O$81=""</formula>
    </cfRule>
  </conditionalFormatting>
  <conditionalFormatting sqref="I81:Q81">
    <cfRule type="expression" dxfId="897" priority="392">
      <formula>$I$81="Module 1"</formula>
    </cfRule>
  </conditionalFormatting>
  <conditionalFormatting sqref="I81:Q81">
    <cfRule type="expression" dxfId="896" priority="391">
      <formula>$I$81="Module 2"</formula>
    </cfRule>
  </conditionalFormatting>
  <conditionalFormatting sqref="I81:Q81">
    <cfRule type="expression" dxfId="895" priority="390">
      <formula>$I$81="Module 3"</formula>
    </cfRule>
  </conditionalFormatting>
  <conditionalFormatting sqref="I81:Q81">
    <cfRule type="expression" dxfId="894" priority="389">
      <formula>$I$81="or"</formula>
    </cfRule>
  </conditionalFormatting>
  <conditionalFormatting sqref="I81:Q81">
    <cfRule type="expression" dxfId="893" priority="388">
      <formula>$I$81="Type 1"</formula>
    </cfRule>
  </conditionalFormatting>
  <conditionalFormatting sqref="I81:Q81">
    <cfRule type="expression" dxfId="892" priority="387">
      <formula>$I$81="Type 2"</formula>
    </cfRule>
  </conditionalFormatting>
  <conditionalFormatting sqref="I81:Q81">
    <cfRule type="expression" dxfId="891" priority="386">
      <formula>$I$81="Type 3"</formula>
    </cfRule>
  </conditionalFormatting>
  <conditionalFormatting sqref="I82:Q82">
    <cfRule type="expression" dxfId="890" priority="380">
      <formula>$O$82="Not started"</formula>
    </cfRule>
  </conditionalFormatting>
  <conditionalFormatting sqref="I82:Q82">
    <cfRule type="expression" dxfId="889" priority="379">
      <formula>$O$82="In progress"</formula>
    </cfRule>
  </conditionalFormatting>
  <conditionalFormatting sqref="I82:Q82">
    <cfRule type="expression" dxfId="888" priority="378">
      <formula>$O$82="Closed"</formula>
    </cfRule>
  </conditionalFormatting>
  <conditionalFormatting sqref="I82:Q82">
    <cfRule type="expression" dxfId="887" priority="377">
      <formula>$O$82="Canceled"</formula>
    </cfRule>
  </conditionalFormatting>
  <conditionalFormatting sqref="I82:Q82">
    <cfRule type="expression" dxfId="886" priority="376">
      <formula>$O$82="Suspended"</formula>
    </cfRule>
  </conditionalFormatting>
  <conditionalFormatting sqref="I82:Q82">
    <cfRule type="expression" dxfId="885" priority="375">
      <formula>$O$82="Applied"</formula>
    </cfRule>
  </conditionalFormatting>
  <conditionalFormatting sqref="I82:Q82">
    <cfRule type="expression" dxfId="884" priority="374">
      <formula>$O$82="N/A"</formula>
    </cfRule>
  </conditionalFormatting>
  <conditionalFormatting sqref="I82:Q82">
    <cfRule type="expression" dxfId="883" priority="373">
      <formula>$O$82=""</formula>
    </cfRule>
  </conditionalFormatting>
  <conditionalFormatting sqref="I82:Q82">
    <cfRule type="expression" dxfId="882" priority="372">
      <formula>$I$82="Module 1"</formula>
    </cfRule>
  </conditionalFormatting>
  <conditionalFormatting sqref="I82:Q82">
    <cfRule type="expression" dxfId="881" priority="371">
      <formula>$I$82="Module 2"</formula>
    </cfRule>
  </conditionalFormatting>
  <conditionalFormatting sqref="I82:Q82">
    <cfRule type="expression" dxfId="880" priority="370">
      <formula>$I$82="Module 3"</formula>
    </cfRule>
  </conditionalFormatting>
  <conditionalFormatting sqref="I82:Q82">
    <cfRule type="expression" dxfId="879" priority="369">
      <formula>$I$82="or"</formula>
    </cfRule>
  </conditionalFormatting>
  <conditionalFormatting sqref="I82:Q82">
    <cfRule type="expression" dxfId="878" priority="368">
      <formula>$I$82="Type 1"</formula>
    </cfRule>
  </conditionalFormatting>
  <conditionalFormatting sqref="I82:Q82">
    <cfRule type="expression" dxfId="877" priority="367">
      <formula>$I$82="Type 2"</formula>
    </cfRule>
  </conditionalFormatting>
  <conditionalFormatting sqref="I82:Q82">
    <cfRule type="expression" dxfId="876" priority="366">
      <formula>$I$82="Type 3"</formula>
    </cfRule>
  </conditionalFormatting>
  <conditionalFormatting sqref="I83:Q83">
    <cfRule type="expression" dxfId="875" priority="360">
      <formula>$O$83="Not started"</formula>
    </cfRule>
  </conditionalFormatting>
  <conditionalFormatting sqref="I83:Q83">
    <cfRule type="expression" dxfId="874" priority="359">
      <formula>$O$83="In progress"</formula>
    </cfRule>
  </conditionalFormatting>
  <conditionalFormatting sqref="I83:Q83">
    <cfRule type="expression" dxfId="873" priority="358">
      <formula>$O$83="Closed"</formula>
    </cfRule>
  </conditionalFormatting>
  <conditionalFormatting sqref="I83:Q83">
    <cfRule type="expression" dxfId="872" priority="357">
      <formula>$O$83="Canceled"</formula>
    </cfRule>
  </conditionalFormatting>
  <conditionalFormatting sqref="I83:Q83">
    <cfRule type="expression" dxfId="871" priority="356">
      <formula>$O$83="Suspended"</formula>
    </cfRule>
  </conditionalFormatting>
  <conditionalFormatting sqref="I83:Q83">
    <cfRule type="expression" dxfId="870" priority="355">
      <formula>$O$83="Applied"</formula>
    </cfRule>
  </conditionalFormatting>
  <conditionalFormatting sqref="I83:Q83">
    <cfRule type="expression" dxfId="869" priority="354">
      <formula>$O$83="N/A"</formula>
    </cfRule>
  </conditionalFormatting>
  <conditionalFormatting sqref="I83:Q83">
    <cfRule type="expression" dxfId="868" priority="353">
      <formula>$O$83=""</formula>
    </cfRule>
  </conditionalFormatting>
  <conditionalFormatting sqref="I83:Q83">
    <cfRule type="expression" dxfId="867" priority="352">
      <formula>$I$83="Module 1"</formula>
    </cfRule>
  </conditionalFormatting>
  <conditionalFormatting sqref="I83:Q83">
    <cfRule type="expression" dxfId="866" priority="351">
      <formula>$I$83="Module 2"</formula>
    </cfRule>
  </conditionalFormatting>
  <conditionalFormatting sqref="I83:Q83">
    <cfRule type="expression" dxfId="865" priority="350">
      <formula>$I$83="Module 3"</formula>
    </cfRule>
  </conditionalFormatting>
  <conditionalFormatting sqref="I83:Q83">
    <cfRule type="expression" dxfId="864" priority="349">
      <formula>$I$83="or"</formula>
    </cfRule>
  </conditionalFormatting>
  <conditionalFormatting sqref="I83:Q83">
    <cfRule type="expression" dxfId="863" priority="348">
      <formula>$I$83="Type 1"</formula>
    </cfRule>
  </conditionalFormatting>
  <conditionalFormatting sqref="I83:Q83">
    <cfRule type="expression" dxfId="862" priority="347">
      <formula>$I$83="Type 2"</formula>
    </cfRule>
  </conditionalFormatting>
  <conditionalFormatting sqref="I83:Q83">
    <cfRule type="expression" dxfId="861" priority="346">
      <formula>$I$83="Type 3"</formula>
    </cfRule>
  </conditionalFormatting>
  <conditionalFormatting sqref="I84:Q84">
    <cfRule type="expression" dxfId="860" priority="340">
      <formula>$O$84="Not started"</formula>
    </cfRule>
  </conditionalFormatting>
  <conditionalFormatting sqref="I84:Q84">
    <cfRule type="expression" dxfId="859" priority="339">
      <formula>$O$84="In progress"</formula>
    </cfRule>
  </conditionalFormatting>
  <conditionalFormatting sqref="I84:Q84">
    <cfRule type="expression" dxfId="858" priority="338">
      <formula>$O$84="Closed"</formula>
    </cfRule>
  </conditionalFormatting>
  <conditionalFormatting sqref="I84:Q84">
    <cfRule type="expression" dxfId="857" priority="337">
      <formula>$O$84="Canceled"</formula>
    </cfRule>
  </conditionalFormatting>
  <conditionalFormatting sqref="I84:Q84">
    <cfRule type="expression" dxfId="856" priority="336">
      <formula>$O$84="Suspended"</formula>
    </cfRule>
  </conditionalFormatting>
  <conditionalFormatting sqref="I84:Q84">
    <cfRule type="expression" dxfId="855" priority="335">
      <formula>$O$84="Applied"</formula>
    </cfRule>
  </conditionalFormatting>
  <conditionalFormatting sqref="I84:Q84">
    <cfRule type="expression" dxfId="854" priority="334">
      <formula>$O$84="N/A"</formula>
    </cfRule>
  </conditionalFormatting>
  <conditionalFormatting sqref="I84:Q84">
    <cfRule type="expression" dxfId="853" priority="333">
      <formula>$O$84=""</formula>
    </cfRule>
  </conditionalFormatting>
  <conditionalFormatting sqref="I84:Q84">
    <cfRule type="expression" dxfId="852" priority="332">
      <formula>$I$84="Module 1"</formula>
    </cfRule>
  </conditionalFormatting>
  <conditionalFormatting sqref="I84:Q84">
    <cfRule type="expression" dxfId="851" priority="331">
      <formula>$I$84="Module 2"</formula>
    </cfRule>
  </conditionalFormatting>
  <conditionalFormatting sqref="I84:Q84">
    <cfRule type="expression" dxfId="850" priority="330">
      <formula>$I$84="Module 3"</formula>
    </cfRule>
  </conditionalFormatting>
  <conditionalFormatting sqref="I84:Q84">
    <cfRule type="expression" dxfId="849" priority="329">
      <formula>$I$84="or"</formula>
    </cfRule>
  </conditionalFormatting>
  <conditionalFormatting sqref="I84:Q84">
    <cfRule type="expression" dxfId="848" priority="328">
      <formula>$I$84="Type 1"</formula>
    </cfRule>
  </conditionalFormatting>
  <conditionalFormatting sqref="I84:Q84">
    <cfRule type="expression" dxfId="847" priority="327">
      <formula>$I$84="Type 2"</formula>
    </cfRule>
  </conditionalFormatting>
  <conditionalFormatting sqref="I84:Q84">
    <cfRule type="expression" dxfId="846" priority="326">
      <formula>$I$84="Type 3"</formula>
    </cfRule>
  </conditionalFormatting>
  <conditionalFormatting sqref="I85:Q85">
    <cfRule type="expression" dxfId="845" priority="320">
      <formula>$O$85="Not started"</formula>
    </cfRule>
  </conditionalFormatting>
  <conditionalFormatting sqref="I85:Q85">
    <cfRule type="expression" dxfId="844" priority="319">
      <formula>$O$85="In progress"</formula>
    </cfRule>
  </conditionalFormatting>
  <conditionalFormatting sqref="I85:Q85">
    <cfRule type="expression" dxfId="843" priority="318">
      <formula>$O$85="Closed"</formula>
    </cfRule>
  </conditionalFormatting>
  <conditionalFormatting sqref="I85:Q85">
    <cfRule type="expression" dxfId="842" priority="317">
      <formula>$O$85="Canceled"</formula>
    </cfRule>
  </conditionalFormatting>
  <conditionalFormatting sqref="I85:Q85">
    <cfRule type="expression" dxfId="841" priority="316">
      <formula>$O$85="Suspended"</formula>
    </cfRule>
  </conditionalFormatting>
  <conditionalFormatting sqref="I85:Q85">
    <cfRule type="expression" dxfId="840" priority="315">
      <formula>$O$85="Applied"</formula>
    </cfRule>
  </conditionalFormatting>
  <conditionalFormatting sqref="I85:Q85">
    <cfRule type="expression" dxfId="839" priority="314">
      <formula>$O$85="N/A"</formula>
    </cfRule>
  </conditionalFormatting>
  <conditionalFormatting sqref="I85:Q85">
    <cfRule type="expression" dxfId="838" priority="313">
      <formula>$O$85=""</formula>
    </cfRule>
  </conditionalFormatting>
  <conditionalFormatting sqref="I85:Q85">
    <cfRule type="expression" dxfId="837" priority="312">
      <formula>$I$85="Module 1"</formula>
    </cfRule>
  </conditionalFormatting>
  <conditionalFormatting sqref="I85:Q85">
    <cfRule type="expression" dxfId="836" priority="311">
      <formula>$I$85="Module 2"</formula>
    </cfRule>
  </conditionalFormatting>
  <conditionalFormatting sqref="I85:Q85">
    <cfRule type="expression" dxfId="835" priority="310">
      <formula>$I$85="Module 3"</formula>
    </cfRule>
  </conditionalFormatting>
  <conditionalFormatting sqref="I85:Q85">
    <cfRule type="expression" dxfId="834" priority="309">
      <formula>$I$85="or"</formula>
    </cfRule>
  </conditionalFormatting>
  <conditionalFormatting sqref="I85:Q85">
    <cfRule type="expression" dxfId="833" priority="308">
      <formula>$I$85="Type 1"</formula>
    </cfRule>
  </conditionalFormatting>
  <conditionalFormatting sqref="I85:Q85">
    <cfRule type="expression" dxfId="832" priority="307">
      <formula>$I$85="Type 2"</formula>
    </cfRule>
  </conditionalFormatting>
  <conditionalFormatting sqref="I85:Q85">
    <cfRule type="expression" dxfId="831" priority="306">
      <formula>$I$85="Type 3"</formula>
    </cfRule>
  </conditionalFormatting>
  <conditionalFormatting sqref="I86:Q86">
    <cfRule type="expression" dxfId="830" priority="300">
      <formula>$O$86="Not started"</formula>
    </cfRule>
  </conditionalFormatting>
  <conditionalFormatting sqref="I86:Q86">
    <cfRule type="expression" dxfId="829" priority="299">
      <formula>$O$86="In progress"</formula>
    </cfRule>
  </conditionalFormatting>
  <conditionalFormatting sqref="I86:Q86">
    <cfRule type="expression" dxfId="828" priority="298">
      <formula>$O$86="Closed"</formula>
    </cfRule>
  </conditionalFormatting>
  <conditionalFormatting sqref="I86:Q86">
    <cfRule type="expression" dxfId="827" priority="297">
      <formula>$O$86="Canceled"</formula>
    </cfRule>
  </conditionalFormatting>
  <conditionalFormatting sqref="I86:Q86">
    <cfRule type="expression" dxfId="826" priority="296">
      <formula>$O$86="Suspended"</formula>
    </cfRule>
  </conditionalFormatting>
  <conditionalFormatting sqref="I86:Q86">
    <cfRule type="expression" dxfId="825" priority="295">
      <formula>$O$86="Applied"</formula>
    </cfRule>
  </conditionalFormatting>
  <conditionalFormatting sqref="I86:Q86">
    <cfRule type="expression" dxfId="824" priority="294">
      <formula>$O$86="N/A"</formula>
    </cfRule>
  </conditionalFormatting>
  <conditionalFormatting sqref="I86:Q86">
    <cfRule type="expression" dxfId="823" priority="293">
      <formula>$O$86=""</formula>
    </cfRule>
  </conditionalFormatting>
  <conditionalFormatting sqref="I86:Q86">
    <cfRule type="expression" dxfId="822" priority="292">
      <formula>$I$86="Module 1"</formula>
    </cfRule>
  </conditionalFormatting>
  <conditionalFormatting sqref="I86:Q86">
    <cfRule type="expression" dxfId="821" priority="291">
      <formula>$I$86="Module 2"</formula>
    </cfRule>
  </conditionalFormatting>
  <conditionalFormatting sqref="I86:Q86">
    <cfRule type="expression" dxfId="820" priority="290">
      <formula>$I$86="Module 3"</formula>
    </cfRule>
  </conditionalFormatting>
  <conditionalFormatting sqref="I86:Q86">
    <cfRule type="expression" dxfId="819" priority="289">
      <formula>$I$86="or"</formula>
    </cfRule>
  </conditionalFormatting>
  <conditionalFormatting sqref="I86:Q86">
    <cfRule type="expression" dxfId="818" priority="288">
      <formula>$I$86="Type 1"</formula>
    </cfRule>
  </conditionalFormatting>
  <conditionalFormatting sqref="I86:Q86">
    <cfRule type="expression" dxfId="817" priority="287">
      <formula>$I$86="Type 2"</formula>
    </cfRule>
  </conditionalFormatting>
  <conditionalFormatting sqref="I86:Q86">
    <cfRule type="expression" dxfId="816" priority="286">
      <formula>$I$86="Type 3"</formula>
    </cfRule>
  </conditionalFormatting>
  <conditionalFormatting sqref="I87:Q87">
    <cfRule type="expression" dxfId="815" priority="280">
      <formula>$O$87="Not started"</formula>
    </cfRule>
  </conditionalFormatting>
  <conditionalFormatting sqref="I87:Q87">
    <cfRule type="expression" dxfId="814" priority="279">
      <formula>$O$87="In progress"</formula>
    </cfRule>
  </conditionalFormatting>
  <conditionalFormatting sqref="I87:Q87">
    <cfRule type="expression" dxfId="813" priority="278">
      <formula>$O$87="Closed"</formula>
    </cfRule>
  </conditionalFormatting>
  <conditionalFormatting sqref="I87:Q87">
    <cfRule type="expression" dxfId="812" priority="277">
      <formula>$O$87="Canceled"</formula>
    </cfRule>
  </conditionalFormatting>
  <conditionalFormatting sqref="I87:Q87">
    <cfRule type="expression" dxfId="811" priority="276">
      <formula>$O$87="Suspended"</formula>
    </cfRule>
  </conditionalFormatting>
  <conditionalFormatting sqref="I87:Q87">
    <cfRule type="expression" dxfId="810" priority="275">
      <formula>$O$87="Applied"</formula>
    </cfRule>
  </conditionalFormatting>
  <conditionalFormatting sqref="I87:Q87">
    <cfRule type="expression" dxfId="809" priority="274">
      <formula>$O$87="N/A"</formula>
    </cfRule>
  </conditionalFormatting>
  <conditionalFormatting sqref="I87:Q87">
    <cfRule type="expression" dxfId="808" priority="273">
      <formula>$O$87=""</formula>
    </cfRule>
  </conditionalFormatting>
  <conditionalFormatting sqref="I87:Q87">
    <cfRule type="expression" dxfId="807" priority="272">
      <formula>$I$87="Module 1"</formula>
    </cfRule>
  </conditionalFormatting>
  <conditionalFormatting sqref="I87:Q87">
    <cfRule type="expression" dxfId="806" priority="271">
      <formula>$I$87="Module 2"</formula>
    </cfRule>
  </conditionalFormatting>
  <conditionalFormatting sqref="I87:Q87">
    <cfRule type="expression" dxfId="805" priority="270">
      <formula>$I$87="Module 3"</formula>
    </cfRule>
  </conditionalFormatting>
  <conditionalFormatting sqref="I87:Q87">
    <cfRule type="expression" dxfId="804" priority="269">
      <formula>$I$87="or"</formula>
    </cfRule>
  </conditionalFormatting>
  <conditionalFormatting sqref="I87:Q87">
    <cfRule type="expression" dxfId="803" priority="268">
      <formula>$I$87="Type 1"</formula>
    </cfRule>
  </conditionalFormatting>
  <conditionalFormatting sqref="I87:Q87">
    <cfRule type="expression" dxfId="802" priority="267">
      <formula>$I$87="Type 2"</formula>
    </cfRule>
  </conditionalFormatting>
  <conditionalFormatting sqref="I87:Q87">
    <cfRule type="expression" dxfId="801" priority="266">
      <formula>$I$87="Type 3"</formula>
    </cfRule>
  </conditionalFormatting>
  <conditionalFormatting sqref="I88:Q88">
    <cfRule type="expression" dxfId="800" priority="260">
      <formula>$O$88="Not started"</formula>
    </cfRule>
  </conditionalFormatting>
  <conditionalFormatting sqref="I88:Q88">
    <cfRule type="expression" dxfId="799" priority="259">
      <formula>$O$88="In progress"</formula>
    </cfRule>
  </conditionalFormatting>
  <conditionalFormatting sqref="I88:Q88">
    <cfRule type="expression" dxfId="798" priority="258">
      <formula>$O$88="Closed"</formula>
    </cfRule>
  </conditionalFormatting>
  <conditionalFormatting sqref="I88:Q88">
    <cfRule type="expression" dxfId="797" priority="257">
      <formula>$O$88="Canceled"</formula>
    </cfRule>
  </conditionalFormatting>
  <conditionalFormatting sqref="I88:Q88">
    <cfRule type="expression" dxfId="796" priority="256">
      <formula>$O$88="Suspended"</formula>
    </cfRule>
  </conditionalFormatting>
  <conditionalFormatting sqref="I88:Q88">
    <cfRule type="expression" dxfId="795" priority="255">
      <formula>$O$88="Applied"</formula>
    </cfRule>
  </conditionalFormatting>
  <conditionalFormatting sqref="I88:Q88">
    <cfRule type="expression" dxfId="794" priority="254">
      <formula>$O$88="N/A"</formula>
    </cfRule>
  </conditionalFormatting>
  <conditionalFormatting sqref="I88:Q88">
    <cfRule type="expression" dxfId="793" priority="253">
      <formula>$O$88=""</formula>
    </cfRule>
  </conditionalFormatting>
  <conditionalFormatting sqref="I88:Q88">
    <cfRule type="expression" dxfId="792" priority="252">
      <formula>$I$88="Module 1"</formula>
    </cfRule>
  </conditionalFormatting>
  <conditionalFormatting sqref="I88:Q88">
    <cfRule type="expression" dxfId="791" priority="251">
      <formula>$I$88="Module 2"</formula>
    </cfRule>
  </conditionalFormatting>
  <conditionalFormatting sqref="I88:Q88">
    <cfRule type="expression" dxfId="790" priority="250">
      <formula>$I$88="Module 3"</formula>
    </cfRule>
  </conditionalFormatting>
  <conditionalFormatting sqref="I88:Q88">
    <cfRule type="expression" dxfId="789" priority="249">
      <formula>$I$88="or"</formula>
    </cfRule>
  </conditionalFormatting>
  <conditionalFormatting sqref="I88:Q88">
    <cfRule type="expression" dxfId="788" priority="248">
      <formula>$I$88="Type 1"</formula>
    </cfRule>
  </conditionalFormatting>
  <conditionalFormatting sqref="I88:Q88">
    <cfRule type="expression" dxfId="787" priority="247">
      <formula>$I$88="Type 2"</formula>
    </cfRule>
  </conditionalFormatting>
  <conditionalFormatting sqref="I88:Q88">
    <cfRule type="expression" dxfId="786" priority="246">
      <formula>$I$88="Type 3"</formula>
    </cfRule>
  </conditionalFormatting>
  <conditionalFormatting sqref="I89:Q89">
    <cfRule type="expression" dxfId="785" priority="240">
      <formula>$O$89="Not started"</formula>
    </cfRule>
  </conditionalFormatting>
  <conditionalFormatting sqref="I89:Q89">
    <cfRule type="expression" dxfId="784" priority="239">
      <formula>$O$89="In progress"</formula>
    </cfRule>
  </conditionalFormatting>
  <conditionalFormatting sqref="I89:Q89">
    <cfRule type="expression" dxfId="783" priority="238">
      <formula>$O$89="Closed"</formula>
    </cfRule>
  </conditionalFormatting>
  <conditionalFormatting sqref="I89:Q89">
    <cfRule type="expression" dxfId="782" priority="237">
      <formula>$O$89="Canceled"</formula>
    </cfRule>
  </conditionalFormatting>
  <conditionalFormatting sqref="I89:Q89">
    <cfRule type="expression" dxfId="781" priority="236">
      <formula>$O$89="Suspended"</formula>
    </cfRule>
  </conditionalFormatting>
  <conditionalFormatting sqref="I89:Q89">
    <cfRule type="expression" dxfId="780" priority="235">
      <formula>$O$89="Applied"</formula>
    </cfRule>
  </conditionalFormatting>
  <conditionalFormatting sqref="I89:Q89">
    <cfRule type="expression" dxfId="779" priority="234">
      <formula>$O$89="N/A"</formula>
    </cfRule>
  </conditionalFormatting>
  <conditionalFormatting sqref="I89:Q89">
    <cfRule type="expression" dxfId="778" priority="233">
      <formula>$O$89=""</formula>
    </cfRule>
  </conditionalFormatting>
  <conditionalFormatting sqref="I89:Q89">
    <cfRule type="expression" dxfId="777" priority="232">
      <formula>$I$89="Module 1"</formula>
    </cfRule>
  </conditionalFormatting>
  <conditionalFormatting sqref="I89:Q89">
    <cfRule type="expression" dxfId="776" priority="231">
      <formula>$I$89="Module 2"</formula>
    </cfRule>
  </conditionalFormatting>
  <conditionalFormatting sqref="I89:Q89">
    <cfRule type="expression" dxfId="775" priority="230">
      <formula>$I$89="Module 3"</formula>
    </cfRule>
  </conditionalFormatting>
  <conditionalFormatting sqref="I89:Q89">
    <cfRule type="expression" dxfId="774" priority="229">
      <formula>$I$89="or"</formula>
    </cfRule>
  </conditionalFormatting>
  <conditionalFormatting sqref="I89:Q89">
    <cfRule type="expression" dxfId="773" priority="228">
      <formula>$I$89="Type 1"</formula>
    </cfRule>
  </conditionalFormatting>
  <conditionalFormatting sqref="I89:Q89">
    <cfRule type="expression" dxfId="772" priority="227">
      <formula>$I$89="Type 2"</formula>
    </cfRule>
  </conditionalFormatting>
  <conditionalFormatting sqref="I89:Q89">
    <cfRule type="expression" dxfId="771" priority="226">
      <formula>$I$89="Type 3"</formula>
    </cfRule>
  </conditionalFormatting>
  <conditionalFormatting sqref="I90:Q90">
    <cfRule type="expression" dxfId="770" priority="220">
      <formula>$O$90="Not started"</formula>
    </cfRule>
  </conditionalFormatting>
  <conditionalFormatting sqref="I90:Q90">
    <cfRule type="expression" dxfId="769" priority="219">
      <formula>$O$90="In progress"</formula>
    </cfRule>
  </conditionalFormatting>
  <conditionalFormatting sqref="I90:Q90">
    <cfRule type="expression" dxfId="768" priority="218">
      <formula>$O$90="Closed"</formula>
    </cfRule>
  </conditionalFormatting>
  <conditionalFormatting sqref="I90:Q90">
    <cfRule type="expression" dxfId="767" priority="217">
      <formula>$O$90="Canceled"</formula>
    </cfRule>
  </conditionalFormatting>
  <conditionalFormatting sqref="I90:Q90">
    <cfRule type="expression" dxfId="766" priority="216">
      <formula>$O$90="Suspended"</formula>
    </cfRule>
  </conditionalFormatting>
  <conditionalFormatting sqref="I90:Q90">
    <cfRule type="expression" dxfId="765" priority="215">
      <formula>$O$90="Applied"</formula>
    </cfRule>
  </conditionalFormatting>
  <conditionalFormatting sqref="I90:Q90">
    <cfRule type="expression" dxfId="764" priority="214">
      <formula>$O$90="N/A"</formula>
    </cfRule>
  </conditionalFormatting>
  <conditionalFormatting sqref="I90:Q90">
    <cfRule type="expression" dxfId="763" priority="213">
      <formula>$O$90=""</formula>
    </cfRule>
  </conditionalFormatting>
  <conditionalFormatting sqref="I90:Q90">
    <cfRule type="expression" dxfId="762" priority="212">
      <formula>$I$90="Module 1"</formula>
    </cfRule>
  </conditionalFormatting>
  <conditionalFormatting sqref="I90:Q90">
    <cfRule type="expression" dxfId="761" priority="211">
      <formula>$I$90="Module 2"</formula>
    </cfRule>
  </conditionalFormatting>
  <conditionalFormatting sqref="I90:Q90">
    <cfRule type="expression" dxfId="760" priority="210">
      <formula>$I$90="Module 3"</formula>
    </cfRule>
  </conditionalFormatting>
  <conditionalFormatting sqref="I90:Q90">
    <cfRule type="expression" dxfId="759" priority="209">
      <formula>$I$90="or"</formula>
    </cfRule>
  </conditionalFormatting>
  <conditionalFormatting sqref="I90:Q90">
    <cfRule type="expression" dxfId="758" priority="208">
      <formula>$I$90="Type 1"</formula>
    </cfRule>
  </conditionalFormatting>
  <conditionalFormatting sqref="I90:Q90">
    <cfRule type="expression" dxfId="757" priority="207">
      <formula>$I$90="Type 2"</formula>
    </cfRule>
  </conditionalFormatting>
  <conditionalFormatting sqref="I90:Q90">
    <cfRule type="expression" dxfId="756" priority="206">
      <formula>$I$90="Type 3"</formula>
    </cfRule>
  </conditionalFormatting>
  <conditionalFormatting sqref="I91:Q91">
    <cfRule type="expression" dxfId="755" priority="200">
      <formula>$O$91="Not started"</formula>
    </cfRule>
  </conditionalFormatting>
  <conditionalFormatting sqref="I91:Q91">
    <cfRule type="expression" dxfId="754" priority="199">
      <formula>$O$91="In progress"</formula>
    </cfRule>
  </conditionalFormatting>
  <conditionalFormatting sqref="I91:Q91">
    <cfRule type="expression" dxfId="753" priority="198">
      <formula>$O$91="Closed"</formula>
    </cfRule>
  </conditionalFormatting>
  <conditionalFormatting sqref="I91:Q91">
    <cfRule type="expression" dxfId="752" priority="197">
      <formula>$O$91="Canceled"</formula>
    </cfRule>
  </conditionalFormatting>
  <conditionalFormatting sqref="I91:Q91">
    <cfRule type="expression" dxfId="751" priority="196">
      <formula>$O$91="Suspended"</formula>
    </cfRule>
  </conditionalFormatting>
  <conditionalFormatting sqref="I91:Q91">
    <cfRule type="expression" dxfId="750" priority="195">
      <formula>$O$91="Applied"</formula>
    </cfRule>
  </conditionalFormatting>
  <conditionalFormatting sqref="I91:Q91">
    <cfRule type="expression" dxfId="749" priority="194">
      <formula>$O$91="N/A"</formula>
    </cfRule>
  </conditionalFormatting>
  <conditionalFormatting sqref="I91:Q91">
    <cfRule type="expression" dxfId="748" priority="193">
      <formula>$O$91=""</formula>
    </cfRule>
  </conditionalFormatting>
  <conditionalFormatting sqref="I91:Q91">
    <cfRule type="expression" dxfId="747" priority="192">
      <formula>$I$91="Module 1"</formula>
    </cfRule>
  </conditionalFormatting>
  <conditionalFormatting sqref="I91:Q91">
    <cfRule type="expression" dxfId="746" priority="191">
      <formula>$I$91="Module 2"</formula>
    </cfRule>
  </conditionalFormatting>
  <conditionalFormatting sqref="I91:Q91">
    <cfRule type="expression" dxfId="745" priority="190">
      <formula>$I$91="Module 3"</formula>
    </cfRule>
  </conditionalFormatting>
  <conditionalFormatting sqref="I91:Q91">
    <cfRule type="expression" dxfId="744" priority="189">
      <formula>$I$91="or"</formula>
    </cfRule>
  </conditionalFormatting>
  <conditionalFormatting sqref="I91:Q91">
    <cfRule type="expression" dxfId="743" priority="188">
      <formula>$I$91="Type 1"</formula>
    </cfRule>
  </conditionalFormatting>
  <conditionalFormatting sqref="I91:Q91">
    <cfRule type="expression" dxfId="742" priority="187">
      <formula>$I$91="Type 2"</formula>
    </cfRule>
  </conditionalFormatting>
  <conditionalFormatting sqref="I91:Q91">
    <cfRule type="expression" dxfId="741" priority="186">
      <formula>$I$91="Type 3"</formula>
    </cfRule>
  </conditionalFormatting>
  <conditionalFormatting sqref="I92:Q92">
    <cfRule type="expression" dxfId="740" priority="180">
      <formula>$O$92="Not started"</formula>
    </cfRule>
  </conditionalFormatting>
  <conditionalFormatting sqref="I92:Q92">
    <cfRule type="expression" dxfId="739" priority="179">
      <formula>$O$92="In progress"</formula>
    </cfRule>
  </conditionalFormatting>
  <conditionalFormatting sqref="I92:Q92">
    <cfRule type="expression" dxfId="738" priority="178">
      <formula>$O$92="Closed"</formula>
    </cfRule>
  </conditionalFormatting>
  <conditionalFormatting sqref="I92:Q92">
    <cfRule type="expression" dxfId="737" priority="177">
      <formula>$O$92="Canceled"</formula>
    </cfRule>
  </conditionalFormatting>
  <conditionalFormatting sqref="I92:Q92">
    <cfRule type="expression" dxfId="736" priority="176">
      <formula>$O$92="Suspended"</formula>
    </cfRule>
  </conditionalFormatting>
  <conditionalFormatting sqref="I92:Q92">
    <cfRule type="expression" dxfId="735" priority="175">
      <formula>$O$92="Applied"</formula>
    </cfRule>
  </conditionalFormatting>
  <conditionalFormatting sqref="I92:Q92">
    <cfRule type="expression" dxfId="734" priority="174">
      <formula>$O$92="N/A"</formula>
    </cfRule>
  </conditionalFormatting>
  <conditionalFormatting sqref="I92:Q92">
    <cfRule type="expression" dxfId="733" priority="173">
      <formula>$O$92=""</formula>
    </cfRule>
  </conditionalFormatting>
  <conditionalFormatting sqref="I92:Q92">
    <cfRule type="expression" dxfId="732" priority="172">
      <formula>$I$92="Module 1"</formula>
    </cfRule>
  </conditionalFormatting>
  <conditionalFormatting sqref="I92:Q92">
    <cfRule type="expression" dxfId="731" priority="171">
      <formula>$I$92="Module 2"</formula>
    </cfRule>
  </conditionalFormatting>
  <conditionalFormatting sqref="I92:Q92">
    <cfRule type="expression" dxfId="730" priority="170">
      <formula>$I$92="Module 3"</formula>
    </cfRule>
  </conditionalFormatting>
  <conditionalFormatting sqref="I92:Q92">
    <cfRule type="expression" dxfId="729" priority="169">
      <formula>$I$92="or"</formula>
    </cfRule>
  </conditionalFormatting>
  <conditionalFormatting sqref="I92:Q92">
    <cfRule type="expression" dxfId="728" priority="168">
      <formula>$I$92="Type 1"</formula>
    </cfRule>
  </conditionalFormatting>
  <conditionalFormatting sqref="I92:Q92">
    <cfRule type="expression" dxfId="727" priority="167">
      <formula>$I$92="Type 2"</formula>
    </cfRule>
  </conditionalFormatting>
  <conditionalFormatting sqref="I92:Q92">
    <cfRule type="expression" dxfId="726" priority="166">
      <formula>$I$92="Type 3"</formula>
    </cfRule>
  </conditionalFormatting>
  <conditionalFormatting sqref="I93:Q93">
    <cfRule type="expression" dxfId="725" priority="160">
      <formula>$O$93="Not started"</formula>
    </cfRule>
  </conditionalFormatting>
  <conditionalFormatting sqref="I93:Q93">
    <cfRule type="expression" dxfId="724" priority="159">
      <formula>$O$93="In progress"</formula>
    </cfRule>
  </conditionalFormatting>
  <conditionalFormatting sqref="I93:Q93">
    <cfRule type="expression" dxfId="723" priority="158">
      <formula>$O$93="Closed"</formula>
    </cfRule>
  </conditionalFormatting>
  <conditionalFormatting sqref="I93:Q93">
    <cfRule type="expression" dxfId="722" priority="157">
      <formula>$O$93="Canceled"</formula>
    </cfRule>
  </conditionalFormatting>
  <conditionalFormatting sqref="I93:Q93">
    <cfRule type="expression" dxfId="721" priority="156">
      <formula>$O$93="Suspended"</formula>
    </cfRule>
  </conditionalFormatting>
  <conditionalFormatting sqref="I93:Q93">
    <cfRule type="expression" dxfId="720" priority="155">
      <formula>$O$93="Applied"</formula>
    </cfRule>
  </conditionalFormatting>
  <conditionalFormatting sqref="I93:Q93">
    <cfRule type="expression" dxfId="719" priority="154">
      <formula>$O$93="N/A"</formula>
    </cfRule>
  </conditionalFormatting>
  <conditionalFormatting sqref="I93:Q93">
    <cfRule type="expression" dxfId="718" priority="153">
      <formula>$O$93=""</formula>
    </cfRule>
  </conditionalFormatting>
  <conditionalFormatting sqref="I93:Q93">
    <cfRule type="expression" dxfId="717" priority="152">
      <formula>$I$93="Module 1"</formula>
    </cfRule>
  </conditionalFormatting>
  <conditionalFormatting sqref="I93:Q93">
    <cfRule type="expression" dxfId="716" priority="151">
      <formula>$I$93="Module 2"</formula>
    </cfRule>
  </conditionalFormatting>
  <conditionalFormatting sqref="I93:Q93">
    <cfRule type="expression" dxfId="715" priority="150">
      <formula>$I$93="Module 3"</formula>
    </cfRule>
  </conditionalFormatting>
  <conditionalFormatting sqref="I93:Q93">
    <cfRule type="expression" dxfId="714" priority="149">
      <formula>$I$93="or"</formula>
    </cfRule>
  </conditionalFormatting>
  <conditionalFormatting sqref="I93:Q93">
    <cfRule type="expression" dxfId="713" priority="148">
      <formula>$I$93="Type 1"</formula>
    </cfRule>
  </conditionalFormatting>
  <conditionalFormatting sqref="I93:Q93">
    <cfRule type="expression" dxfId="712" priority="147">
      <formula>$I$93="Type 2"</formula>
    </cfRule>
  </conditionalFormatting>
  <conditionalFormatting sqref="I93:Q93">
    <cfRule type="expression" dxfId="711" priority="146">
      <formula>$I$93="Type 3"</formula>
    </cfRule>
  </conditionalFormatting>
  <conditionalFormatting sqref="I94:Q94">
    <cfRule type="expression" dxfId="710" priority="140">
      <formula>$O$94="Not started"</formula>
    </cfRule>
  </conditionalFormatting>
  <conditionalFormatting sqref="I94:Q94">
    <cfRule type="expression" dxfId="709" priority="139">
      <formula>$O$94="In progress"</formula>
    </cfRule>
  </conditionalFormatting>
  <conditionalFormatting sqref="I94:Q94">
    <cfRule type="expression" dxfId="708" priority="138">
      <formula>$O$94="Closed"</formula>
    </cfRule>
  </conditionalFormatting>
  <conditionalFormatting sqref="I94:Q94">
    <cfRule type="expression" dxfId="707" priority="137">
      <formula>$O$94="Canceled"</formula>
    </cfRule>
  </conditionalFormatting>
  <conditionalFormatting sqref="I94:Q94">
    <cfRule type="expression" dxfId="706" priority="136">
      <formula>$O$94="Suspended"</formula>
    </cfRule>
  </conditionalFormatting>
  <conditionalFormatting sqref="I94:Q94">
    <cfRule type="expression" dxfId="705" priority="135">
      <formula>$O$94="Applied"</formula>
    </cfRule>
  </conditionalFormatting>
  <conditionalFormatting sqref="I94:Q94">
    <cfRule type="expression" dxfId="704" priority="134">
      <formula>$O$94="N/A"</formula>
    </cfRule>
  </conditionalFormatting>
  <conditionalFormatting sqref="I94:Q94">
    <cfRule type="expression" dxfId="703" priority="133">
      <formula>$O$94=""</formula>
    </cfRule>
  </conditionalFormatting>
  <conditionalFormatting sqref="I94:Q94">
    <cfRule type="expression" dxfId="702" priority="132">
      <formula>$I$94="Module 1"</formula>
    </cfRule>
  </conditionalFormatting>
  <conditionalFormatting sqref="I94:Q94">
    <cfRule type="expression" dxfId="701" priority="131">
      <formula>$I$94="Module 2"</formula>
    </cfRule>
  </conditionalFormatting>
  <conditionalFormatting sqref="I94:Q94">
    <cfRule type="expression" dxfId="700" priority="130">
      <formula>$I$94="Module 3"</formula>
    </cfRule>
  </conditionalFormatting>
  <conditionalFormatting sqref="I94:Q94">
    <cfRule type="expression" dxfId="699" priority="129">
      <formula>$I$94="or"</formula>
    </cfRule>
  </conditionalFormatting>
  <conditionalFormatting sqref="I94:Q94">
    <cfRule type="expression" dxfId="698" priority="128">
      <formula>$I$94="Type 1"</formula>
    </cfRule>
  </conditionalFormatting>
  <conditionalFormatting sqref="I94:Q94">
    <cfRule type="expression" dxfId="697" priority="127">
      <formula>$I$94="Type 2"</formula>
    </cfRule>
  </conditionalFormatting>
  <conditionalFormatting sqref="I94:Q94">
    <cfRule type="expression" dxfId="696" priority="126">
      <formula>$I$94="Type 3"</formula>
    </cfRule>
  </conditionalFormatting>
  <conditionalFormatting sqref="I95:Q95">
    <cfRule type="expression" dxfId="695" priority="120">
      <formula>$O$95="Not started"</formula>
    </cfRule>
  </conditionalFormatting>
  <conditionalFormatting sqref="I95:Q95">
    <cfRule type="expression" dxfId="694" priority="119">
      <formula>$O$95="In progress"</formula>
    </cfRule>
  </conditionalFormatting>
  <conditionalFormatting sqref="I95:Q95">
    <cfRule type="expression" dxfId="693" priority="118">
      <formula>$O$95="Closed"</formula>
    </cfRule>
  </conditionalFormatting>
  <conditionalFormatting sqref="I95:Q95">
    <cfRule type="expression" dxfId="692" priority="117">
      <formula>$O$95="Canceled"</formula>
    </cfRule>
  </conditionalFormatting>
  <conditionalFormatting sqref="I95:Q95">
    <cfRule type="expression" dxfId="691" priority="116">
      <formula>$O$95="Suspended"</formula>
    </cfRule>
  </conditionalFormatting>
  <conditionalFormatting sqref="I95:Q95">
    <cfRule type="expression" dxfId="690" priority="115">
      <formula>$O$95="Applied"</formula>
    </cfRule>
  </conditionalFormatting>
  <conditionalFormatting sqref="I95:Q95">
    <cfRule type="expression" dxfId="689" priority="114">
      <formula>$O$95="N/A"</formula>
    </cfRule>
  </conditionalFormatting>
  <conditionalFormatting sqref="I95:Q95">
    <cfRule type="expression" dxfId="688" priority="113">
      <formula>$O$95=""</formula>
    </cfRule>
  </conditionalFormatting>
  <conditionalFormatting sqref="I95:Q95">
    <cfRule type="expression" dxfId="687" priority="112">
      <formula>$I$95="Module 1"</formula>
    </cfRule>
  </conditionalFormatting>
  <conditionalFormatting sqref="I95:Q95">
    <cfRule type="expression" dxfId="686" priority="111">
      <formula>$I$95="Module 2"</formula>
    </cfRule>
  </conditionalFormatting>
  <conditionalFormatting sqref="I95:Q95">
    <cfRule type="expression" dxfId="685" priority="110">
      <formula>$I$95="Module 3"</formula>
    </cfRule>
  </conditionalFormatting>
  <conditionalFormatting sqref="I95:Q95">
    <cfRule type="expression" dxfId="684" priority="109">
      <formula>$I$95="or"</formula>
    </cfRule>
  </conditionalFormatting>
  <conditionalFormatting sqref="I95:Q95">
    <cfRule type="expression" dxfId="683" priority="108">
      <formula>$I$95="Type 1"</formula>
    </cfRule>
  </conditionalFormatting>
  <conditionalFormatting sqref="I95:Q95">
    <cfRule type="expression" dxfId="682" priority="107">
      <formula>$I$95="Type 2"</formula>
    </cfRule>
  </conditionalFormatting>
  <conditionalFormatting sqref="I95:Q95">
    <cfRule type="expression" dxfId="681" priority="106">
      <formula>$I$95="Type 3"</formula>
    </cfRule>
  </conditionalFormatting>
  <conditionalFormatting sqref="I96:Q96">
    <cfRule type="expression" dxfId="680" priority="100">
      <formula>$O$96="Not started"</formula>
    </cfRule>
  </conditionalFormatting>
  <conditionalFormatting sqref="I96:Q96">
    <cfRule type="expression" dxfId="679" priority="99">
      <formula>$O$96="In progress"</formula>
    </cfRule>
  </conditionalFormatting>
  <conditionalFormatting sqref="I96:Q96">
    <cfRule type="expression" dxfId="678" priority="98">
      <formula>$O$96="Closed"</formula>
    </cfRule>
  </conditionalFormatting>
  <conditionalFormatting sqref="I96:Q96">
    <cfRule type="expression" dxfId="677" priority="97">
      <formula>$O$96="Canceled"</formula>
    </cfRule>
  </conditionalFormatting>
  <conditionalFormatting sqref="I96:Q96">
    <cfRule type="expression" dxfId="676" priority="96">
      <formula>$O$96="Suspended"</formula>
    </cfRule>
  </conditionalFormatting>
  <conditionalFormatting sqref="I96:Q96">
    <cfRule type="expression" dxfId="675" priority="95">
      <formula>$O$96="Applied"</formula>
    </cfRule>
  </conditionalFormatting>
  <conditionalFormatting sqref="I96:Q96">
    <cfRule type="expression" dxfId="674" priority="94">
      <formula>$O$96="N/A"</formula>
    </cfRule>
  </conditionalFormatting>
  <conditionalFormatting sqref="I96:Q96">
    <cfRule type="expression" dxfId="673" priority="93">
      <formula>$O$96=""</formula>
    </cfRule>
  </conditionalFormatting>
  <conditionalFormatting sqref="I96:Q96">
    <cfRule type="expression" dxfId="672" priority="92">
      <formula>$I$96="Module 1"</formula>
    </cfRule>
  </conditionalFormatting>
  <conditionalFormatting sqref="I96:Q96">
    <cfRule type="expression" dxfId="671" priority="91">
      <formula>$I$96="Module 2"</formula>
    </cfRule>
  </conditionalFormatting>
  <conditionalFormatting sqref="I96:Q96">
    <cfRule type="expression" dxfId="670" priority="90">
      <formula>$I$96="Module 3"</formula>
    </cfRule>
  </conditionalFormatting>
  <conditionalFormatting sqref="I96:Q96">
    <cfRule type="expression" dxfId="669" priority="89">
      <formula>$I$96="or"</formula>
    </cfRule>
  </conditionalFormatting>
  <conditionalFormatting sqref="I96:Q96">
    <cfRule type="expression" dxfId="668" priority="88">
      <formula>$I$96="Type 1"</formula>
    </cfRule>
  </conditionalFormatting>
  <conditionalFormatting sqref="I96:Q96">
    <cfRule type="expression" dxfId="667" priority="87">
      <formula>$I$96="Type 2"</formula>
    </cfRule>
  </conditionalFormatting>
  <conditionalFormatting sqref="I96:Q96">
    <cfRule type="expression" dxfId="666" priority="86">
      <formula>$I$96="Type 3"</formula>
    </cfRule>
  </conditionalFormatting>
  <conditionalFormatting sqref="I97:Q97">
    <cfRule type="expression" dxfId="665" priority="80">
      <formula>$O$97="Not started"</formula>
    </cfRule>
  </conditionalFormatting>
  <conditionalFormatting sqref="I97:Q97">
    <cfRule type="expression" dxfId="664" priority="79">
      <formula>$O$97="In progress"</formula>
    </cfRule>
  </conditionalFormatting>
  <conditionalFormatting sqref="I97:Q97">
    <cfRule type="expression" dxfId="663" priority="78">
      <formula>$O$97="Closed"</formula>
    </cfRule>
  </conditionalFormatting>
  <conditionalFormatting sqref="I97:Q97">
    <cfRule type="expression" dxfId="662" priority="77">
      <formula>$O$97="Canceled"</formula>
    </cfRule>
  </conditionalFormatting>
  <conditionalFormatting sqref="I97:Q97">
    <cfRule type="expression" dxfId="661" priority="76">
      <formula>$O$97="Suspended"</formula>
    </cfRule>
  </conditionalFormatting>
  <conditionalFormatting sqref="I97:Q97">
    <cfRule type="expression" dxfId="660" priority="75">
      <formula>$O$97="Applied"</formula>
    </cfRule>
  </conditionalFormatting>
  <conditionalFormatting sqref="I97:Q97">
    <cfRule type="expression" dxfId="659" priority="74">
      <formula>$O$97="N/A"</formula>
    </cfRule>
  </conditionalFormatting>
  <conditionalFormatting sqref="I97:Q97">
    <cfRule type="expression" dxfId="658" priority="73">
      <formula>$O$97=""</formula>
    </cfRule>
  </conditionalFormatting>
  <conditionalFormatting sqref="I97:Q97">
    <cfRule type="expression" dxfId="657" priority="72">
      <formula>$I$97="Module 1"</formula>
    </cfRule>
  </conditionalFormatting>
  <conditionalFormatting sqref="I97:Q97">
    <cfRule type="expression" dxfId="656" priority="71">
      <formula>$I$97="Module 2"</formula>
    </cfRule>
  </conditionalFormatting>
  <conditionalFormatting sqref="I97:Q97">
    <cfRule type="expression" dxfId="655" priority="70">
      <formula>$I$97="Module 3"</formula>
    </cfRule>
  </conditionalFormatting>
  <conditionalFormatting sqref="I97:Q97">
    <cfRule type="expression" dxfId="654" priority="69">
      <formula>$I$97="or"</formula>
    </cfRule>
  </conditionalFormatting>
  <conditionalFormatting sqref="I97:Q97">
    <cfRule type="expression" dxfId="653" priority="68">
      <formula>$I$97="Type 1"</formula>
    </cfRule>
  </conditionalFormatting>
  <conditionalFormatting sqref="I97:Q97">
    <cfRule type="expression" dxfId="652" priority="67">
      <formula>$I$97="Type 2"</formula>
    </cfRule>
  </conditionalFormatting>
  <conditionalFormatting sqref="I97:Q97">
    <cfRule type="expression" dxfId="651" priority="66">
      <formula>$I$97="Type 3"</formula>
    </cfRule>
  </conditionalFormatting>
  <conditionalFormatting sqref="I98:Q98">
    <cfRule type="expression" dxfId="650" priority="60">
      <formula>$O$98="Not started"</formula>
    </cfRule>
  </conditionalFormatting>
  <conditionalFormatting sqref="I98:Q98">
    <cfRule type="expression" dxfId="649" priority="59">
      <formula>$O$98="In progress"</formula>
    </cfRule>
  </conditionalFormatting>
  <conditionalFormatting sqref="I98:Q98">
    <cfRule type="expression" dxfId="648" priority="58">
      <formula>$O$98="Closed"</formula>
    </cfRule>
  </conditionalFormatting>
  <conditionalFormatting sqref="I98:Q98">
    <cfRule type="expression" dxfId="647" priority="57">
      <formula>$O$98="Canceled"</formula>
    </cfRule>
  </conditionalFormatting>
  <conditionalFormatting sqref="I98:Q98">
    <cfRule type="expression" dxfId="646" priority="56">
      <formula>$O$98="Suspended"</formula>
    </cfRule>
  </conditionalFormatting>
  <conditionalFormatting sqref="I98:Q98">
    <cfRule type="expression" dxfId="645" priority="55">
      <formula>$O$98="Applied"</formula>
    </cfRule>
  </conditionalFormatting>
  <conditionalFormatting sqref="I98:Q98">
    <cfRule type="expression" dxfId="644" priority="54">
      <formula>$O$98="N/A"</formula>
    </cfRule>
  </conditionalFormatting>
  <conditionalFormatting sqref="I98:Q98">
    <cfRule type="expression" dxfId="643" priority="53">
      <formula>$O$98=""</formula>
    </cfRule>
  </conditionalFormatting>
  <conditionalFormatting sqref="I98:Q98">
    <cfRule type="expression" dxfId="642" priority="52">
      <formula>$I$98="Module 1"</formula>
    </cfRule>
  </conditionalFormatting>
  <conditionalFormatting sqref="I98:Q98">
    <cfRule type="expression" dxfId="641" priority="51">
      <formula>$I$98="Module 2"</formula>
    </cfRule>
  </conditionalFormatting>
  <conditionalFormatting sqref="I98:Q98">
    <cfRule type="expression" dxfId="640" priority="50">
      <formula>$I$98="Module 3"</formula>
    </cfRule>
  </conditionalFormatting>
  <conditionalFormatting sqref="I98:Q98">
    <cfRule type="expression" dxfId="639" priority="49">
      <formula>$I$98="or"</formula>
    </cfRule>
  </conditionalFormatting>
  <conditionalFormatting sqref="I98:Q98">
    <cfRule type="expression" dxfId="638" priority="48">
      <formula>$I$98="Type 1"</formula>
    </cfRule>
  </conditionalFormatting>
  <conditionalFormatting sqref="I98:Q98">
    <cfRule type="expression" dxfId="637" priority="47">
      <formula>$I$98="Type 2"</formula>
    </cfRule>
  </conditionalFormatting>
  <conditionalFormatting sqref="I98:Q98">
    <cfRule type="expression" dxfId="636" priority="46">
      <formula>$I$98="Type 3"</formula>
    </cfRule>
  </conditionalFormatting>
  <conditionalFormatting sqref="I99:Q99">
    <cfRule type="expression" dxfId="635" priority="40">
      <formula>$O$99="Not started"</formula>
    </cfRule>
  </conditionalFormatting>
  <conditionalFormatting sqref="I99:Q99">
    <cfRule type="expression" dxfId="634" priority="39">
      <formula>$O$99="In progress"</formula>
    </cfRule>
  </conditionalFormatting>
  <conditionalFormatting sqref="I99:Q99">
    <cfRule type="expression" dxfId="633" priority="38">
      <formula>$O$99="Closed"</formula>
    </cfRule>
  </conditionalFormatting>
  <conditionalFormatting sqref="I99:Q99">
    <cfRule type="expression" dxfId="632" priority="37">
      <formula>$O$99="Canceled"</formula>
    </cfRule>
  </conditionalFormatting>
  <conditionalFormatting sqref="I99:Q99">
    <cfRule type="expression" dxfId="631" priority="36">
      <formula>$O$99="Suspended"</formula>
    </cfRule>
  </conditionalFormatting>
  <conditionalFormatting sqref="I99:Q99">
    <cfRule type="expression" dxfId="630" priority="35">
      <formula>$O$99="Applied"</formula>
    </cfRule>
  </conditionalFormatting>
  <conditionalFormatting sqref="I99:Q99">
    <cfRule type="expression" dxfId="629" priority="34">
      <formula>$O$99="N/A"</formula>
    </cfRule>
  </conditionalFormatting>
  <conditionalFormatting sqref="I99:Q99">
    <cfRule type="expression" dxfId="628" priority="33">
      <formula>$O$99=""</formula>
    </cfRule>
  </conditionalFormatting>
  <conditionalFormatting sqref="I99:Q99">
    <cfRule type="expression" dxfId="627" priority="32">
      <formula>$I$99="Module 1"</formula>
    </cfRule>
  </conditionalFormatting>
  <conditionalFormatting sqref="I99:Q99">
    <cfRule type="expression" dxfId="626" priority="31">
      <formula>$I$99="Module 2"</formula>
    </cfRule>
  </conditionalFormatting>
  <conditionalFormatting sqref="I99:Q99">
    <cfRule type="expression" dxfId="625" priority="30">
      <formula>$I$99="Module 3"</formula>
    </cfRule>
  </conditionalFormatting>
  <conditionalFormatting sqref="I99:Q99">
    <cfRule type="expression" dxfId="624" priority="29">
      <formula>$I$99="or"</formula>
    </cfRule>
  </conditionalFormatting>
  <conditionalFormatting sqref="I99:Q99">
    <cfRule type="expression" dxfId="623" priority="28">
      <formula>$I$99="Type 1"</formula>
    </cfRule>
  </conditionalFormatting>
  <conditionalFormatting sqref="I99:Q99">
    <cfRule type="expression" dxfId="622" priority="27">
      <formula>$I$99="Type 2"</formula>
    </cfRule>
  </conditionalFormatting>
  <conditionalFormatting sqref="I99:Q99">
    <cfRule type="expression" dxfId="621" priority="26">
      <formula>$I$99="Type 3"</formula>
    </cfRule>
  </conditionalFormatting>
  <conditionalFormatting sqref="I100:Q100">
    <cfRule type="expression" dxfId="620" priority="20">
      <formula>$O$100="Not started"</formula>
    </cfRule>
  </conditionalFormatting>
  <conditionalFormatting sqref="I100:Q100">
    <cfRule type="expression" dxfId="619" priority="19">
      <formula>$O$100="In progress"</formula>
    </cfRule>
  </conditionalFormatting>
  <conditionalFormatting sqref="I100:Q100">
    <cfRule type="expression" dxfId="618" priority="18">
      <formula>$O$100="Closed"</formula>
    </cfRule>
  </conditionalFormatting>
  <conditionalFormatting sqref="I100:Q100">
    <cfRule type="expression" dxfId="617" priority="17">
      <formula>$O$100="Canceled"</formula>
    </cfRule>
  </conditionalFormatting>
  <conditionalFormatting sqref="I100:Q100">
    <cfRule type="expression" dxfId="616" priority="16">
      <formula>$O$100="Suspended"</formula>
    </cfRule>
  </conditionalFormatting>
  <conditionalFormatting sqref="I100:Q100">
    <cfRule type="expression" dxfId="615" priority="15">
      <formula>$O$100="Applied"</formula>
    </cfRule>
  </conditionalFormatting>
  <conditionalFormatting sqref="I100:Q100">
    <cfRule type="expression" dxfId="614" priority="14">
      <formula>$O$100="N/A"</formula>
    </cfRule>
  </conditionalFormatting>
  <conditionalFormatting sqref="I100:Q100">
    <cfRule type="expression" dxfId="613" priority="13">
      <formula>$O$100=""</formula>
    </cfRule>
  </conditionalFormatting>
  <conditionalFormatting sqref="I100:Q100">
    <cfRule type="expression" dxfId="612" priority="12">
      <formula>$I$100="Module 1"</formula>
    </cfRule>
  </conditionalFormatting>
  <conditionalFormatting sqref="I100:Q100">
    <cfRule type="expression" dxfId="611" priority="11">
      <formula>$I$100="Module 2"</formula>
    </cfRule>
  </conditionalFormatting>
  <conditionalFormatting sqref="I100:Q100">
    <cfRule type="expression" dxfId="610" priority="10">
      <formula>$I$100="Module 3"</formula>
    </cfRule>
  </conditionalFormatting>
  <conditionalFormatting sqref="I100:Q100">
    <cfRule type="expression" dxfId="609" priority="9">
      <formula>$I$100="or"</formula>
    </cfRule>
  </conditionalFormatting>
  <conditionalFormatting sqref="I100:Q100">
    <cfRule type="expression" dxfId="608" priority="8">
      <formula>$I$100="Type 1"</formula>
    </cfRule>
  </conditionalFormatting>
  <conditionalFormatting sqref="I100:Q100">
    <cfRule type="expression" dxfId="607" priority="7">
      <formula>$I$100="Type 2"</formula>
    </cfRule>
  </conditionalFormatting>
  <conditionalFormatting sqref="I100:Q100">
    <cfRule type="expression" dxfId="606" priority="6">
      <formula>$I$100="Type 3"</formula>
    </cfRule>
  </conditionalFormatting>
  <conditionalFormatting sqref="I11:Q11">
    <cfRule type="expression" dxfId="605" priority="1786">
      <formula>$I$11="Type 3"</formula>
    </cfRule>
    <cfRule type="expression" dxfId="604" priority="1787">
      <formula>$I$11="Type 2"</formula>
    </cfRule>
    <cfRule type="expression" dxfId="603" priority="1788">
      <formula>$I$11="Type 1"</formula>
    </cfRule>
    <cfRule type="expression" dxfId="602" priority="1789">
      <formula>$I$11="or"</formula>
    </cfRule>
    <cfRule type="expression" dxfId="601" priority="1790">
      <formula>$I$11="Module 3"</formula>
    </cfRule>
    <cfRule type="expression" dxfId="600" priority="1791">
      <formula>$I$11="Module 2"</formula>
    </cfRule>
    <cfRule type="expression" dxfId="599" priority="1792">
      <formula>$I$11="Module 1"</formula>
    </cfRule>
    <cfRule type="expression" dxfId="598" priority="1793">
      <formula>$O$11=""</formula>
    </cfRule>
    <cfRule type="expression" dxfId="597" priority="1794">
      <formula>$O$11="N/A"</formula>
    </cfRule>
    <cfRule type="expression" dxfId="596" priority="1795">
      <formula>$O$11="Applied"</formula>
    </cfRule>
    <cfRule type="expression" dxfId="595" priority="1796">
      <formula>$O$11="Suspended"</formula>
    </cfRule>
    <cfRule type="expression" dxfId="594" priority="1797">
      <formula>$O$11="Canceled"</formula>
    </cfRule>
    <cfRule type="expression" dxfId="593" priority="1798">
      <formula>$O$11="Closed"</formula>
    </cfRule>
    <cfRule type="expression" dxfId="592" priority="1799">
      <formula>$O$11="In progress"</formula>
    </cfRule>
    <cfRule type="expression" dxfId="591" priority="1800">
      <formula>$O$11="Not started"</formula>
    </cfRule>
  </conditionalFormatting>
  <conditionalFormatting sqref="L11">
    <cfRule type="expression" dxfId="590" priority="1781">
      <formula>$L$11="5"</formula>
    </cfRule>
    <cfRule type="expression" dxfId="589" priority="1782">
      <formula>$L$11="4"</formula>
    </cfRule>
    <cfRule type="expression" dxfId="588" priority="1783">
      <formula>$L$11="3"</formula>
    </cfRule>
    <cfRule type="expression" dxfId="587" priority="1784">
      <formula>$L$11="2"</formula>
    </cfRule>
    <cfRule type="expression" dxfId="586" priority="1785">
      <formula>$L$11="1"</formula>
    </cfRule>
  </conditionalFormatting>
  <conditionalFormatting sqref="I12:Q12">
    <cfRule type="expression" dxfId="585" priority="1766">
      <formula>$I$12="Type 3"</formula>
    </cfRule>
    <cfRule type="expression" dxfId="584" priority="1767">
      <formula>$I$12="Type 2"</formula>
    </cfRule>
    <cfRule type="expression" dxfId="583" priority="1768">
      <formula>$I$12="Type 1"</formula>
    </cfRule>
    <cfRule type="expression" dxfId="582" priority="1769">
      <formula>$I$12="or"</formula>
    </cfRule>
    <cfRule type="expression" dxfId="581" priority="1770">
      <formula>$I$12="Module 3"</formula>
    </cfRule>
    <cfRule type="expression" dxfId="580" priority="1771">
      <formula>$I$12="Module 2"</formula>
    </cfRule>
    <cfRule type="expression" dxfId="579" priority="1772">
      <formula>$I$12="Module 1"</formula>
    </cfRule>
    <cfRule type="expression" dxfId="578" priority="1773">
      <formula>$O$12=""</formula>
    </cfRule>
    <cfRule type="expression" dxfId="577" priority="1774">
      <formula>$O$12="N/A"</formula>
    </cfRule>
    <cfRule type="expression" dxfId="576" priority="1775">
      <formula>$O$12="Applied"</formula>
    </cfRule>
    <cfRule type="expression" dxfId="575" priority="1776">
      <formula>$O$12="Suspended"</formula>
    </cfRule>
    <cfRule type="expression" dxfId="574" priority="1777">
      <formula>$O$12="Canceled"</formula>
    </cfRule>
    <cfRule type="expression" dxfId="573" priority="1778">
      <formula>$O$12="Closed"</formula>
    </cfRule>
    <cfRule type="expression" dxfId="572" priority="1779">
      <formula>$O$12="In progress"</formula>
    </cfRule>
    <cfRule type="expression" dxfId="571" priority="1780">
      <formula>$O$12="Not started"</formula>
    </cfRule>
  </conditionalFormatting>
  <conditionalFormatting sqref="L12">
    <cfRule type="expression" dxfId="570" priority="1761">
      <formula>$L$12="5"</formula>
    </cfRule>
    <cfRule type="expression" dxfId="569" priority="1762">
      <formula>$L$12="4"</formula>
    </cfRule>
    <cfRule type="expression" dxfId="568" priority="1763">
      <formula>$L$12="3"</formula>
    </cfRule>
    <cfRule type="expression" dxfId="567" priority="1764">
      <formula>$L$12="2"</formula>
    </cfRule>
    <cfRule type="expression" dxfId="566" priority="1765">
      <formula>$L$12="1"</formula>
    </cfRule>
  </conditionalFormatting>
  <conditionalFormatting sqref="I13:Q13">
    <cfRule type="expression" dxfId="565" priority="1746">
      <formula>$I$13="Type 3"</formula>
    </cfRule>
    <cfRule type="expression" dxfId="564" priority="1747">
      <formula>$I$13="Type 2"</formula>
    </cfRule>
    <cfRule type="expression" dxfId="563" priority="1748">
      <formula>$I$13="Type 1"</formula>
    </cfRule>
    <cfRule type="expression" dxfId="562" priority="1749">
      <formula>$I$13="or"</formula>
    </cfRule>
    <cfRule type="expression" dxfId="561" priority="1750">
      <formula>$I$13="Module 3"</formula>
    </cfRule>
    <cfRule type="expression" dxfId="560" priority="1751">
      <formula>$I$13="Module 2"</formula>
    </cfRule>
    <cfRule type="expression" dxfId="559" priority="1752">
      <formula>$I$13="Module 1"</formula>
    </cfRule>
    <cfRule type="expression" dxfId="558" priority="1753">
      <formula>$O$13=""</formula>
    </cfRule>
    <cfRule type="expression" dxfId="557" priority="1754">
      <formula>$O$13="N/A"</formula>
    </cfRule>
    <cfRule type="expression" dxfId="556" priority="1755">
      <formula>$O$13="Applied"</formula>
    </cfRule>
    <cfRule type="expression" dxfId="555" priority="1756">
      <formula>$O$13="Suspended"</formula>
    </cfRule>
    <cfRule type="expression" dxfId="554" priority="1757">
      <formula>$O$13="Canceled"</formula>
    </cfRule>
    <cfRule type="expression" dxfId="553" priority="1758">
      <formula>$O$13="Closed"</formula>
    </cfRule>
    <cfRule type="expression" dxfId="552" priority="1759">
      <formula>$O$13="In progress"</formula>
    </cfRule>
    <cfRule type="expression" dxfId="551" priority="1760">
      <formula>$O$13="Not started"</formula>
    </cfRule>
  </conditionalFormatting>
  <conditionalFormatting sqref="L13">
    <cfRule type="expression" dxfId="550" priority="1741">
      <formula>$L$13="5"</formula>
    </cfRule>
    <cfRule type="expression" dxfId="549" priority="1742">
      <formula>$L$13="4"</formula>
    </cfRule>
    <cfRule type="expression" dxfId="548" priority="1743">
      <formula>$L$13="3"</formula>
    </cfRule>
    <cfRule type="expression" dxfId="547" priority="1744">
      <formula>$L$13="2"</formula>
    </cfRule>
    <cfRule type="expression" dxfId="546" priority="1745">
      <formula>$L$13="1"</formula>
    </cfRule>
  </conditionalFormatting>
  <conditionalFormatting sqref="I14:Q14">
    <cfRule type="expression" dxfId="545" priority="1726">
      <formula>$I$14="Type 3"</formula>
    </cfRule>
    <cfRule type="expression" dxfId="544" priority="1727">
      <formula>$I$14="Type 2"</formula>
    </cfRule>
    <cfRule type="expression" dxfId="543" priority="1728">
      <formula>$I$14="Type 1"</formula>
    </cfRule>
    <cfRule type="expression" dxfId="542" priority="1729">
      <formula>$I$14="or"</formula>
    </cfRule>
    <cfRule type="expression" dxfId="541" priority="1730">
      <formula>$I$14="Module 3"</formula>
    </cfRule>
    <cfRule type="expression" dxfId="540" priority="1731">
      <formula>$I$14="Module 2"</formula>
    </cfRule>
    <cfRule type="expression" dxfId="539" priority="1732">
      <formula>$I$14="Module 1"</formula>
    </cfRule>
    <cfRule type="expression" dxfId="538" priority="1733">
      <formula>$O$14=""</formula>
    </cfRule>
    <cfRule type="expression" dxfId="537" priority="1734">
      <formula>$O$14="N/A"</formula>
    </cfRule>
    <cfRule type="expression" dxfId="536" priority="1735">
      <formula>$O$14="Applied"</formula>
    </cfRule>
    <cfRule type="expression" dxfId="535" priority="1736">
      <formula>$O$14="Suspended"</formula>
    </cfRule>
    <cfRule type="expression" dxfId="534" priority="1737">
      <formula>$O$14="Canceled"</formula>
    </cfRule>
    <cfRule type="expression" dxfId="533" priority="1738">
      <formula>$O$14="Closed"</formula>
    </cfRule>
    <cfRule type="expression" dxfId="532" priority="1739">
      <formula>$O$14="In progress"</formula>
    </cfRule>
    <cfRule type="expression" dxfId="531" priority="1740">
      <formula>$O$14="Not started"</formula>
    </cfRule>
  </conditionalFormatting>
  <conditionalFormatting sqref="L14">
    <cfRule type="expression" dxfId="530" priority="1721">
      <formula>$L$14="5"</formula>
    </cfRule>
    <cfRule type="expression" dxfId="529" priority="1722">
      <formula>$L$14="4"</formula>
    </cfRule>
    <cfRule type="expression" dxfId="528" priority="1723">
      <formula>$L$14="3"</formula>
    </cfRule>
    <cfRule type="expression" dxfId="527" priority="1724">
      <formula>$L$14="2"</formula>
    </cfRule>
    <cfRule type="expression" dxfId="526" priority="1725">
      <formula>$L$14="1"</formula>
    </cfRule>
  </conditionalFormatting>
  <conditionalFormatting sqref="I15:Q15">
    <cfRule type="expression" dxfId="525" priority="1706">
      <formula>$I$15="Type 3"</formula>
    </cfRule>
    <cfRule type="expression" dxfId="524" priority="1707">
      <formula>$I$15="Type 2"</formula>
    </cfRule>
    <cfRule type="expression" dxfId="523" priority="1708">
      <formula>$I$15="Type 1"</formula>
    </cfRule>
    <cfRule type="expression" dxfId="522" priority="1709">
      <formula>$I$15="or"</formula>
    </cfRule>
    <cfRule type="expression" dxfId="521" priority="1710">
      <formula>$I$15="Module 3"</formula>
    </cfRule>
    <cfRule type="expression" dxfId="520" priority="1711">
      <formula>$I$15="Module 2"</formula>
    </cfRule>
    <cfRule type="expression" dxfId="519" priority="1712">
      <formula>$I$15="Module 1"</formula>
    </cfRule>
    <cfRule type="expression" dxfId="518" priority="1713">
      <formula>$O$15=""</formula>
    </cfRule>
    <cfRule type="expression" dxfId="517" priority="1714">
      <formula>$O$15="N/A"</formula>
    </cfRule>
    <cfRule type="expression" dxfId="516" priority="1715">
      <formula>$O$15="Applied"</formula>
    </cfRule>
    <cfRule type="expression" dxfId="515" priority="1716">
      <formula>$O$15="Suspended"</formula>
    </cfRule>
    <cfRule type="expression" dxfId="514" priority="1717">
      <formula>$O$15="Canceled"</formula>
    </cfRule>
    <cfRule type="expression" dxfId="513" priority="1718">
      <formula>$O$15="Closed"</formula>
    </cfRule>
    <cfRule type="expression" dxfId="512" priority="1719">
      <formula>$O$15="In progress"</formula>
    </cfRule>
    <cfRule type="expression" dxfId="511" priority="1720">
      <formula>$O$15="Not started"</formula>
    </cfRule>
  </conditionalFormatting>
  <conditionalFormatting sqref="L15">
    <cfRule type="expression" dxfId="510" priority="1701">
      <formula>$L$15="5"</formula>
    </cfRule>
    <cfRule type="expression" dxfId="509" priority="1702">
      <formula>$L$15="4"</formula>
    </cfRule>
    <cfRule type="expression" dxfId="508" priority="1703">
      <formula>$L$15="3"</formula>
    </cfRule>
    <cfRule type="expression" dxfId="507" priority="1704">
      <formula>$L$15="2"</formula>
    </cfRule>
    <cfRule type="expression" dxfId="506" priority="1705">
      <formula>$L$15="1"</formula>
    </cfRule>
  </conditionalFormatting>
  <conditionalFormatting sqref="I16:Q16">
    <cfRule type="expression" dxfId="505" priority="1686">
      <formula>$I$16="Type 3"</formula>
    </cfRule>
    <cfRule type="expression" dxfId="504" priority="1687">
      <formula>$I$16="Type 2"</formula>
    </cfRule>
    <cfRule type="expression" dxfId="503" priority="1688">
      <formula>$I$16="Type 1"</formula>
    </cfRule>
    <cfRule type="expression" dxfId="502" priority="1689">
      <formula>$I$16="or"</formula>
    </cfRule>
    <cfRule type="expression" dxfId="501" priority="1690">
      <formula>$I$16="Module 3"</formula>
    </cfRule>
    <cfRule type="expression" dxfId="500" priority="1691">
      <formula>$I$16="Module 2"</formula>
    </cfRule>
    <cfRule type="expression" dxfId="499" priority="1692">
      <formula>$I$16="Module 1"</formula>
    </cfRule>
    <cfRule type="expression" dxfId="498" priority="1693">
      <formula>$O$16=""</formula>
    </cfRule>
    <cfRule type="expression" dxfId="497" priority="1694">
      <formula>$O$16="N/A"</formula>
    </cfRule>
    <cfRule type="expression" dxfId="496" priority="1695">
      <formula>$O$16="Applied"</formula>
    </cfRule>
    <cfRule type="expression" dxfId="495" priority="1696">
      <formula>$O$16="Suspended"</formula>
    </cfRule>
    <cfRule type="expression" dxfId="494" priority="1697">
      <formula>$O$16="Canceled"</formula>
    </cfRule>
    <cfRule type="expression" dxfId="493" priority="1698">
      <formula>$O$16="Closed"</formula>
    </cfRule>
    <cfRule type="expression" dxfId="492" priority="1699">
      <formula>$O$16="In progress"</formula>
    </cfRule>
    <cfRule type="expression" dxfId="491" priority="1700">
      <formula>$O$16="Not started"</formula>
    </cfRule>
  </conditionalFormatting>
  <conditionalFormatting sqref="L16">
    <cfRule type="expression" dxfId="490" priority="1681">
      <formula>$L$16="5"</formula>
    </cfRule>
    <cfRule type="expression" dxfId="489" priority="1682">
      <formula>$L$16="4"</formula>
    </cfRule>
    <cfRule type="expression" dxfId="488" priority="1683">
      <formula>$L$16="3"</formula>
    </cfRule>
    <cfRule type="expression" dxfId="487" priority="1684">
      <formula>$L$16="2"</formula>
    </cfRule>
    <cfRule type="expression" dxfId="486" priority="1685">
      <formula>$L$16="1"</formula>
    </cfRule>
  </conditionalFormatting>
  <conditionalFormatting sqref="I17:Q17">
    <cfRule type="expression" dxfId="485" priority="1666">
      <formula>$I$17="Type 3"</formula>
    </cfRule>
    <cfRule type="expression" dxfId="484" priority="1667">
      <formula>$I$17="Type 2"</formula>
    </cfRule>
    <cfRule type="expression" dxfId="483" priority="1668">
      <formula>$I$17="Type 1"</formula>
    </cfRule>
    <cfRule type="expression" dxfId="482" priority="1669">
      <formula>$I$17="or"</formula>
    </cfRule>
    <cfRule type="expression" dxfId="481" priority="1670">
      <formula>$I$17="Module 3"</formula>
    </cfRule>
    <cfRule type="expression" dxfId="480" priority="1671">
      <formula>$I$17="Module 2"</formula>
    </cfRule>
    <cfRule type="expression" dxfId="479" priority="1672">
      <formula>$I$17="Module 1"</formula>
    </cfRule>
    <cfRule type="expression" dxfId="478" priority="1673">
      <formula>$O$17=""</formula>
    </cfRule>
    <cfRule type="expression" dxfId="477" priority="1674">
      <formula>$O$17="N/A"</formula>
    </cfRule>
    <cfRule type="expression" dxfId="476" priority="1675">
      <formula>$O$17="Applied"</formula>
    </cfRule>
    <cfRule type="expression" dxfId="475" priority="1676">
      <formula>$O$17="Suspended"</formula>
    </cfRule>
    <cfRule type="expression" dxfId="474" priority="1677">
      <formula>$O$17="Canceled"</formula>
    </cfRule>
    <cfRule type="expression" dxfId="473" priority="1678">
      <formula>$O$17="Closed"</formula>
    </cfRule>
    <cfRule type="expression" dxfId="472" priority="1679">
      <formula>$O$17="In progress"</formula>
    </cfRule>
    <cfRule type="expression" dxfId="471" priority="1680">
      <formula>$O$17="Not started"</formula>
    </cfRule>
  </conditionalFormatting>
  <conditionalFormatting sqref="L17">
    <cfRule type="expression" dxfId="470" priority="1661">
      <formula>$L$17="5"</formula>
    </cfRule>
    <cfRule type="expression" dxfId="469" priority="1662">
      <formula>$L$17="4"</formula>
    </cfRule>
    <cfRule type="expression" dxfId="468" priority="1663">
      <formula>$L$17="3"</formula>
    </cfRule>
    <cfRule type="expression" dxfId="467" priority="1664">
      <formula>$L$17="2"</formula>
    </cfRule>
    <cfRule type="expression" dxfId="466" priority="1665">
      <formula>$L$17="1"</formula>
    </cfRule>
  </conditionalFormatting>
  <conditionalFormatting sqref="I18:Q18">
    <cfRule type="expression" dxfId="465" priority="1646">
      <formula>$I$18="Type 3"</formula>
    </cfRule>
    <cfRule type="expression" dxfId="464" priority="1647">
      <formula>$I$18="Type 2"</formula>
    </cfRule>
    <cfRule type="expression" dxfId="463" priority="1648">
      <formula>$I$18="Type 1"</formula>
    </cfRule>
    <cfRule type="expression" dxfId="462" priority="1649">
      <formula>$I$18="or"</formula>
    </cfRule>
    <cfRule type="expression" dxfId="461" priority="1650">
      <formula>$I$18="Module 3"</formula>
    </cfRule>
    <cfRule type="expression" dxfId="460" priority="1651">
      <formula>$I$18="Module 2"</formula>
    </cfRule>
    <cfRule type="expression" dxfId="459" priority="1652">
      <formula>$I$18="Module 1"</formula>
    </cfRule>
    <cfRule type="expression" dxfId="458" priority="1653">
      <formula>$O$18=""</formula>
    </cfRule>
    <cfRule type="expression" dxfId="457" priority="1654">
      <formula>$O$18="N/A"</formula>
    </cfRule>
    <cfRule type="expression" dxfId="456" priority="1655">
      <formula>$O$18="Applied"</formula>
    </cfRule>
    <cfRule type="expression" dxfId="455" priority="1656">
      <formula>$O$18="Suspended"</formula>
    </cfRule>
    <cfRule type="expression" dxfId="454" priority="1657">
      <formula>$O$18="Canceled"</formula>
    </cfRule>
    <cfRule type="expression" dxfId="453" priority="1658">
      <formula>$O$18="Closed"</formula>
    </cfRule>
    <cfRule type="expression" dxfId="452" priority="1659">
      <formula>$O$18="In progress"</formula>
    </cfRule>
    <cfRule type="expression" dxfId="451" priority="1660">
      <formula>$O$18="Not started"</formula>
    </cfRule>
  </conditionalFormatting>
  <conditionalFormatting sqref="L18">
    <cfRule type="expression" dxfId="450" priority="1641">
      <formula>$L$18="5"</formula>
    </cfRule>
    <cfRule type="expression" dxfId="449" priority="1642">
      <formula>$L$18="4"</formula>
    </cfRule>
    <cfRule type="expression" dxfId="448" priority="1643">
      <formula>$L$18="3"</formula>
    </cfRule>
    <cfRule type="expression" dxfId="447" priority="1644">
      <formula>$L$18="2"</formula>
    </cfRule>
    <cfRule type="expression" dxfId="446" priority="1645">
      <formula>$L$18="1"</formula>
    </cfRule>
  </conditionalFormatting>
  <conditionalFormatting sqref="I19:Q19">
    <cfRule type="expression" dxfId="445" priority="1626">
      <formula>$I$19="Type 3"</formula>
    </cfRule>
    <cfRule type="expression" dxfId="444" priority="1627">
      <formula>$I$19="Type 2"</formula>
    </cfRule>
    <cfRule type="expression" dxfId="443" priority="1628">
      <formula>$I$19="Type 1"</formula>
    </cfRule>
    <cfRule type="expression" dxfId="442" priority="1629">
      <formula>$I$19="or"</formula>
    </cfRule>
    <cfRule type="expression" dxfId="441" priority="1630">
      <formula>$I$19="Module 3"</formula>
    </cfRule>
    <cfRule type="expression" dxfId="440" priority="1631">
      <formula>$I$19="Module 2"</formula>
    </cfRule>
    <cfRule type="expression" dxfId="439" priority="1632">
      <formula>$I$19="Module 1"</formula>
    </cfRule>
    <cfRule type="expression" dxfId="438" priority="1633">
      <formula>$O$19=""</formula>
    </cfRule>
    <cfRule type="expression" dxfId="437" priority="1634">
      <formula>$O$19="N/A"</formula>
    </cfRule>
    <cfRule type="expression" dxfId="436" priority="1635">
      <formula>$O$19="Applied"</formula>
    </cfRule>
    <cfRule type="expression" dxfId="435" priority="1636">
      <formula>$O$19="Suspended"</formula>
    </cfRule>
    <cfRule type="expression" dxfId="434" priority="1637">
      <formula>$O$19="Canceled"</formula>
    </cfRule>
    <cfRule type="expression" dxfId="433" priority="1638">
      <formula>$O$19="Closed"</formula>
    </cfRule>
    <cfRule type="expression" dxfId="432" priority="1639">
      <formula>$O$19="In progress"</formula>
    </cfRule>
    <cfRule type="expression" dxfId="431" priority="1640">
      <formula>$O$19="Not started"</formula>
    </cfRule>
  </conditionalFormatting>
  <conditionalFormatting sqref="L19">
    <cfRule type="expression" dxfId="430" priority="1621">
      <formula>$L$19="5"</formula>
    </cfRule>
    <cfRule type="expression" dxfId="429" priority="1622">
      <formula>$L$19="4"</formula>
    </cfRule>
    <cfRule type="expression" dxfId="428" priority="1623">
      <formula>$L$19="3"</formula>
    </cfRule>
    <cfRule type="expression" dxfId="427" priority="1624">
      <formula>$L$19="2"</formula>
    </cfRule>
    <cfRule type="expression" dxfId="426" priority="1625">
      <formula>$L$19="1"</formula>
    </cfRule>
  </conditionalFormatting>
  <conditionalFormatting sqref="I20:Q20">
    <cfRule type="expression" dxfId="425" priority="1606">
      <formula>$I$20="Type 3"</formula>
    </cfRule>
    <cfRule type="expression" dxfId="424" priority="1607">
      <formula>$I$20="Type 2"</formula>
    </cfRule>
    <cfRule type="expression" dxfId="423" priority="1608">
      <formula>$I$20="Type 1"</formula>
    </cfRule>
    <cfRule type="expression" dxfId="422" priority="1609">
      <formula>$I$20="or"</formula>
    </cfRule>
    <cfRule type="expression" dxfId="421" priority="1610">
      <formula>$I$20="Module 3"</formula>
    </cfRule>
    <cfRule type="expression" dxfId="420" priority="1611">
      <formula>$I$20="Module 2"</formula>
    </cfRule>
    <cfRule type="expression" dxfId="419" priority="1612">
      <formula>$I$20="Module 1"</formula>
    </cfRule>
    <cfRule type="expression" dxfId="418" priority="1613">
      <formula>$O$20=""</formula>
    </cfRule>
    <cfRule type="expression" dxfId="417" priority="1614">
      <formula>$O$20="N/A"</formula>
    </cfRule>
    <cfRule type="expression" dxfId="416" priority="1615">
      <formula>$O$20="Applied"</formula>
    </cfRule>
    <cfRule type="expression" dxfId="415" priority="1616">
      <formula>$O$20="Suspended"</formula>
    </cfRule>
    <cfRule type="expression" dxfId="414" priority="1617">
      <formula>$O$20="Canceled"</formula>
    </cfRule>
    <cfRule type="expression" dxfId="413" priority="1618">
      <formula>$O$20="Closed"</formula>
    </cfRule>
    <cfRule type="expression" dxfId="412" priority="1619">
      <formula>$O$20="In progress"</formula>
    </cfRule>
    <cfRule type="expression" dxfId="411" priority="1620">
      <formula>$O$20="Not started"</formula>
    </cfRule>
  </conditionalFormatting>
  <conditionalFormatting sqref="L20">
    <cfRule type="expression" dxfId="410" priority="1601">
      <formula>$L$20="5"</formula>
    </cfRule>
    <cfRule type="expression" dxfId="409" priority="1602">
      <formula>$L$20="4"</formula>
    </cfRule>
    <cfRule type="expression" dxfId="408" priority="1603">
      <formula>$L$20="3"</formula>
    </cfRule>
    <cfRule type="expression" dxfId="407" priority="1604">
      <formula>$L$20="2"</formula>
    </cfRule>
    <cfRule type="expression" dxfId="406" priority="1605">
      <formula>$L$20="1"</formula>
    </cfRule>
  </conditionalFormatting>
  <conditionalFormatting sqref="I21:Q21">
    <cfRule type="expression" dxfId="405" priority="1587">
      <formula>$I$21="Type 2"</formula>
    </cfRule>
    <cfRule type="expression" dxfId="404" priority="1589">
      <formula>$I$21="or"</formula>
    </cfRule>
    <cfRule type="expression" dxfId="403" priority="1592">
      <formula>$I$21="Module 1"</formula>
    </cfRule>
  </conditionalFormatting>
  <conditionalFormatting sqref="I21:Q21">
    <cfRule type="expression" dxfId="402" priority="1586">
      <formula>$I$21="Type 3"</formula>
    </cfRule>
    <cfRule type="expression" dxfId="401" priority="1588">
      <formula>$I$21="Type 1"</formula>
    </cfRule>
    <cfRule type="expression" dxfId="400" priority="1590">
      <formula>$I$21="Module 3"</formula>
    </cfRule>
  </conditionalFormatting>
  <conditionalFormatting sqref="L21">
    <cfRule type="expression" dxfId="399" priority="1585">
      <formula>$L$21="1"</formula>
    </cfRule>
  </conditionalFormatting>
  <conditionalFormatting sqref="L21">
    <cfRule type="expression" dxfId="398" priority="1584">
      <formula>$L$21="2"</formula>
    </cfRule>
  </conditionalFormatting>
  <conditionalFormatting sqref="L21">
    <cfRule type="expression" dxfId="397" priority="1583">
      <formula>$L$21="3"</formula>
    </cfRule>
  </conditionalFormatting>
  <conditionalFormatting sqref="L21">
    <cfRule type="expression" dxfId="396" priority="1582">
      <formula>$L$21="4"</formula>
    </cfRule>
  </conditionalFormatting>
  <conditionalFormatting sqref="L21">
    <cfRule type="expression" dxfId="395" priority="1581">
      <formula>$L$21="5"</formula>
    </cfRule>
  </conditionalFormatting>
  <conditionalFormatting sqref="L22">
    <cfRule type="expression" dxfId="394" priority="1565">
      <formula>$L$22="1"</formula>
    </cfRule>
  </conditionalFormatting>
  <conditionalFormatting sqref="L22">
    <cfRule type="expression" dxfId="393" priority="1564">
      <formula>$L$22="2"</formula>
    </cfRule>
  </conditionalFormatting>
  <conditionalFormatting sqref="L22">
    <cfRule type="expression" dxfId="392" priority="1563">
      <formula>$L$22="3"</formula>
    </cfRule>
  </conditionalFormatting>
  <conditionalFormatting sqref="L22">
    <cfRule type="expression" dxfId="391" priority="1562">
      <formula>$L$22="4"</formula>
    </cfRule>
  </conditionalFormatting>
  <conditionalFormatting sqref="L22">
    <cfRule type="expression" dxfId="390" priority="1561">
      <formula>$L$22="5"</formula>
    </cfRule>
  </conditionalFormatting>
  <conditionalFormatting sqref="L23">
    <cfRule type="expression" dxfId="389" priority="1545">
      <formula>$L$23="1"</formula>
    </cfRule>
  </conditionalFormatting>
  <conditionalFormatting sqref="L23">
    <cfRule type="expression" dxfId="388" priority="1544">
      <formula>$L$23="2"</formula>
    </cfRule>
  </conditionalFormatting>
  <conditionalFormatting sqref="L23">
    <cfRule type="expression" dxfId="387" priority="1543">
      <formula>$L$23="3"</formula>
    </cfRule>
  </conditionalFormatting>
  <conditionalFormatting sqref="L23">
    <cfRule type="expression" dxfId="386" priority="1542">
      <formula>$L$23="4"</formula>
    </cfRule>
  </conditionalFormatting>
  <conditionalFormatting sqref="L23">
    <cfRule type="expression" dxfId="385" priority="1541">
      <formula>$L$23="5"</formula>
    </cfRule>
  </conditionalFormatting>
  <conditionalFormatting sqref="L24">
    <cfRule type="expression" dxfId="384" priority="1525">
      <formula>$L$24="1"</formula>
    </cfRule>
  </conditionalFormatting>
  <conditionalFormatting sqref="L24">
    <cfRule type="expression" dxfId="383" priority="1524">
      <formula>$L$24="2"</formula>
    </cfRule>
  </conditionalFormatting>
  <conditionalFormatting sqref="L24">
    <cfRule type="expression" dxfId="382" priority="1523">
      <formula>$L$24="3"</formula>
    </cfRule>
  </conditionalFormatting>
  <conditionalFormatting sqref="L24">
    <cfRule type="expression" dxfId="381" priority="1522">
      <formula>$L$24="4"</formula>
    </cfRule>
  </conditionalFormatting>
  <conditionalFormatting sqref="L24">
    <cfRule type="expression" dxfId="380" priority="1521">
      <formula>$L$24="5"</formula>
    </cfRule>
  </conditionalFormatting>
  <conditionalFormatting sqref="L25">
    <cfRule type="expression" dxfId="379" priority="1505">
      <formula>$L$25="1"</formula>
    </cfRule>
  </conditionalFormatting>
  <conditionalFormatting sqref="L25">
    <cfRule type="expression" dxfId="378" priority="1504">
      <formula>$L$25="2"</formula>
    </cfRule>
  </conditionalFormatting>
  <conditionalFormatting sqref="L25">
    <cfRule type="expression" dxfId="377" priority="1503">
      <formula>$L$25="3"</formula>
    </cfRule>
  </conditionalFormatting>
  <conditionalFormatting sqref="L25">
    <cfRule type="expression" dxfId="376" priority="1502">
      <formula>$L$25="4"</formula>
    </cfRule>
  </conditionalFormatting>
  <conditionalFormatting sqref="L25">
    <cfRule type="expression" dxfId="375" priority="1501">
      <formula>$L$25="5"</formula>
    </cfRule>
  </conditionalFormatting>
  <conditionalFormatting sqref="L26">
    <cfRule type="expression" dxfId="374" priority="1485">
      <formula>$L$26="1"</formula>
    </cfRule>
  </conditionalFormatting>
  <conditionalFormatting sqref="L26">
    <cfRule type="expression" dxfId="373" priority="1484">
      <formula>$L$26="2"</formula>
    </cfRule>
  </conditionalFormatting>
  <conditionalFormatting sqref="L26">
    <cfRule type="expression" dxfId="372" priority="1483">
      <formula>$L$26="3"</formula>
    </cfRule>
  </conditionalFormatting>
  <conditionalFormatting sqref="L26">
    <cfRule type="expression" dxfId="371" priority="1482">
      <formula>$L$26="4"</formula>
    </cfRule>
  </conditionalFormatting>
  <conditionalFormatting sqref="L26">
    <cfRule type="expression" dxfId="370" priority="1481">
      <formula>$L$26="5"</formula>
    </cfRule>
  </conditionalFormatting>
  <conditionalFormatting sqref="L27">
    <cfRule type="expression" dxfId="369" priority="1465">
      <formula>$L$27="1"</formula>
    </cfRule>
  </conditionalFormatting>
  <conditionalFormatting sqref="L27">
    <cfRule type="expression" dxfId="368" priority="1464">
      <formula>$L$27="2"</formula>
    </cfRule>
  </conditionalFormatting>
  <conditionalFormatting sqref="L27">
    <cfRule type="expression" dxfId="367" priority="1463">
      <formula>$L$27="3"</formula>
    </cfRule>
  </conditionalFormatting>
  <conditionalFormatting sqref="L27">
    <cfRule type="expression" dxfId="366" priority="1462">
      <formula>$L$27="4"</formula>
    </cfRule>
  </conditionalFormatting>
  <conditionalFormatting sqref="L27">
    <cfRule type="expression" dxfId="365" priority="1461">
      <formula>$L$27="5"</formula>
    </cfRule>
  </conditionalFormatting>
  <conditionalFormatting sqref="L28">
    <cfRule type="expression" dxfId="364" priority="1445">
      <formula>$L$28="1"</formula>
    </cfRule>
  </conditionalFormatting>
  <conditionalFormatting sqref="L28">
    <cfRule type="expression" dxfId="363" priority="1444">
      <formula>$L$28="2"</formula>
    </cfRule>
  </conditionalFormatting>
  <conditionalFormatting sqref="L28">
    <cfRule type="expression" dxfId="362" priority="1443">
      <formula>$L$28="3"</formula>
    </cfRule>
  </conditionalFormatting>
  <conditionalFormatting sqref="L28">
    <cfRule type="expression" dxfId="361" priority="1442">
      <formula>$L$28="4"</formula>
    </cfRule>
  </conditionalFormatting>
  <conditionalFormatting sqref="L28">
    <cfRule type="expression" dxfId="360" priority="1441">
      <formula>$L$28="5"</formula>
    </cfRule>
  </conditionalFormatting>
  <conditionalFormatting sqref="L29">
    <cfRule type="expression" dxfId="359" priority="1425">
      <formula>$L$29="1"</formula>
    </cfRule>
  </conditionalFormatting>
  <conditionalFormatting sqref="L29">
    <cfRule type="expression" dxfId="358" priority="1424">
      <formula>$L$29="2"</formula>
    </cfRule>
  </conditionalFormatting>
  <conditionalFormatting sqref="L29">
    <cfRule type="expression" dxfId="357" priority="1423">
      <formula>$L$29="3"</formula>
    </cfRule>
  </conditionalFormatting>
  <conditionalFormatting sqref="L29">
    <cfRule type="expression" dxfId="356" priority="1422">
      <formula>$L$29="4"</formula>
    </cfRule>
  </conditionalFormatting>
  <conditionalFormatting sqref="L29">
    <cfRule type="expression" dxfId="355" priority="1421">
      <formula>$L$29="5"</formula>
    </cfRule>
  </conditionalFormatting>
  <conditionalFormatting sqref="L30">
    <cfRule type="expression" dxfId="354" priority="1405">
      <formula>$L$30="1"</formula>
    </cfRule>
  </conditionalFormatting>
  <conditionalFormatting sqref="L30">
    <cfRule type="expression" dxfId="353" priority="1404">
      <formula>$L$30="2"</formula>
    </cfRule>
  </conditionalFormatting>
  <conditionalFormatting sqref="L30">
    <cfRule type="expression" dxfId="352" priority="1403">
      <formula>$L$30="3"</formula>
    </cfRule>
  </conditionalFormatting>
  <conditionalFormatting sqref="L30">
    <cfRule type="expression" dxfId="351" priority="1402">
      <formula>$L$30="4"</formula>
    </cfRule>
  </conditionalFormatting>
  <conditionalFormatting sqref="L30">
    <cfRule type="expression" dxfId="350" priority="1401">
      <formula>$L$30="5"</formula>
    </cfRule>
  </conditionalFormatting>
  <conditionalFormatting sqref="L31">
    <cfRule type="expression" dxfId="349" priority="1385">
      <formula>$L$31="1"</formula>
    </cfRule>
  </conditionalFormatting>
  <conditionalFormatting sqref="L31">
    <cfRule type="expression" dxfId="348" priority="1384">
      <formula>$L$31="2"</formula>
    </cfRule>
  </conditionalFormatting>
  <conditionalFormatting sqref="L31">
    <cfRule type="expression" dxfId="347" priority="1383">
      <formula>$L$31="3"</formula>
    </cfRule>
  </conditionalFormatting>
  <conditionalFormatting sqref="L31">
    <cfRule type="expression" dxfId="346" priority="1382">
      <formula>$L$31="4"</formula>
    </cfRule>
  </conditionalFormatting>
  <conditionalFormatting sqref="L31">
    <cfRule type="expression" dxfId="345" priority="1381">
      <formula>$L$31="5"</formula>
    </cfRule>
  </conditionalFormatting>
  <conditionalFormatting sqref="L32">
    <cfRule type="expression" dxfId="344" priority="1365">
      <formula>$L$32="1"</formula>
    </cfRule>
  </conditionalFormatting>
  <conditionalFormatting sqref="L32">
    <cfRule type="expression" dxfId="343" priority="1364">
      <formula>$L$32="2"</formula>
    </cfRule>
  </conditionalFormatting>
  <conditionalFormatting sqref="L32">
    <cfRule type="expression" dxfId="342" priority="1363">
      <formula>$L$32="3"</formula>
    </cfRule>
  </conditionalFormatting>
  <conditionalFormatting sqref="L32">
    <cfRule type="expression" dxfId="341" priority="1362">
      <formula>$L$32="4"</formula>
    </cfRule>
  </conditionalFormatting>
  <conditionalFormatting sqref="L32">
    <cfRule type="expression" dxfId="340" priority="1361">
      <formula>$L$32="5"</formula>
    </cfRule>
  </conditionalFormatting>
  <conditionalFormatting sqref="L33">
    <cfRule type="expression" dxfId="339" priority="1345">
      <formula>$L$33="1"</formula>
    </cfRule>
  </conditionalFormatting>
  <conditionalFormatting sqref="L33">
    <cfRule type="expression" dxfId="338" priority="1344">
      <formula>$L$33="2"</formula>
    </cfRule>
  </conditionalFormatting>
  <conditionalFormatting sqref="L33">
    <cfRule type="expression" dxfId="337" priority="1343">
      <formula>$L$33="3"</formula>
    </cfRule>
  </conditionalFormatting>
  <conditionalFormatting sqref="L33">
    <cfRule type="expression" dxfId="336" priority="1342">
      <formula>$L$33="4"</formula>
    </cfRule>
  </conditionalFormatting>
  <conditionalFormatting sqref="L33">
    <cfRule type="expression" dxfId="335" priority="1341">
      <formula>$L$33="5"</formula>
    </cfRule>
  </conditionalFormatting>
  <conditionalFormatting sqref="L34">
    <cfRule type="expression" dxfId="334" priority="1325">
      <formula>$L$34="1"</formula>
    </cfRule>
  </conditionalFormatting>
  <conditionalFormatting sqref="L34">
    <cfRule type="expression" dxfId="333" priority="1324">
      <formula>$L$34="2"</formula>
    </cfRule>
  </conditionalFormatting>
  <conditionalFormatting sqref="L34">
    <cfRule type="expression" dxfId="332" priority="1323">
      <formula>$L$34="3"</formula>
    </cfRule>
  </conditionalFormatting>
  <conditionalFormatting sqref="L34">
    <cfRule type="expression" dxfId="331" priority="1322">
      <formula>$L$34="4"</formula>
    </cfRule>
  </conditionalFormatting>
  <conditionalFormatting sqref="L34">
    <cfRule type="expression" dxfId="330" priority="1321">
      <formula>$L$34="5"</formula>
    </cfRule>
  </conditionalFormatting>
  <conditionalFormatting sqref="L35">
    <cfRule type="expression" dxfId="329" priority="1305">
      <formula>$L$35="1"</formula>
    </cfRule>
  </conditionalFormatting>
  <conditionalFormatting sqref="L35">
    <cfRule type="expression" dxfId="328" priority="1304">
      <formula>$L$35="2"</formula>
    </cfRule>
  </conditionalFormatting>
  <conditionalFormatting sqref="L35">
    <cfRule type="expression" dxfId="327" priority="1303">
      <formula>$L$35="3"</formula>
    </cfRule>
  </conditionalFormatting>
  <conditionalFormatting sqref="L35">
    <cfRule type="expression" dxfId="326" priority="1302">
      <formula>$L$35="4"</formula>
    </cfRule>
  </conditionalFormatting>
  <conditionalFormatting sqref="L35">
    <cfRule type="expression" dxfId="325" priority="1301">
      <formula>$L$35="5"</formula>
    </cfRule>
  </conditionalFormatting>
  <conditionalFormatting sqref="L36">
    <cfRule type="expression" dxfId="324" priority="1285">
      <formula>$L$36="1"</formula>
    </cfRule>
  </conditionalFormatting>
  <conditionalFormatting sqref="L36">
    <cfRule type="expression" dxfId="323" priority="1284">
      <formula>$L$36="2"</formula>
    </cfRule>
  </conditionalFormatting>
  <conditionalFormatting sqref="L36">
    <cfRule type="expression" dxfId="322" priority="1283">
      <formula>$L$36="3"</formula>
    </cfRule>
  </conditionalFormatting>
  <conditionalFormatting sqref="L36">
    <cfRule type="expression" dxfId="321" priority="1282">
      <formula>$L$36="4"</formula>
    </cfRule>
  </conditionalFormatting>
  <conditionalFormatting sqref="L36">
    <cfRule type="expression" dxfId="320" priority="1281">
      <formula>$L$36="5"</formula>
    </cfRule>
  </conditionalFormatting>
  <conditionalFormatting sqref="L37">
    <cfRule type="expression" dxfId="319" priority="1265">
      <formula>$L$37="1"</formula>
    </cfRule>
  </conditionalFormatting>
  <conditionalFormatting sqref="L37">
    <cfRule type="expression" dxfId="318" priority="1264">
      <formula>$L$37="2"</formula>
    </cfRule>
  </conditionalFormatting>
  <conditionalFormatting sqref="L37">
    <cfRule type="expression" dxfId="317" priority="1263">
      <formula>$L$37="3"</formula>
    </cfRule>
  </conditionalFormatting>
  <conditionalFormatting sqref="L37">
    <cfRule type="expression" dxfId="316" priority="1262">
      <formula>$L$37="4"</formula>
    </cfRule>
  </conditionalFormatting>
  <conditionalFormatting sqref="L37">
    <cfRule type="expression" dxfId="315" priority="1261">
      <formula>$L$37="5"</formula>
    </cfRule>
  </conditionalFormatting>
  <conditionalFormatting sqref="L38">
    <cfRule type="expression" dxfId="314" priority="1245">
      <formula>$L$38="1"</formula>
    </cfRule>
  </conditionalFormatting>
  <conditionalFormatting sqref="L38">
    <cfRule type="expression" dxfId="313" priority="1244">
      <formula>$L$38="2"</formula>
    </cfRule>
  </conditionalFormatting>
  <conditionalFormatting sqref="L38">
    <cfRule type="expression" dxfId="312" priority="1243">
      <formula>$L$38="3"</formula>
    </cfRule>
  </conditionalFormatting>
  <conditionalFormatting sqref="L38">
    <cfRule type="expression" dxfId="311" priority="1242">
      <formula>$L$38="4"</formula>
    </cfRule>
  </conditionalFormatting>
  <conditionalFormatting sqref="L38">
    <cfRule type="expression" dxfId="310" priority="1241">
      <formula>$L$38="5"</formula>
    </cfRule>
  </conditionalFormatting>
  <conditionalFormatting sqref="L39">
    <cfRule type="expression" dxfId="309" priority="1225">
      <formula>$L$39="1"</formula>
    </cfRule>
  </conditionalFormatting>
  <conditionalFormatting sqref="L39">
    <cfRule type="expression" dxfId="308" priority="1224">
      <formula>$L$39="2"</formula>
    </cfRule>
  </conditionalFormatting>
  <conditionalFormatting sqref="L39">
    <cfRule type="expression" dxfId="307" priority="1223">
      <formula>$L$39="3"</formula>
    </cfRule>
  </conditionalFormatting>
  <conditionalFormatting sqref="L39">
    <cfRule type="expression" dxfId="306" priority="1222">
      <formula>$L$39="4"</formula>
    </cfRule>
  </conditionalFormatting>
  <conditionalFormatting sqref="L39">
    <cfRule type="expression" dxfId="305" priority="1221">
      <formula>$L$39="5"</formula>
    </cfRule>
  </conditionalFormatting>
  <conditionalFormatting sqref="L40">
    <cfRule type="expression" dxfId="304" priority="1205">
      <formula>$L$40="1"</formula>
    </cfRule>
  </conditionalFormatting>
  <conditionalFormatting sqref="L40">
    <cfRule type="expression" dxfId="303" priority="1204">
      <formula>$L$40="2"</formula>
    </cfRule>
  </conditionalFormatting>
  <conditionalFormatting sqref="L40">
    <cfRule type="expression" dxfId="302" priority="1203">
      <formula>$L$40="3"</formula>
    </cfRule>
  </conditionalFormatting>
  <conditionalFormatting sqref="L40">
    <cfRule type="expression" dxfId="301" priority="1202">
      <formula>$L$40="4"</formula>
    </cfRule>
  </conditionalFormatting>
  <conditionalFormatting sqref="L40">
    <cfRule type="expression" dxfId="300" priority="1201">
      <formula>$L$40="5"</formula>
    </cfRule>
  </conditionalFormatting>
  <conditionalFormatting sqref="L41">
    <cfRule type="expression" dxfId="299" priority="1185">
      <formula>$L$41="1"</formula>
    </cfRule>
  </conditionalFormatting>
  <conditionalFormatting sqref="L41">
    <cfRule type="expression" dxfId="298" priority="1184">
      <formula>$L$41="2"</formula>
    </cfRule>
  </conditionalFormatting>
  <conditionalFormatting sqref="L41">
    <cfRule type="expression" dxfId="297" priority="1183">
      <formula>$L$41="3"</formula>
    </cfRule>
  </conditionalFormatting>
  <conditionalFormatting sqref="L41">
    <cfRule type="expression" dxfId="296" priority="1182">
      <formula>$L$41="4"</formula>
    </cfRule>
  </conditionalFormatting>
  <conditionalFormatting sqref="L41">
    <cfRule type="expression" dxfId="295" priority="1181">
      <formula>$L$41="5"</formula>
    </cfRule>
  </conditionalFormatting>
  <conditionalFormatting sqref="L42">
    <cfRule type="expression" dxfId="294" priority="1165">
      <formula>$L$42="1"</formula>
    </cfRule>
  </conditionalFormatting>
  <conditionalFormatting sqref="L42">
    <cfRule type="expression" dxfId="293" priority="1164">
      <formula>$L$42="2"</formula>
    </cfRule>
  </conditionalFormatting>
  <conditionalFormatting sqref="L42">
    <cfRule type="expression" dxfId="292" priority="1163">
      <formula>$L$42="3"</formula>
    </cfRule>
  </conditionalFormatting>
  <conditionalFormatting sqref="L42">
    <cfRule type="expression" dxfId="291" priority="1162">
      <formula>$L$42="4"</formula>
    </cfRule>
  </conditionalFormatting>
  <conditionalFormatting sqref="L42">
    <cfRule type="expression" dxfId="290" priority="1161">
      <formula>$L$42="5"</formula>
    </cfRule>
  </conditionalFormatting>
  <conditionalFormatting sqref="L43">
    <cfRule type="expression" dxfId="289" priority="1145">
      <formula>$L$43="1"</formula>
    </cfRule>
  </conditionalFormatting>
  <conditionalFormatting sqref="L43">
    <cfRule type="expression" dxfId="288" priority="1144">
      <formula>$L$43="2"</formula>
    </cfRule>
  </conditionalFormatting>
  <conditionalFormatting sqref="L43">
    <cfRule type="expression" dxfId="287" priority="1143">
      <formula>$L$43="3"</formula>
    </cfRule>
  </conditionalFormatting>
  <conditionalFormatting sqref="L43">
    <cfRule type="expression" dxfId="286" priority="1142">
      <formula>$L$43="4"</formula>
    </cfRule>
  </conditionalFormatting>
  <conditionalFormatting sqref="L43">
    <cfRule type="expression" dxfId="285" priority="1141">
      <formula>$L$43="5"</formula>
    </cfRule>
  </conditionalFormatting>
  <conditionalFormatting sqref="L44">
    <cfRule type="expression" dxfId="284" priority="1125">
      <formula>$L$44="1"</formula>
    </cfRule>
  </conditionalFormatting>
  <conditionalFormatting sqref="L44">
    <cfRule type="expression" dxfId="283" priority="1124">
      <formula>$L$44="2"</formula>
    </cfRule>
  </conditionalFormatting>
  <conditionalFormatting sqref="L44">
    <cfRule type="expression" dxfId="282" priority="1123">
      <formula>$L$44="3"</formula>
    </cfRule>
  </conditionalFormatting>
  <conditionalFormatting sqref="L44">
    <cfRule type="expression" dxfId="281" priority="1122">
      <formula>$L$44="4"</formula>
    </cfRule>
  </conditionalFormatting>
  <conditionalFormatting sqref="L44">
    <cfRule type="expression" dxfId="280" priority="1121">
      <formula>$L$44="5"</formula>
    </cfRule>
  </conditionalFormatting>
  <conditionalFormatting sqref="L45">
    <cfRule type="expression" dxfId="279" priority="1105">
      <formula>$L$45="1"</formula>
    </cfRule>
  </conditionalFormatting>
  <conditionalFormatting sqref="L45">
    <cfRule type="expression" dxfId="278" priority="1104">
      <formula>$L$45="2"</formula>
    </cfRule>
  </conditionalFormatting>
  <conditionalFormatting sqref="L45">
    <cfRule type="expression" dxfId="277" priority="1103">
      <formula>$L$45="3"</formula>
    </cfRule>
  </conditionalFormatting>
  <conditionalFormatting sqref="L45">
    <cfRule type="expression" dxfId="276" priority="1102">
      <formula>$L$45="4"</formula>
    </cfRule>
  </conditionalFormatting>
  <conditionalFormatting sqref="L45">
    <cfRule type="expression" dxfId="275" priority="1101">
      <formula>$L$45="5"</formula>
    </cfRule>
  </conditionalFormatting>
  <conditionalFormatting sqref="L46">
    <cfRule type="expression" dxfId="274" priority="1085">
      <formula>$L$46="1"</formula>
    </cfRule>
  </conditionalFormatting>
  <conditionalFormatting sqref="L46">
    <cfRule type="expression" dxfId="273" priority="1084">
      <formula>$L$46="2"</formula>
    </cfRule>
  </conditionalFormatting>
  <conditionalFormatting sqref="L46">
    <cfRule type="expression" dxfId="272" priority="1083">
      <formula>$L$46="3"</formula>
    </cfRule>
  </conditionalFormatting>
  <conditionalFormatting sqref="L46">
    <cfRule type="expression" dxfId="271" priority="1082">
      <formula>$L$46="4"</formula>
    </cfRule>
  </conditionalFormatting>
  <conditionalFormatting sqref="L46">
    <cfRule type="expression" dxfId="270" priority="1081">
      <formula>$L$46="5"</formula>
    </cfRule>
  </conditionalFormatting>
  <conditionalFormatting sqref="L47">
    <cfRule type="expression" dxfId="269" priority="1065">
      <formula>$L$47="1"</formula>
    </cfRule>
  </conditionalFormatting>
  <conditionalFormatting sqref="L47">
    <cfRule type="expression" dxfId="268" priority="1064">
      <formula>$L$47="2"</formula>
    </cfRule>
  </conditionalFormatting>
  <conditionalFormatting sqref="L47">
    <cfRule type="expression" dxfId="267" priority="1063">
      <formula>$L$47="3"</formula>
    </cfRule>
  </conditionalFormatting>
  <conditionalFormatting sqref="L47">
    <cfRule type="expression" dxfId="266" priority="1062">
      <formula>$L$47="4"</formula>
    </cfRule>
  </conditionalFormatting>
  <conditionalFormatting sqref="L47">
    <cfRule type="expression" dxfId="265" priority="1061">
      <formula>$L$47="5"</formula>
    </cfRule>
  </conditionalFormatting>
  <conditionalFormatting sqref="L48">
    <cfRule type="expression" dxfId="264" priority="1045">
      <formula>$L$48="1"</formula>
    </cfRule>
  </conditionalFormatting>
  <conditionalFormatting sqref="L48">
    <cfRule type="expression" dxfId="263" priority="1044">
      <formula>$L$48="2"</formula>
    </cfRule>
  </conditionalFormatting>
  <conditionalFormatting sqref="L48">
    <cfRule type="expression" dxfId="262" priority="1043">
      <formula>$L$48="3"</formula>
    </cfRule>
  </conditionalFormatting>
  <conditionalFormatting sqref="L48">
    <cfRule type="expression" dxfId="261" priority="1042">
      <formula>$L$48="4"</formula>
    </cfRule>
  </conditionalFormatting>
  <conditionalFormatting sqref="L48">
    <cfRule type="expression" dxfId="260" priority="1041">
      <formula>$L$48="5"</formula>
    </cfRule>
  </conditionalFormatting>
  <conditionalFormatting sqref="L49">
    <cfRule type="expression" dxfId="259" priority="1025">
      <formula>$L$49="1"</formula>
    </cfRule>
  </conditionalFormatting>
  <conditionalFormatting sqref="L49">
    <cfRule type="expression" dxfId="258" priority="1024">
      <formula>$L$49="2"</formula>
    </cfRule>
  </conditionalFormatting>
  <conditionalFormatting sqref="L49">
    <cfRule type="expression" dxfId="257" priority="1023">
      <formula>$L$49="3"</formula>
    </cfRule>
  </conditionalFormatting>
  <conditionalFormatting sqref="L49">
    <cfRule type="expression" dxfId="256" priority="1022">
      <formula>$L$49="4"</formula>
    </cfRule>
  </conditionalFormatting>
  <conditionalFormatting sqref="L49">
    <cfRule type="expression" dxfId="255" priority="1021">
      <formula>$L$49="5"</formula>
    </cfRule>
  </conditionalFormatting>
  <conditionalFormatting sqref="L50">
    <cfRule type="expression" dxfId="254" priority="1005">
      <formula>$L$50="1"</formula>
    </cfRule>
  </conditionalFormatting>
  <conditionalFormatting sqref="L50">
    <cfRule type="expression" dxfId="253" priority="1004">
      <formula>$L$50="2"</formula>
    </cfRule>
  </conditionalFormatting>
  <conditionalFormatting sqref="L50">
    <cfRule type="expression" dxfId="252" priority="1003">
      <formula>$L$50="3"</formula>
    </cfRule>
  </conditionalFormatting>
  <conditionalFormatting sqref="L50">
    <cfRule type="expression" dxfId="251" priority="1002">
      <formula>$L$50="4"</formula>
    </cfRule>
  </conditionalFormatting>
  <conditionalFormatting sqref="L50">
    <cfRule type="expression" dxfId="250" priority="1001">
      <formula>$L$50="5"</formula>
    </cfRule>
  </conditionalFormatting>
  <conditionalFormatting sqref="L51">
    <cfRule type="expression" dxfId="249" priority="985">
      <formula>$L$51="1"</formula>
    </cfRule>
  </conditionalFormatting>
  <conditionalFormatting sqref="L51">
    <cfRule type="expression" dxfId="248" priority="984">
      <formula>$L$51="2"</formula>
    </cfRule>
  </conditionalFormatting>
  <conditionalFormatting sqref="L51">
    <cfRule type="expression" dxfId="247" priority="983">
      <formula>$L$51="3"</formula>
    </cfRule>
  </conditionalFormatting>
  <conditionalFormatting sqref="L51">
    <cfRule type="expression" dxfId="246" priority="982">
      <formula>$L$51="4"</formula>
    </cfRule>
  </conditionalFormatting>
  <conditionalFormatting sqref="L51">
    <cfRule type="expression" dxfId="245" priority="981">
      <formula>$L$51="5"</formula>
    </cfRule>
  </conditionalFormatting>
  <conditionalFormatting sqref="L52">
    <cfRule type="expression" dxfId="244" priority="965">
      <formula>$L$52="1"</formula>
    </cfRule>
  </conditionalFormatting>
  <conditionalFormatting sqref="L52">
    <cfRule type="expression" dxfId="243" priority="964">
      <formula>$L$52="2"</formula>
    </cfRule>
  </conditionalFormatting>
  <conditionalFormatting sqref="L52">
    <cfRule type="expression" dxfId="242" priority="963">
      <formula>$L$52="3"</formula>
    </cfRule>
  </conditionalFormatting>
  <conditionalFormatting sqref="L52">
    <cfRule type="expression" dxfId="241" priority="962">
      <formula>$L$52="4"</formula>
    </cfRule>
  </conditionalFormatting>
  <conditionalFormatting sqref="L52">
    <cfRule type="expression" dxfId="240" priority="961">
      <formula>$L$52="5"</formula>
    </cfRule>
  </conditionalFormatting>
  <conditionalFormatting sqref="L53">
    <cfRule type="expression" dxfId="239" priority="945">
      <formula>$L$53="1"</formula>
    </cfRule>
  </conditionalFormatting>
  <conditionalFormatting sqref="L53">
    <cfRule type="expression" dxfId="238" priority="944">
      <formula>$L$53="2"</formula>
    </cfRule>
  </conditionalFormatting>
  <conditionalFormatting sqref="L53">
    <cfRule type="expression" dxfId="237" priority="943">
      <formula>$L$53="3"</formula>
    </cfRule>
  </conditionalFormatting>
  <conditionalFormatting sqref="L53">
    <cfRule type="expression" dxfId="236" priority="942">
      <formula>$L$53="4"</formula>
    </cfRule>
  </conditionalFormatting>
  <conditionalFormatting sqref="L53">
    <cfRule type="expression" dxfId="235" priority="941">
      <formula>$L$53="5"</formula>
    </cfRule>
  </conditionalFormatting>
  <conditionalFormatting sqref="L54">
    <cfRule type="expression" dxfId="234" priority="925">
      <formula>$L$54="1"</formula>
    </cfRule>
  </conditionalFormatting>
  <conditionalFormatting sqref="L54">
    <cfRule type="expression" dxfId="233" priority="924">
      <formula>$L$54="2"</formula>
    </cfRule>
  </conditionalFormatting>
  <conditionalFormatting sqref="L54">
    <cfRule type="expression" dxfId="232" priority="923">
      <formula>$L$54="3"</formula>
    </cfRule>
  </conditionalFormatting>
  <conditionalFormatting sqref="L54">
    <cfRule type="expression" dxfId="231" priority="922">
      <formula>$L$54="4"</formula>
    </cfRule>
  </conditionalFormatting>
  <conditionalFormatting sqref="L54">
    <cfRule type="expression" dxfId="230" priority="921">
      <formula>$L$54="5"</formula>
    </cfRule>
  </conditionalFormatting>
  <conditionalFormatting sqref="L55">
    <cfRule type="expression" dxfId="229" priority="905">
      <formula>$L$55="1"</formula>
    </cfRule>
  </conditionalFormatting>
  <conditionalFormatting sqref="L55">
    <cfRule type="expression" dxfId="228" priority="904">
      <formula>$L$55="2"</formula>
    </cfRule>
  </conditionalFormatting>
  <conditionalFormatting sqref="L55">
    <cfRule type="expression" dxfId="227" priority="903">
      <formula>$L$55="3"</formula>
    </cfRule>
  </conditionalFormatting>
  <conditionalFormatting sqref="L55">
    <cfRule type="expression" dxfId="226" priority="902">
      <formula>$L$55="4"</formula>
    </cfRule>
  </conditionalFormatting>
  <conditionalFormatting sqref="L55">
    <cfRule type="expression" dxfId="225" priority="901">
      <formula>$L$55="5"</formula>
    </cfRule>
  </conditionalFormatting>
  <conditionalFormatting sqref="L56">
    <cfRule type="expression" dxfId="224" priority="885">
      <formula>$L$56="1"</formula>
    </cfRule>
  </conditionalFormatting>
  <conditionalFormatting sqref="L56">
    <cfRule type="expression" dxfId="223" priority="884">
      <formula>$L$56="2"</formula>
    </cfRule>
  </conditionalFormatting>
  <conditionalFormatting sqref="L56">
    <cfRule type="expression" dxfId="222" priority="883">
      <formula>$L$56="3"</formula>
    </cfRule>
  </conditionalFormatting>
  <conditionalFormatting sqref="L56">
    <cfRule type="expression" dxfId="221" priority="882">
      <formula>$L$56="4"</formula>
    </cfRule>
  </conditionalFormatting>
  <conditionalFormatting sqref="L56">
    <cfRule type="expression" dxfId="220" priority="881">
      <formula>$L$56="5"</formula>
    </cfRule>
  </conditionalFormatting>
  <conditionalFormatting sqref="L57">
    <cfRule type="expression" dxfId="219" priority="865">
      <formula>$L$57="1"</formula>
    </cfRule>
  </conditionalFormatting>
  <conditionalFormatting sqref="L57">
    <cfRule type="expression" dxfId="218" priority="864">
      <formula>$L$57="2"</formula>
    </cfRule>
  </conditionalFormatting>
  <conditionalFormatting sqref="L57">
    <cfRule type="expression" dxfId="217" priority="863">
      <formula>$L$57="3"</formula>
    </cfRule>
  </conditionalFormatting>
  <conditionalFormatting sqref="L57">
    <cfRule type="expression" dxfId="216" priority="862">
      <formula>$L$57="4"</formula>
    </cfRule>
  </conditionalFormatting>
  <conditionalFormatting sqref="L57">
    <cfRule type="expression" dxfId="215" priority="861">
      <formula>$L$57="5"</formula>
    </cfRule>
  </conditionalFormatting>
  <conditionalFormatting sqref="L58">
    <cfRule type="expression" dxfId="214" priority="845">
      <formula>$L$58="1"</formula>
    </cfRule>
  </conditionalFormatting>
  <conditionalFormatting sqref="L58">
    <cfRule type="expression" dxfId="213" priority="844">
      <formula>$L$58="2"</formula>
    </cfRule>
  </conditionalFormatting>
  <conditionalFormatting sqref="L58">
    <cfRule type="expression" dxfId="212" priority="843">
      <formula>$L$58="3"</formula>
    </cfRule>
  </conditionalFormatting>
  <conditionalFormatting sqref="L58">
    <cfRule type="expression" dxfId="211" priority="842">
      <formula>$L$58="4"</formula>
    </cfRule>
  </conditionalFormatting>
  <conditionalFormatting sqref="L58">
    <cfRule type="expression" dxfId="210" priority="841">
      <formula>$L$58="5"</formula>
    </cfRule>
  </conditionalFormatting>
  <conditionalFormatting sqref="L59">
    <cfRule type="expression" dxfId="209" priority="825">
      <formula>$L$59="1"</formula>
    </cfRule>
  </conditionalFormatting>
  <conditionalFormatting sqref="L59">
    <cfRule type="expression" dxfId="208" priority="824">
      <formula>$L$59="2"</formula>
    </cfRule>
  </conditionalFormatting>
  <conditionalFormatting sqref="L59">
    <cfRule type="expression" dxfId="207" priority="823">
      <formula>$L$59="3"</formula>
    </cfRule>
  </conditionalFormatting>
  <conditionalFormatting sqref="L59">
    <cfRule type="expression" dxfId="206" priority="822">
      <formula>$L$59="4"</formula>
    </cfRule>
  </conditionalFormatting>
  <conditionalFormatting sqref="L59">
    <cfRule type="expression" dxfId="205" priority="821">
      <formula>$L$59="5"</formula>
    </cfRule>
  </conditionalFormatting>
  <conditionalFormatting sqref="L60">
    <cfRule type="expression" dxfId="204" priority="805">
      <formula>$L$60="1"</formula>
    </cfRule>
  </conditionalFormatting>
  <conditionalFormatting sqref="L60">
    <cfRule type="expression" dxfId="203" priority="804">
      <formula>$L$60="2"</formula>
    </cfRule>
  </conditionalFormatting>
  <conditionalFormatting sqref="L60">
    <cfRule type="expression" dxfId="202" priority="803">
      <formula>$L$60="3"</formula>
    </cfRule>
  </conditionalFormatting>
  <conditionalFormatting sqref="L60">
    <cfRule type="expression" dxfId="201" priority="802">
      <formula>$L$60="4"</formula>
    </cfRule>
  </conditionalFormatting>
  <conditionalFormatting sqref="L60">
    <cfRule type="expression" dxfId="200" priority="801">
      <formula>$L$60="5"</formula>
    </cfRule>
  </conditionalFormatting>
  <conditionalFormatting sqref="L61">
    <cfRule type="expression" dxfId="199" priority="785">
      <formula>$L$61="1"</formula>
    </cfRule>
  </conditionalFormatting>
  <conditionalFormatting sqref="L61">
    <cfRule type="expression" dxfId="198" priority="784">
      <formula>$L$61="2"</formula>
    </cfRule>
  </conditionalFormatting>
  <conditionalFormatting sqref="L61">
    <cfRule type="expression" dxfId="197" priority="783">
      <formula>$L$61="3"</formula>
    </cfRule>
  </conditionalFormatting>
  <conditionalFormatting sqref="L61">
    <cfRule type="expression" dxfId="196" priority="782">
      <formula>$L$61="4"</formula>
    </cfRule>
  </conditionalFormatting>
  <conditionalFormatting sqref="L61">
    <cfRule type="expression" dxfId="195" priority="781">
      <formula>$L$61="5"</formula>
    </cfRule>
  </conditionalFormatting>
  <conditionalFormatting sqref="L62">
    <cfRule type="expression" dxfId="194" priority="765">
      <formula>$L$62="1"</formula>
    </cfRule>
  </conditionalFormatting>
  <conditionalFormatting sqref="L62">
    <cfRule type="expression" dxfId="193" priority="764">
      <formula>$L$62="2"</formula>
    </cfRule>
  </conditionalFormatting>
  <conditionalFormatting sqref="L62">
    <cfRule type="expression" dxfId="192" priority="763">
      <formula>$L$62="3"</formula>
    </cfRule>
  </conditionalFormatting>
  <conditionalFormatting sqref="L62">
    <cfRule type="expression" dxfId="191" priority="762">
      <formula>$L$62="4"</formula>
    </cfRule>
  </conditionalFormatting>
  <conditionalFormatting sqref="L62">
    <cfRule type="expression" dxfId="190" priority="761">
      <formula>$L$62="5"</formula>
    </cfRule>
  </conditionalFormatting>
  <conditionalFormatting sqref="L63">
    <cfRule type="expression" dxfId="189" priority="745">
      <formula>$L$63="1"</formula>
    </cfRule>
  </conditionalFormatting>
  <conditionalFormatting sqref="L63">
    <cfRule type="expression" dxfId="188" priority="744">
      <formula>$L$63="2"</formula>
    </cfRule>
  </conditionalFormatting>
  <conditionalFormatting sqref="L63">
    <cfRule type="expression" dxfId="187" priority="743">
      <formula>$L$63="3"</formula>
    </cfRule>
  </conditionalFormatting>
  <conditionalFormatting sqref="L63">
    <cfRule type="expression" dxfId="186" priority="742">
      <formula>$L$63="4"</formula>
    </cfRule>
  </conditionalFormatting>
  <conditionalFormatting sqref="L63">
    <cfRule type="expression" dxfId="185" priority="741">
      <formula>$L$63="5"</formula>
    </cfRule>
  </conditionalFormatting>
  <conditionalFormatting sqref="L64">
    <cfRule type="expression" dxfId="184" priority="725">
      <formula>$L$64="1"</formula>
    </cfRule>
  </conditionalFormatting>
  <conditionalFormatting sqref="L64">
    <cfRule type="expression" dxfId="183" priority="724">
      <formula>$L$64="2"</formula>
    </cfRule>
  </conditionalFormatting>
  <conditionalFormatting sqref="L64">
    <cfRule type="expression" dxfId="182" priority="723">
      <formula>$L$64="3"</formula>
    </cfRule>
  </conditionalFormatting>
  <conditionalFormatting sqref="L64">
    <cfRule type="expression" dxfId="181" priority="722">
      <formula>$L$64="4"</formula>
    </cfRule>
  </conditionalFormatting>
  <conditionalFormatting sqref="L64">
    <cfRule type="expression" dxfId="180" priority="721">
      <formula>$L$64="5"</formula>
    </cfRule>
  </conditionalFormatting>
  <conditionalFormatting sqref="L65">
    <cfRule type="expression" dxfId="179" priority="705">
      <formula>$L$65="1"</formula>
    </cfRule>
  </conditionalFormatting>
  <conditionalFormatting sqref="L65">
    <cfRule type="expression" dxfId="178" priority="704">
      <formula>$L$65="2"</formula>
    </cfRule>
  </conditionalFormatting>
  <conditionalFormatting sqref="L65">
    <cfRule type="expression" dxfId="177" priority="703">
      <formula>$L$65="3"</formula>
    </cfRule>
  </conditionalFormatting>
  <conditionalFormatting sqref="L65">
    <cfRule type="expression" dxfId="176" priority="702">
      <formula>$L$65="4"</formula>
    </cfRule>
  </conditionalFormatting>
  <conditionalFormatting sqref="L65">
    <cfRule type="expression" dxfId="175" priority="701">
      <formula>$L$65="5"</formula>
    </cfRule>
  </conditionalFormatting>
  <conditionalFormatting sqref="L66">
    <cfRule type="expression" dxfId="174" priority="685">
      <formula>$L$66="1"</formula>
    </cfRule>
  </conditionalFormatting>
  <conditionalFormatting sqref="L66">
    <cfRule type="expression" dxfId="173" priority="684">
      <formula>$L$66="2"</formula>
    </cfRule>
  </conditionalFormatting>
  <conditionalFormatting sqref="L66">
    <cfRule type="expression" dxfId="172" priority="683">
      <formula>$L$66="3"</formula>
    </cfRule>
  </conditionalFormatting>
  <conditionalFormatting sqref="L66">
    <cfRule type="expression" dxfId="171" priority="682">
      <formula>$L$66="4"</formula>
    </cfRule>
  </conditionalFormatting>
  <conditionalFormatting sqref="L66">
    <cfRule type="expression" dxfId="170" priority="681">
      <formula>$L$66="5"</formula>
    </cfRule>
  </conditionalFormatting>
  <conditionalFormatting sqref="L67">
    <cfRule type="expression" dxfId="169" priority="665">
      <formula>$L$67="1"</formula>
    </cfRule>
  </conditionalFormatting>
  <conditionalFormatting sqref="L67">
    <cfRule type="expression" dxfId="168" priority="664">
      <formula>$L$67="2"</formula>
    </cfRule>
  </conditionalFormatting>
  <conditionalFormatting sqref="L67">
    <cfRule type="expression" dxfId="167" priority="663">
      <formula>$L$67="3"</formula>
    </cfRule>
  </conditionalFormatting>
  <conditionalFormatting sqref="L67">
    <cfRule type="expression" dxfId="166" priority="662">
      <formula>$L$67="4"</formula>
    </cfRule>
  </conditionalFormatting>
  <conditionalFormatting sqref="L67">
    <cfRule type="expression" dxfId="165" priority="661">
      <formula>$L$67="5"</formula>
    </cfRule>
  </conditionalFormatting>
  <conditionalFormatting sqref="L68">
    <cfRule type="expression" dxfId="164" priority="645">
      <formula>$L$68="1"</formula>
    </cfRule>
  </conditionalFormatting>
  <conditionalFormatting sqref="L68">
    <cfRule type="expression" dxfId="163" priority="644">
      <formula>$L$68="2"</formula>
    </cfRule>
  </conditionalFormatting>
  <conditionalFormatting sqref="L68">
    <cfRule type="expression" dxfId="162" priority="643">
      <formula>$L$68="3"</formula>
    </cfRule>
  </conditionalFormatting>
  <conditionalFormatting sqref="L68">
    <cfRule type="expression" dxfId="161" priority="642">
      <formula>$L$68="4"</formula>
    </cfRule>
  </conditionalFormatting>
  <conditionalFormatting sqref="L68">
    <cfRule type="expression" dxfId="160" priority="641">
      <formula>$L$68="5"</formula>
    </cfRule>
  </conditionalFormatting>
  <conditionalFormatting sqref="L69">
    <cfRule type="expression" dxfId="159" priority="625">
      <formula>$L$69="1"</formula>
    </cfRule>
  </conditionalFormatting>
  <conditionalFormatting sqref="L69">
    <cfRule type="expression" dxfId="158" priority="624">
      <formula>$L$69="2"</formula>
    </cfRule>
  </conditionalFormatting>
  <conditionalFormatting sqref="L69">
    <cfRule type="expression" dxfId="157" priority="623">
      <formula>$L$69="3"</formula>
    </cfRule>
  </conditionalFormatting>
  <conditionalFormatting sqref="L69">
    <cfRule type="expression" dxfId="156" priority="622">
      <formula>$L$69="4"</formula>
    </cfRule>
  </conditionalFormatting>
  <conditionalFormatting sqref="L69">
    <cfRule type="expression" dxfId="155" priority="621">
      <formula>$L$69="5"</formula>
    </cfRule>
  </conditionalFormatting>
  <conditionalFormatting sqref="L70">
    <cfRule type="expression" dxfId="154" priority="605">
      <formula>$L$70="1"</formula>
    </cfRule>
  </conditionalFormatting>
  <conditionalFormatting sqref="L70">
    <cfRule type="expression" dxfId="153" priority="604">
      <formula>$L$70="2"</formula>
    </cfRule>
  </conditionalFormatting>
  <conditionalFormatting sqref="L70">
    <cfRule type="expression" dxfId="152" priority="603">
      <formula>$L$70="3"</formula>
    </cfRule>
  </conditionalFormatting>
  <conditionalFormatting sqref="L70">
    <cfRule type="expression" dxfId="151" priority="602">
      <formula>$L$70="4"</formula>
    </cfRule>
  </conditionalFormatting>
  <conditionalFormatting sqref="L70">
    <cfRule type="expression" dxfId="150" priority="601">
      <formula>$L$70="5"</formula>
    </cfRule>
  </conditionalFormatting>
  <conditionalFormatting sqref="L71">
    <cfRule type="expression" dxfId="149" priority="585">
      <formula>$L$71="1"</formula>
    </cfRule>
  </conditionalFormatting>
  <conditionalFormatting sqref="L71">
    <cfRule type="expression" dxfId="148" priority="584">
      <formula>$L$71="2"</formula>
    </cfRule>
  </conditionalFormatting>
  <conditionalFormatting sqref="L71">
    <cfRule type="expression" dxfId="147" priority="583">
      <formula>$L$71="3"</formula>
    </cfRule>
  </conditionalFormatting>
  <conditionalFormatting sqref="L71">
    <cfRule type="expression" dxfId="146" priority="582">
      <formula>$L$71="4"</formula>
    </cfRule>
  </conditionalFormatting>
  <conditionalFormatting sqref="L71">
    <cfRule type="expression" dxfId="145" priority="581">
      <formula>$L$71="5"</formula>
    </cfRule>
  </conditionalFormatting>
  <conditionalFormatting sqref="L72">
    <cfRule type="expression" dxfId="144" priority="565">
      <formula>$L$72="1"</formula>
    </cfRule>
  </conditionalFormatting>
  <conditionalFormatting sqref="L72">
    <cfRule type="expression" dxfId="143" priority="564">
      <formula>$L$72="2"</formula>
    </cfRule>
  </conditionalFormatting>
  <conditionalFormatting sqref="L72">
    <cfRule type="expression" dxfId="142" priority="563">
      <formula>$L$72="3"</formula>
    </cfRule>
  </conditionalFormatting>
  <conditionalFormatting sqref="L72">
    <cfRule type="expression" dxfId="141" priority="562">
      <formula>$L$72="4"</formula>
    </cfRule>
  </conditionalFormatting>
  <conditionalFormatting sqref="L72">
    <cfRule type="expression" dxfId="140" priority="561">
      <formula>$L$72="5"</formula>
    </cfRule>
  </conditionalFormatting>
  <conditionalFormatting sqref="L73">
    <cfRule type="expression" dxfId="139" priority="545">
      <formula>$L$73="1"</formula>
    </cfRule>
  </conditionalFormatting>
  <conditionalFormatting sqref="L73">
    <cfRule type="expression" dxfId="138" priority="544">
      <formula>$L$73="2"</formula>
    </cfRule>
  </conditionalFormatting>
  <conditionalFormatting sqref="L73">
    <cfRule type="expression" dxfId="137" priority="543">
      <formula>$L$73="3"</formula>
    </cfRule>
  </conditionalFormatting>
  <conditionalFormatting sqref="L73">
    <cfRule type="expression" dxfId="136" priority="542">
      <formula>$L$73="4"</formula>
    </cfRule>
  </conditionalFormatting>
  <conditionalFormatting sqref="L73">
    <cfRule type="expression" dxfId="135" priority="541">
      <formula>$L$73="5"</formula>
    </cfRule>
  </conditionalFormatting>
  <conditionalFormatting sqref="L74">
    <cfRule type="expression" dxfId="134" priority="525">
      <formula>$L$74="1"</formula>
    </cfRule>
  </conditionalFormatting>
  <conditionalFormatting sqref="L74">
    <cfRule type="expression" dxfId="133" priority="524">
      <formula>$L$74="2"</formula>
    </cfRule>
  </conditionalFormatting>
  <conditionalFormatting sqref="L74">
    <cfRule type="expression" dxfId="132" priority="523">
      <formula>$L$74="3"</formula>
    </cfRule>
  </conditionalFormatting>
  <conditionalFormatting sqref="L74">
    <cfRule type="expression" dxfId="131" priority="522">
      <formula>$L$74="4"</formula>
    </cfRule>
  </conditionalFormatting>
  <conditionalFormatting sqref="L74">
    <cfRule type="expression" dxfId="130" priority="521">
      <formula>$L$74="5"</formula>
    </cfRule>
  </conditionalFormatting>
  <conditionalFormatting sqref="L75">
    <cfRule type="expression" dxfId="129" priority="505">
      <formula>$L$75="1"</formula>
    </cfRule>
  </conditionalFormatting>
  <conditionalFormatting sqref="L75">
    <cfRule type="expression" dxfId="128" priority="504">
      <formula>$L$75="2"</formula>
    </cfRule>
  </conditionalFormatting>
  <conditionalFormatting sqref="L75">
    <cfRule type="expression" dxfId="127" priority="503">
      <formula>$L$75="3"</formula>
    </cfRule>
  </conditionalFormatting>
  <conditionalFormatting sqref="L75">
    <cfRule type="expression" dxfId="126" priority="502">
      <formula>$L$75="4"</formula>
    </cfRule>
  </conditionalFormatting>
  <conditionalFormatting sqref="L75">
    <cfRule type="expression" dxfId="125" priority="501">
      <formula>$L$75="5"</formula>
    </cfRule>
  </conditionalFormatting>
  <conditionalFormatting sqref="L76">
    <cfRule type="expression" dxfId="124" priority="485">
      <formula>$L$76="1"</formula>
    </cfRule>
  </conditionalFormatting>
  <conditionalFormatting sqref="L76">
    <cfRule type="expression" dxfId="123" priority="484">
      <formula>$L$76="2"</formula>
    </cfRule>
  </conditionalFormatting>
  <conditionalFormatting sqref="L76">
    <cfRule type="expression" dxfId="122" priority="483">
      <formula>$L$76="3"</formula>
    </cfRule>
  </conditionalFormatting>
  <conditionalFormatting sqref="L76">
    <cfRule type="expression" dxfId="121" priority="482">
      <formula>$L$76="4"</formula>
    </cfRule>
  </conditionalFormatting>
  <conditionalFormatting sqref="L76">
    <cfRule type="expression" dxfId="120" priority="481">
      <formula>$L$76="5"</formula>
    </cfRule>
  </conditionalFormatting>
  <conditionalFormatting sqref="L77">
    <cfRule type="expression" dxfId="119" priority="465">
      <formula>$L$77="1"</formula>
    </cfRule>
  </conditionalFormatting>
  <conditionalFormatting sqref="L77">
    <cfRule type="expression" dxfId="118" priority="464">
      <formula>$L$77="2"</formula>
    </cfRule>
  </conditionalFormatting>
  <conditionalFormatting sqref="L77">
    <cfRule type="expression" dxfId="117" priority="463">
      <formula>$L$77="3"</formula>
    </cfRule>
  </conditionalFormatting>
  <conditionalFormatting sqref="L77">
    <cfRule type="expression" dxfId="116" priority="462">
      <formula>$L$77="4"</formula>
    </cfRule>
  </conditionalFormatting>
  <conditionalFormatting sqref="L77">
    <cfRule type="expression" dxfId="115" priority="461">
      <formula>$L$77="5"</formula>
    </cfRule>
  </conditionalFormatting>
  <conditionalFormatting sqref="L78">
    <cfRule type="expression" dxfId="114" priority="445">
      <formula>$L$78="1"</formula>
    </cfRule>
  </conditionalFormatting>
  <conditionalFormatting sqref="L78">
    <cfRule type="expression" dxfId="113" priority="444">
      <formula>$L$78="2"</formula>
    </cfRule>
  </conditionalFormatting>
  <conditionalFormatting sqref="L78">
    <cfRule type="expression" dxfId="112" priority="443">
      <formula>$L$78="3"</formula>
    </cfRule>
  </conditionalFormatting>
  <conditionalFormatting sqref="L78">
    <cfRule type="expression" dxfId="111" priority="442">
      <formula>$L$78="4"</formula>
    </cfRule>
  </conditionalFormatting>
  <conditionalFormatting sqref="L78">
    <cfRule type="expression" dxfId="110" priority="441">
      <formula>$L$78="5"</formula>
    </cfRule>
  </conditionalFormatting>
  <conditionalFormatting sqref="L79">
    <cfRule type="expression" dxfId="109" priority="425">
      <formula>$L$79="1"</formula>
    </cfRule>
  </conditionalFormatting>
  <conditionalFormatting sqref="L79">
    <cfRule type="expression" dxfId="108" priority="424">
      <formula>$L$79="2"</formula>
    </cfRule>
  </conditionalFormatting>
  <conditionalFormatting sqref="L79">
    <cfRule type="expression" dxfId="107" priority="423">
      <formula>$L$79="3"</formula>
    </cfRule>
  </conditionalFormatting>
  <conditionalFormatting sqref="L79">
    <cfRule type="expression" dxfId="106" priority="422">
      <formula>$L$79="4"</formula>
    </cfRule>
  </conditionalFormatting>
  <conditionalFormatting sqref="L79">
    <cfRule type="expression" dxfId="105" priority="421">
      <formula>$L$79="5"</formula>
    </cfRule>
  </conditionalFormatting>
  <conditionalFormatting sqref="L80">
    <cfRule type="expression" dxfId="104" priority="405">
      <formula>$L$80="1"</formula>
    </cfRule>
  </conditionalFormatting>
  <conditionalFormatting sqref="L80">
    <cfRule type="expression" dxfId="103" priority="404">
      <formula>$L$80="2"</formula>
    </cfRule>
  </conditionalFormatting>
  <conditionalFormatting sqref="L80">
    <cfRule type="expression" dxfId="102" priority="403">
      <formula>$L$80="3"</formula>
    </cfRule>
  </conditionalFormatting>
  <conditionalFormatting sqref="L80">
    <cfRule type="expression" dxfId="101" priority="402">
      <formula>$L$80="4"</formula>
    </cfRule>
  </conditionalFormatting>
  <conditionalFormatting sqref="L80">
    <cfRule type="expression" dxfId="100" priority="401">
      <formula>$L$80="5"</formula>
    </cfRule>
  </conditionalFormatting>
  <conditionalFormatting sqref="L81">
    <cfRule type="expression" dxfId="99" priority="385">
      <formula>$L$81="1"</formula>
    </cfRule>
  </conditionalFormatting>
  <conditionalFormatting sqref="L81">
    <cfRule type="expression" dxfId="98" priority="384">
      <formula>$L$81="2"</formula>
    </cfRule>
  </conditionalFormatting>
  <conditionalFormatting sqref="L81">
    <cfRule type="expression" dxfId="97" priority="383">
      <formula>$L$81="3"</formula>
    </cfRule>
  </conditionalFormatting>
  <conditionalFormatting sqref="L81">
    <cfRule type="expression" dxfId="96" priority="382">
      <formula>$L$81="4"</formula>
    </cfRule>
  </conditionalFormatting>
  <conditionalFormatting sqref="L81">
    <cfRule type="expression" dxfId="95" priority="381">
      <formula>$L$81="5"</formula>
    </cfRule>
  </conditionalFormatting>
  <conditionalFormatting sqref="L82">
    <cfRule type="expression" dxfId="94" priority="365">
      <formula>$L$82="1"</formula>
    </cfRule>
  </conditionalFormatting>
  <conditionalFormatting sqref="L82">
    <cfRule type="expression" dxfId="93" priority="364">
      <formula>$L$82="2"</formula>
    </cfRule>
  </conditionalFormatting>
  <conditionalFormatting sqref="L82">
    <cfRule type="expression" dxfId="92" priority="363">
      <formula>$L$82="3"</formula>
    </cfRule>
  </conditionalFormatting>
  <conditionalFormatting sqref="L82">
    <cfRule type="expression" dxfId="91" priority="362">
      <formula>$L$82="4"</formula>
    </cfRule>
  </conditionalFormatting>
  <conditionalFormatting sqref="L82">
    <cfRule type="expression" dxfId="90" priority="361">
      <formula>$L$82="5"</formula>
    </cfRule>
  </conditionalFormatting>
  <conditionalFormatting sqref="L83">
    <cfRule type="expression" dxfId="89" priority="345">
      <formula>$L$83="1"</formula>
    </cfRule>
  </conditionalFormatting>
  <conditionalFormatting sqref="L83">
    <cfRule type="expression" dxfId="88" priority="344">
      <formula>$L$83="2"</formula>
    </cfRule>
  </conditionalFormatting>
  <conditionalFormatting sqref="L83">
    <cfRule type="expression" dxfId="87" priority="343">
      <formula>$L$83="3"</formula>
    </cfRule>
  </conditionalFormatting>
  <conditionalFormatting sqref="L83">
    <cfRule type="expression" dxfId="86" priority="342">
      <formula>$L$83="4"</formula>
    </cfRule>
  </conditionalFormatting>
  <conditionalFormatting sqref="L83">
    <cfRule type="expression" dxfId="85" priority="341">
      <formula>$L$83="5"</formula>
    </cfRule>
  </conditionalFormatting>
  <conditionalFormatting sqref="L84">
    <cfRule type="expression" dxfId="84" priority="325">
      <formula>$L$84="1"</formula>
    </cfRule>
  </conditionalFormatting>
  <conditionalFormatting sqref="L84">
    <cfRule type="expression" dxfId="83" priority="324">
      <formula>$L$84="2"</formula>
    </cfRule>
  </conditionalFormatting>
  <conditionalFormatting sqref="L84">
    <cfRule type="expression" dxfId="82" priority="323">
      <formula>$L$84="3"</formula>
    </cfRule>
  </conditionalFormatting>
  <conditionalFormatting sqref="L84">
    <cfRule type="expression" dxfId="81" priority="322">
      <formula>$L$84="4"</formula>
    </cfRule>
  </conditionalFormatting>
  <conditionalFormatting sqref="L84">
    <cfRule type="expression" dxfId="80" priority="321">
      <formula>$L$84="5"</formula>
    </cfRule>
  </conditionalFormatting>
  <conditionalFormatting sqref="L85">
    <cfRule type="expression" dxfId="79" priority="305">
      <formula>$L$85="1"</formula>
    </cfRule>
  </conditionalFormatting>
  <conditionalFormatting sqref="L85">
    <cfRule type="expression" dxfId="78" priority="304">
      <formula>$L$85="2"</formula>
    </cfRule>
  </conditionalFormatting>
  <conditionalFormatting sqref="L85">
    <cfRule type="expression" dxfId="77" priority="303">
      <formula>$L$85="3"</formula>
    </cfRule>
  </conditionalFormatting>
  <conditionalFormatting sqref="L85">
    <cfRule type="expression" dxfId="76" priority="302">
      <formula>$L$85="4"</formula>
    </cfRule>
  </conditionalFormatting>
  <conditionalFormatting sqref="L85">
    <cfRule type="expression" dxfId="75" priority="301">
      <formula>$L$85="5"</formula>
    </cfRule>
  </conditionalFormatting>
  <conditionalFormatting sqref="L86">
    <cfRule type="expression" dxfId="74" priority="285">
      <formula>$L$86="1"</formula>
    </cfRule>
  </conditionalFormatting>
  <conditionalFormatting sqref="L86">
    <cfRule type="expression" dxfId="73" priority="284">
      <formula>$L$86="2"</formula>
    </cfRule>
  </conditionalFormatting>
  <conditionalFormatting sqref="L86">
    <cfRule type="expression" dxfId="72" priority="283">
      <formula>$L$86="3"</formula>
    </cfRule>
  </conditionalFormatting>
  <conditionalFormatting sqref="L86">
    <cfRule type="expression" dxfId="71" priority="282">
      <formula>$L$86="4"</formula>
    </cfRule>
  </conditionalFormatting>
  <conditionalFormatting sqref="L86">
    <cfRule type="expression" dxfId="70" priority="281">
      <formula>$L$86="5"</formula>
    </cfRule>
  </conditionalFormatting>
  <conditionalFormatting sqref="L87">
    <cfRule type="expression" dxfId="69" priority="265">
      <formula>$L$87="1"</formula>
    </cfRule>
  </conditionalFormatting>
  <conditionalFormatting sqref="L87">
    <cfRule type="expression" dxfId="68" priority="264">
      <formula>$L$87="2"</formula>
    </cfRule>
  </conditionalFormatting>
  <conditionalFormatting sqref="L87">
    <cfRule type="expression" dxfId="67" priority="263">
      <formula>$L$87="3"</formula>
    </cfRule>
  </conditionalFormatting>
  <conditionalFormatting sqref="L87">
    <cfRule type="expression" dxfId="66" priority="262">
      <formula>$L$87="4"</formula>
    </cfRule>
  </conditionalFormatting>
  <conditionalFormatting sqref="L87">
    <cfRule type="expression" dxfId="65" priority="261">
      <formula>$L$87="5"</formula>
    </cfRule>
  </conditionalFormatting>
  <conditionalFormatting sqref="L88">
    <cfRule type="expression" dxfId="64" priority="245">
      <formula>$L$88="1"</formula>
    </cfRule>
  </conditionalFormatting>
  <conditionalFormatting sqref="L88">
    <cfRule type="expression" dxfId="63" priority="244">
      <formula>$L$88="2"</formula>
    </cfRule>
  </conditionalFormatting>
  <conditionalFormatting sqref="L88">
    <cfRule type="expression" dxfId="62" priority="243">
      <formula>$L$88="3"</formula>
    </cfRule>
  </conditionalFormatting>
  <conditionalFormatting sqref="L88">
    <cfRule type="expression" dxfId="61" priority="242">
      <formula>$L$88="4"</formula>
    </cfRule>
  </conditionalFormatting>
  <conditionalFormatting sqref="L88">
    <cfRule type="expression" dxfId="60" priority="241">
      <formula>$L$88="5"</formula>
    </cfRule>
  </conditionalFormatting>
  <conditionalFormatting sqref="L89">
    <cfRule type="expression" dxfId="59" priority="225">
      <formula>$L$89="1"</formula>
    </cfRule>
  </conditionalFormatting>
  <conditionalFormatting sqref="L89">
    <cfRule type="expression" dxfId="58" priority="224">
      <formula>$L$89="2"</formula>
    </cfRule>
  </conditionalFormatting>
  <conditionalFormatting sqref="L89">
    <cfRule type="expression" dxfId="57" priority="223">
      <formula>$L$89="3"</formula>
    </cfRule>
  </conditionalFormatting>
  <conditionalFormatting sqref="L89">
    <cfRule type="expression" dxfId="56" priority="222">
      <formula>$L$89="4"</formula>
    </cfRule>
  </conditionalFormatting>
  <conditionalFormatting sqref="L89">
    <cfRule type="expression" dxfId="55" priority="221">
      <formula>$L$89="5"</formula>
    </cfRule>
  </conditionalFormatting>
  <conditionalFormatting sqref="L90">
    <cfRule type="expression" dxfId="54" priority="205">
      <formula>$L$90="1"</formula>
    </cfRule>
  </conditionalFormatting>
  <conditionalFormatting sqref="L90">
    <cfRule type="expression" dxfId="53" priority="204">
      <formula>$L$90="2"</formula>
    </cfRule>
  </conditionalFormatting>
  <conditionalFormatting sqref="L90">
    <cfRule type="expression" dxfId="52" priority="203">
      <formula>$L$90="3"</formula>
    </cfRule>
  </conditionalFormatting>
  <conditionalFormatting sqref="L90">
    <cfRule type="expression" dxfId="51" priority="202">
      <formula>$L$90="4"</formula>
    </cfRule>
  </conditionalFormatting>
  <conditionalFormatting sqref="L90">
    <cfRule type="expression" dxfId="50" priority="201">
      <formula>$L$90="5"</formula>
    </cfRule>
  </conditionalFormatting>
  <conditionalFormatting sqref="L91">
    <cfRule type="expression" dxfId="49" priority="185">
      <formula>$L$91="1"</formula>
    </cfRule>
  </conditionalFormatting>
  <conditionalFormatting sqref="L91">
    <cfRule type="expression" dxfId="48" priority="184">
      <formula>$L$91="2"</formula>
    </cfRule>
  </conditionalFormatting>
  <conditionalFormatting sqref="L91">
    <cfRule type="expression" dxfId="47" priority="183">
      <formula>$L$91="3"</formula>
    </cfRule>
  </conditionalFormatting>
  <conditionalFormatting sqref="L91">
    <cfRule type="expression" dxfId="46" priority="182">
      <formula>$L$91="4"</formula>
    </cfRule>
  </conditionalFormatting>
  <conditionalFormatting sqref="L91">
    <cfRule type="expression" dxfId="45" priority="181">
      <formula>$L$91="5"</formula>
    </cfRule>
  </conditionalFormatting>
  <conditionalFormatting sqref="L92">
    <cfRule type="expression" dxfId="44" priority="165">
      <formula>$L$92="1"</formula>
    </cfRule>
  </conditionalFormatting>
  <conditionalFormatting sqref="L92">
    <cfRule type="expression" dxfId="43" priority="164">
      <formula>$L$92="2"</formula>
    </cfRule>
  </conditionalFormatting>
  <conditionalFormatting sqref="L92">
    <cfRule type="expression" dxfId="42" priority="163">
      <formula>$L$92="3"</formula>
    </cfRule>
  </conditionalFormatting>
  <conditionalFormatting sqref="L92">
    <cfRule type="expression" dxfId="41" priority="162">
      <formula>$L$92="4"</formula>
    </cfRule>
  </conditionalFormatting>
  <conditionalFormatting sqref="L92">
    <cfRule type="expression" dxfId="40" priority="161">
      <formula>$L$92="5"</formula>
    </cfRule>
  </conditionalFormatting>
  <conditionalFormatting sqref="L93">
    <cfRule type="expression" dxfId="39" priority="145">
      <formula>$L$93="1"</formula>
    </cfRule>
  </conditionalFormatting>
  <conditionalFormatting sqref="L93">
    <cfRule type="expression" dxfId="38" priority="144">
      <formula>$L$93="2"</formula>
    </cfRule>
  </conditionalFormatting>
  <conditionalFormatting sqref="L93">
    <cfRule type="expression" dxfId="37" priority="143">
      <formula>$L$93="3"</formula>
    </cfRule>
  </conditionalFormatting>
  <conditionalFormatting sqref="L93">
    <cfRule type="expression" dxfId="36" priority="142">
      <formula>$L$93="4"</formula>
    </cfRule>
  </conditionalFormatting>
  <conditionalFormatting sqref="L93">
    <cfRule type="expression" dxfId="35" priority="141">
      <formula>$L$93="5"</formula>
    </cfRule>
  </conditionalFormatting>
  <conditionalFormatting sqref="L94">
    <cfRule type="expression" dxfId="34" priority="125">
      <formula>$L$94="1"</formula>
    </cfRule>
  </conditionalFormatting>
  <conditionalFormatting sqref="L94">
    <cfRule type="expression" dxfId="33" priority="124">
      <formula>$L$94="2"</formula>
    </cfRule>
  </conditionalFormatting>
  <conditionalFormatting sqref="L94">
    <cfRule type="expression" dxfId="32" priority="123">
      <formula>$L$94="3"</formula>
    </cfRule>
  </conditionalFormatting>
  <conditionalFormatting sqref="L94">
    <cfRule type="expression" dxfId="31" priority="122">
      <formula>$L$94="4"</formula>
    </cfRule>
  </conditionalFormatting>
  <conditionalFormatting sqref="L94">
    <cfRule type="expression" dxfId="30" priority="121">
      <formula>$L$94="5"</formula>
    </cfRule>
  </conditionalFormatting>
  <conditionalFormatting sqref="L95">
    <cfRule type="expression" dxfId="29" priority="105">
      <formula>$L$95="1"</formula>
    </cfRule>
  </conditionalFormatting>
  <conditionalFormatting sqref="L95">
    <cfRule type="expression" dxfId="28" priority="104">
      <formula>$L$95="2"</formula>
    </cfRule>
  </conditionalFormatting>
  <conditionalFormatting sqref="L95">
    <cfRule type="expression" dxfId="27" priority="103">
      <formula>$L$95="3"</formula>
    </cfRule>
  </conditionalFormatting>
  <conditionalFormatting sqref="L95">
    <cfRule type="expression" dxfId="26" priority="102">
      <formula>$L$95="4"</formula>
    </cfRule>
  </conditionalFormatting>
  <conditionalFormatting sqref="L95">
    <cfRule type="expression" dxfId="25" priority="101">
      <formula>$L$95="5"</formula>
    </cfRule>
  </conditionalFormatting>
  <conditionalFormatting sqref="L96">
    <cfRule type="expression" dxfId="24" priority="85">
      <formula>$L$96="1"</formula>
    </cfRule>
  </conditionalFormatting>
  <conditionalFormatting sqref="L96">
    <cfRule type="expression" dxfId="23" priority="84">
      <formula>$L$96="2"</formula>
    </cfRule>
  </conditionalFormatting>
  <conditionalFormatting sqref="L96">
    <cfRule type="expression" dxfId="22" priority="83">
      <formula>$L$96="3"</formula>
    </cfRule>
  </conditionalFormatting>
  <conditionalFormatting sqref="L96">
    <cfRule type="expression" dxfId="21" priority="82">
      <formula>$L$96="4"</formula>
    </cfRule>
  </conditionalFormatting>
  <conditionalFormatting sqref="L96">
    <cfRule type="expression" dxfId="20" priority="81">
      <formula>$L$96="5"</formula>
    </cfRule>
  </conditionalFormatting>
  <conditionalFormatting sqref="L97">
    <cfRule type="expression" dxfId="19" priority="65">
      <formula>$L$97="1"</formula>
    </cfRule>
  </conditionalFormatting>
  <conditionalFormatting sqref="L97">
    <cfRule type="expression" dxfId="18" priority="64">
      <formula>$L$97="2"</formula>
    </cfRule>
  </conditionalFormatting>
  <conditionalFormatting sqref="L97">
    <cfRule type="expression" dxfId="17" priority="63">
      <formula>$L$97="3"</formula>
    </cfRule>
  </conditionalFormatting>
  <conditionalFormatting sqref="L97">
    <cfRule type="expression" dxfId="16" priority="62">
      <formula>$L$97="4"</formula>
    </cfRule>
  </conditionalFormatting>
  <conditionalFormatting sqref="L97">
    <cfRule type="expression" dxfId="15" priority="61">
      <formula>$L$97="5"</formula>
    </cfRule>
  </conditionalFormatting>
  <conditionalFormatting sqref="L98">
    <cfRule type="expression" dxfId="14" priority="45">
      <formula>$L$98="1"</formula>
    </cfRule>
  </conditionalFormatting>
  <conditionalFormatting sqref="L98">
    <cfRule type="expression" dxfId="13" priority="44">
      <formula>$L$98="2"</formula>
    </cfRule>
  </conditionalFormatting>
  <conditionalFormatting sqref="L98">
    <cfRule type="expression" dxfId="12" priority="43">
      <formula>$L$98="3"</formula>
    </cfRule>
  </conditionalFormatting>
  <conditionalFormatting sqref="L98">
    <cfRule type="expression" dxfId="11" priority="42">
      <formula>$L$98="4"</formula>
    </cfRule>
  </conditionalFormatting>
  <conditionalFormatting sqref="L98">
    <cfRule type="expression" dxfId="10" priority="41">
      <formula>$L$98="5"</formula>
    </cfRule>
  </conditionalFormatting>
  <conditionalFormatting sqref="L99">
    <cfRule type="expression" dxfId="9" priority="25">
      <formula>$L$99="1"</formula>
    </cfRule>
  </conditionalFormatting>
  <conditionalFormatting sqref="L99">
    <cfRule type="expression" dxfId="8" priority="24">
      <formula>$L$99="2"</formula>
    </cfRule>
  </conditionalFormatting>
  <conditionalFormatting sqref="L99">
    <cfRule type="expression" dxfId="7" priority="23">
      <formula>$L$99="3"</formula>
    </cfRule>
  </conditionalFormatting>
  <conditionalFormatting sqref="L99">
    <cfRule type="expression" dxfId="6" priority="22">
      <formula>$L$99="4"</formula>
    </cfRule>
  </conditionalFormatting>
  <conditionalFormatting sqref="L99">
    <cfRule type="expression" dxfId="5" priority="21">
      <formula>$L$99="5"</formula>
    </cfRule>
  </conditionalFormatting>
  <conditionalFormatting sqref="L100">
    <cfRule type="expression" dxfId="4" priority="5">
      <formula>$L$100="1"</formula>
    </cfRule>
  </conditionalFormatting>
  <conditionalFormatting sqref="L100">
    <cfRule type="expression" dxfId="3" priority="4">
      <formula>$L$100="2"</formula>
    </cfRule>
  </conditionalFormatting>
  <conditionalFormatting sqref="L100">
    <cfRule type="expression" dxfId="2" priority="3">
      <formula>$L$100="3"</formula>
    </cfRule>
  </conditionalFormatting>
  <conditionalFormatting sqref="L100">
    <cfRule type="expression" dxfId="1" priority="2">
      <formula>$L$100="4"</formula>
    </cfRule>
  </conditionalFormatting>
  <conditionalFormatting sqref="L100">
    <cfRule type="expression" dxfId="0" priority="1">
      <formula>$L$100="5"</formula>
    </cfRule>
  </conditionalFormatting>
  <dataValidations count="4">
    <dataValidation type="list" allowBlank="1" showInputMessage="1" showErrorMessage="1" sqref="O11:O1009">
      <formula1>stat</formula1>
    </dataValidation>
    <dataValidation type="list" allowBlank="1" showInputMessage="1" showErrorMessage="1" sqref="K11:K1009">
      <formula1>LB_PRJ_NAMES</formula1>
    </dataValidation>
    <dataValidation type="list" allowBlank="1" showInputMessage="1" showErrorMessage="1" sqref="I11:I1009">
      <formula1>TASK_TYPES</formula1>
    </dataValidation>
    <dataValidation type="list" allowBlank="1" showInputMessage="1" showErrorMessage="1" sqref="L11:L1009">
      <formula1>PRIORITY_VAL</formula1>
    </dataValidation>
  </dataValidations>
  <pageMargins left="0.7" right="0.7" top="0.75" bottom="0.75" header="0.3" footer="0.3"/>
  <pageSetup paperSize="9" scale="51" fitToHeight="0" orientation="landscape" r:id="rId1"/>
  <ignoredErrors>
    <ignoredError sqref="F8" unlockedFormula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P7"/>
  <sheetViews>
    <sheetView showGridLines="0" zoomScale="90" zoomScaleNormal="90" workbookViewId="0">
      <selection activeCell="C4" sqref="C4"/>
    </sheetView>
  </sheetViews>
  <sheetFormatPr baseColWidth="10" defaultRowHeight="12.75" x14ac:dyDescent="0.2"/>
  <cols>
    <col min="1" max="1" width="2.7109375" style="112" customWidth="1"/>
    <col min="2" max="2" width="28" style="112" customWidth="1"/>
    <col min="3" max="3" width="14.7109375" style="112" bestFit="1" customWidth="1"/>
    <col min="4" max="16384" width="11.42578125" style="112"/>
  </cols>
  <sheetData>
    <row r="1" spans="1:42" ht="7.5" customHeight="1" x14ac:dyDescent="0.2"/>
    <row r="2" spans="1:42" ht="23.25" customHeight="1" x14ac:dyDescent="0.2">
      <c r="B2" s="115" t="s">
        <v>1124</v>
      </c>
      <c r="C2" s="116"/>
      <c r="D2" s="146" t="s">
        <v>1043</v>
      </c>
      <c r="E2" s="146"/>
      <c r="F2" s="146"/>
      <c r="G2" s="147">
        <f ca="1">IF(WEEKNUM(TODAY())&lt;10,VALUE(CONCATENATE(YEAR(TODAY()),"0",WEEKNUM(TODAY()))),VALUE(CONCATENATE(YEAR(TODAY()),WEEKNUM(TODAY()))))</f>
        <v>201713</v>
      </c>
      <c r="H2" s="147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6"/>
      <c r="AB2" s="116"/>
      <c r="AC2" s="116"/>
      <c r="AD2" s="116"/>
      <c r="AE2" s="116"/>
      <c r="AF2" s="116"/>
      <c r="AG2" s="116"/>
      <c r="AH2" s="116"/>
      <c r="AI2" s="116"/>
      <c r="AJ2" s="116"/>
      <c r="AK2" s="116"/>
      <c r="AL2" s="116"/>
      <c r="AM2" s="116"/>
      <c r="AN2" s="116"/>
      <c r="AO2" s="116"/>
      <c r="AP2" s="116"/>
    </row>
    <row r="3" spans="1:42" ht="6.75" customHeight="1" thickBot="1" x14ac:dyDescent="0.25"/>
    <row r="4" spans="1:42" ht="29.25" customHeight="1" thickBot="1" x14ac:dyDescent="0.25">
      <c r="B4" s="136" t="s">
        <v>1094</v>
      </c>
      <c r="C4" s="135">
        <v>201713</v>
      </c>
    </row>
    <row r="5" spans="1:42" customFormat="1" ht="44.25" customHeight="1" x14ac:dyDescent="0.2">
      <c r="A5" s="112"/>
      <c r="B5" s="112"/>
      <c r="C5" s="117"/>
      <c r="D5" s="80">
        <f>C4</f>
        <v>201713</v>
      </c>
      <c r="E5" s="80">
        <f>D5+1</f>
        <v>201714</v>
      </c>
      <c r="F5" s="80">
        <f t="shared" ref="F5:AP5" si="0">E5+1</f>
        <v>201715</v>
      </c>
      <c r="G5" s="80">
        <f t="shared" si="0"/>
        <v>201716</v>
      </c>
      <c r="H5" s="80">
        <f t="shared" si="0"/>
        <v>201717</v>
      </c>
      <c r="I5" s="80">
        <f t="shared" si="0"/>
        <v>201718</v>
      </c>
      <c r="J5" s="80">
        <f t="shared" si="0"/>
        <v>201719</v>
      </c>
      <c r="K5" s="80">
        <f t="shared" si="0"/>
        <v>201720</v>
      </c>
      <c r="L5" s="80">
        <f t="shared" si="0"/>
        <v>201721</v>
      </c>
      <c r="M5" s="80">
        <f t="shared" si="0"/>
        <v>201722</v>
      </c>
      <c r="N5" s="80">
        <f t="shared" si="0"/>
        <v>201723</v>
      </c>
      <c r="O5" s="80">
        <f t="shared" si="0"/>
        <v>201724</v>
      </c>
      <c r="P5" s="80">
        <f t="shared" si="0"/>
        <v>201725</v>
      </c>
      <c r="Q5" s="80">
        <f t="shared" si="0"/>
        <v>201726</v>
      </c>
      <c r="R5" s="80">
        <f t="shared" si="0"/>
        <v>201727</v>
      </c>
      <c r="S5" s="80">
        <f t="shared" si="0"/>
        <v>201728</v>
      </c>
      <c r="T5" s="80">
        <f t="shared" si="0"/>
        <v>201729</v>
      </c>
      <c r="U5" s="80">
        <f t="shared" si="0"/>
        <v>201730</v>
      </c>
      <c r="V5" s="80">
        <f t="shared" si="0"/>
        <v>201731</v>
      </c>
      <c r="W5" s="80">
        <f t="shared" si="0"/>
        <v>201732</v>
      </c>
      <c r="X5" s="80">
        <f t="shared" si="0"/>
        <v>201733</v>
      </c>
      <c r="Y5" s="80">
        <f t="shared" si="0"/>
        <v>201734</v>
      </c>
      <c r="Z5" s="80">
        <f t="shared" si="0"/>
        <v>201735</v>
      </c>
      <c r="AA5" s="80">
        <f t="shared" si="0"/>
        <v>201736</v>
      </c>
      <c r="AB5" s="80">
        <f t="shared" si="0"/>
        <v>201737</v>
      </c>
      <c r="AC5" s="80">
        <f t="shared" si="0"/>
        <v>201738</v>
      </c>
      <c r="AD5" s="80">
        <f t="shared" si="0"/>
        <v>201739</v>
      </c>
      <c r="AE5" s="80">
        <f t="shared" si="0"/>
        <v>201740</v>
      </c>
      <c r="AF5" s="80">
        <f t="shared" si="0"/>
        <v>201741</v>
      </c>
      <c r="AG5" s="80">
        <f t="shared" si="0"/>
        <v>201742</v>
      </c>
      <c r="AH5" s="80">
        <f t="shared" si="0"/>
        <v>201743</v>
      </c>
      <c r="AI5" s="80">
        <f t="shared" si="0"/>
        <v>201744</v>
      </c>
      <c r="AJ5" s="80">
        <f t="shared" si="0"/>
        <v>201745</v>
      </c>
      <c r="AK5" s="80">
        <f t="shared" si="0"/>
        <v>201746</v>
      </c>
      <c r="AL5" s="80">
        <f t="shared" si="0"/>
        <v>201747</v>
      </c>
      <c r="AM5" s="80">
        <f t="shared" si="0"/>
        <v>201748</v>
      </c>
      <c r="AN5" s="80">
        <f t="shared" si="0"/>
        <v>201749</v>
      </c>
      <c r="AO5" s="80">
        <f t="shared" si="0"/>
        <v>201750</v>
      </c>
      <c r="AP5" s="80">
        <f t="shared" si="0"/>
        <v>201751</v>
      </c>
    </row>
    <row r="6" spans="1:42" s="4" customFormat="1" ht="30" customHeight="1" x14ac:dyDescent="0.2">
      <c r="A6" s="118"/>
      <c r="B6" s="148" t="str">
        <f>Setting!F4</f>
        <v>StoryMapping</v>
      </c>
      <c r="C6" s="119" t="s">
        <v>1122</v>
      </c>
      <c r="D6" s="3">
        <f ca="1">IFERROR(SUMPRODUCT((INDIRECT($B6&amp;"!$B11:$B1009")&lt;=D5)*(INDIRECT($B6&amp;"!$E11:$E1009")=1))/SUM(INDIRECT($B6&amp;"!$E11:$E1009")),"-")</f>
        <v>0.7857142857142857</v>
      </c>
      <c r="E6" s="3">
        <f t="shared" ref="E6:AP6" ca="1" si="1">IFERROR(SUMPRODUCT((INDIRECT($B6&amp;"!$B11:$B1009")&lt;=E5)*(INDIRECT($B6&amp;"!$E11:$E1009")=1))/SUM(INDIRECT($B6&amp;"!$E11:$E1009")),"-")</f>
        <v>0.8571428571428571</v>
      </c>
      <c r="F6" s="3">
        <f t="shared" ca="1" si="1"/>
        <v>0.9285714285714286</v>
      </c>
      <c r="G6" s="3">
        <f t="shared" ca="1" si="1"/>
        <v>0.9285714285714286</v>
      </c>
      <c r="H6" s="3">
        <f t="shared" ca="1" si="1"/>
        <v>0.9285714285714286</v>
      </c>
      <c r="I6" s="3">
        <f t="shared" ca="1" si="1"/>
        <v>0.9642857142857143</v>
      </c>
      <c r="J6" s="3">
        <f ca="1">IFERROR(SUMPRODUCT((INDIRECT($B6&amp;"!$B11:$B1009")&lt;=J5)*(INDIRECT($B6&amp;"!$E11:$E1009")=1))/SUM(INDIRECT($B6&amp;"!$E11:$E1009")),"-")</f>
        <v>1</v>
      </c>
      <c r="K6" s="3">
        <f t="shared" ca="1" si="1"/>
        <v>1</v>
      </c>
      <c r="L6" s="3">
        <f t="shared" ca="1" si="1"/>
        <v>1</v>
      </c>
      <c r="M6" s="3">
        <f t="shared" ca="1" si="1"/>
        <v>1</v>
      </c>
      <c r="N6" s="3">
        <f t="shared" ca="1" si="1"/>
        <v>1</v>
      </c>
      <c r="O6" s="3">
        <f t="shared" ca="1" si="1"/>
        <v>1</v>
      </c>
      <c r="P6" s="3">
        <f t="shared" ca="1" si="1"/>
        <v>1</v>
      </c>
      <c r="Q6" s="3">
        <f t="shared" ca="1" si="1"/>
        <v>1</v>
      </c>
      <c r="R6" s="3">
        <f t="shared" ca="1" si="1"/>
        <v>1</v>
      </c>
      <c r="S6" s="3">
        <f t="shared" ca="1" si="1"/>
        <v>1</v>
      </c>
      <c r="T6" s="3">
        <f t="shared" ca="1" si="1"/>
        <v>1</v>
      </c>
      <c r="U6" s="3">
        <f t="shared" ca="1" si="1"/>
        <v>1</v>
      </c>
      <c r="V6" s="3">
        <f t="shared" ca="1" si="1"/>
        <v>1</v>
      </c>
      <c r="W6" s="3">
        <f t="shared" ca="1" si="1"/>
        <v>1</v>
      </c>
      <c r="X6" s="3">
        <f t="shared" ca="1" si="1"/>
        <v>1</v>
      </c>
      <c r="Y6" s="3">
        <f t="shared" ca="1" si="1"/>
        <v>1</v>
      </c>
      <c r="Z6" s="3">
        <f t="shared" ca="1" si="1"/>
        <v>1</v>
      </c>
      <c r="AA6" s="3">
        <f t="shared" ca="1" si="1"/>
        <v>1</v>
      </c>
      <c r="AB6" s="3">
        <f t="shared" ca="1" si="1"/>
        <v>1</v>
      </c>
      <c r="AC6" s="3">
        <f t="shared" ca="1" si="1"/>
        <v>1</v>
      </c>
      <c r="AD6" s="3">
        <f t="shared" ca="1" si="1"/>
        <v>1</v>
      </c>
      <c r="AE6" s="3">
        <f t="shared" ca="1" si="1"/>
        <v>1</v>
      </c>
      <c r="AF6" s="3">
        <f t="shared" ca="1" si="1"/>
        <v>1</v>
      </c>
      <c r="AG6" s="3">
        <f t="shared" ca="1" si="1"/>
        <v>1</v>
      </c>
      <c r="AH6" s="3">
        <f t="shared" ca="1" si="1"/>
        <v>1</v>
      </c>
      <c r="AI6" s="3">
        <f t="shared" ca="1" si="1"/>
        <v>1</v>
      </c>
      <c r="AJ6" s="3">
        <f t="shared" ca="1" si="1"/>
        <v>1</v>
      </c>
      <c r="AK6" s="3">
        <f t="shared" ca="1" si="1"/>
        <v>1</v>
      </c>
      <c r="AL6" s="3">
        <f t="shared" ca="1" si="1"/>
        <v>1</v>
      </c>
      <c r="AM6" s="3">
        <f t="shared" ca="1" si="1"/>
        <v>1</v>
      </c>
      <c r="AN6" s="3">
        <f t="shared" ca="1" si="1"/>
        <v>1</v>
      </c>
      <c r="AO6" s="3">
        <f t="shared" ca="1" si="1"/>
        <v>1</v>
      </c>
      <c r="AP6" s="3">
        <f t="shared" ca="1" si="1"/>
        <v>1</v>
      </c>
    </row>
    <row r="7" spans="1:42" s="4" customFormat="1" ht="30" customHeight="1" x14ac:dyDescent="0.2">
      <c r="A7" s="118"/>
      <c r="B7" s="148"/>
      <c r="C7" s="119" t="s">
        <v>1123</v>
      </c>
      <c r="D7" s="3">
        <f ca="1">IFERROR(IF(D5&gt;$G$2,"",SUMPRODUCT((INDIRECT($B6&amp;"!$C11:$C1009")&lt;=D5)*(INDIRECT($B6&amp;"!$D11:$D1009")="Y"))/SUM(INDIRECT($B6&amp;"!$E11:$E1009"))),"-")</f>
        <v>0.25</v>
      </c>
      <c r="E7" s="3" t="str">
        <f t="shared" ref="E7:AP7" ca="1" si="2">IFERROR(IF(E5&gt;$G$2,"",SUMPRODUCT((INDIRECT($B6&amp;"!$C11:$C1009")&lt;=E5)*(INDIRECT($B6&amp;"!$D11:$D1009")="Y"))/SUM(INDIRECT($B6&amp;"!$E11:$E1009"))),"-")</f>
        <v/>
      </c>
      <c r="F7" s="3" t="str">
        <f t="shared" ca="1" si="2"/>
        <v/>
      </c>
      <c r="G7" s="3" t="str">
        <f t="shared" ca="1" si="2"/>
        <v/>
      </c>
      <c r="H7" s="3" t="str">
        <f t="shared" ca="1" si="2"/>
        <v/>
      </c>
      <c r="I7" s="3" t="str">
        <f t="shared" ca="1" si="2"/>
        <v/>
      </c>
      <c r="J7" s="3" t="str">
        <f t="shared" ca="1" si="2"/>
        <v/>
      </c>
      <c r="K7" s="3" t="str">
        <f t="shared" ca="1" si="2"/>
        <v/>
      </c>
      <c r="L7" s="3" t="str">
        <f t="shared" ca="1" si="2"/>
        <v/>
      </c>
      <c r="M7" s="3" t="str">
        <f t="shared" ca="1" si="2"/>
        <v/>
      </c>
      <c r="N7" s="3" t="str">
        <f t="shared" ca="1" si="2"/>
        <v/>
      </c>
      <c r="O7" s="3" t="str">
        <f t="shared" ca="1" si="2"/>
        <v/>
      </c>
      <c r="P7" s="3" t="str">
        <f t="shared" ca="1" si="2"/>
        <v/>
      </c>
      <c r="Q7" s="3" t="str">
        <f t="shared" ca="1" si="2"/>
        <v/>
      </c>
      <c r="R7" s="3" t="str">
        <f t="shared" ca="1" si="2"/>
        <v/>
      </c>
      <c r="S7" s="3" t="str">
        <f t="shared" ca="1" si="2"/>
        <v/>
      </c>
      <c r="T7" s="3" t="str">
        <f t="shared" ca="1" si="2"/>
        <v/>
      </c>
      <c r="U7" s="3" t="str">
        <f t="shared" ca="1" si="2"/>
        <v/>
      </c>
      <c r="V7" s="3" t="str">
        <f t="shared" ca="1" si="2"/>
        <v/>
      </c>
      <c r="W7" s="3" t="str">
        <f t="shared" ca="1" si="2"/>
        <v/>
      </c>
      <c r="X7" s="3" t="str">
        <f t="shared" ca="1" si="2"/>
        <v/>
      </c>
      <c r="Y7" s="3" t="str">
        <f t="shared" ca="1" si="2"/>
        <v/>
      </c>
      <c r="Z7" s="3" t="str">
        <f t="shared" ca="1" si="2"/>
        <v/>
      </c>
      <c r="AA7" s="3" t="str">
        <f t="shared" ca="1" si="2"/>
        <v/>
      </c>
      <c r="AB7" s="3" t="str">
        <f t="shared" ca="1" si="2"/>
        <v/>
      </c>
      <c r="AC7" s="3" t="str">
        <f t="shared" ca="1" si="2"/>
        <v/>
      </c>
      <c r="AD7" s="3" t="str">
        <f t="shared" ca="1" si="2"/>
        <v/>
      </c>
      <c r="AE7" s="3" t="str">
        <f t="shared" ca="1" si="2"/>
        <v/>
      </c>
      <c r="AF7" s="3" t="str">
        <f t="shared" ca="1" si="2"/>
        <v/>
      </c>
      <c r="AG7" s="3" t="str">
        <f t="shared" ca="1" si="2"/>
        <v/>
      </c>
      <c r="AH7" s="3" t="str">
        <f t="shared" ca="1" si="2"/>
        <v/>
      </c>
      <c r="AI7" s="3" t="str">
        <f t="shared" ca="1" si="2"/>
        <v/>
      </c>
      <c r="AJ7" s="3" t="str">
        <f t="shared" ca="1" si="2"/>
        <v/>
      </c>
      <c r="AK7" s="3" t="str">
        <f t="shared" ca="1" si="2"/>
        <v/>
      </c>
      <c r="AL7" s="3" t="str">
        <f t="shared" ca="1" si="2"/>
        <v/>
      </c>
      <c r="AM7" s="3" t="str">
        <f t="shared" ca="1" si="2"/>
        <v/>
      </c>
      <c r="AN7" s="3" t="str">
        <f t="shared" ca="1" si="2"/>
        <v/>
      </c>
      <c r="AO7" s="3" t="str">
        <f t="shared" ca="1" si="2"/>
        <v/>
      </c>
      <c r="AP7" s="3" t="str">
        <f t="shared" ca="1" si="2"/>
        <v/>
      </c>
    </row>
  </sheetData>
  <sheetProtection sheet="1" objects="1" scenarios="1" formatCells="0" formatColumns="0" formatRows="0" insertColumns="0" insertRows="0" insertHyperlinks="0" sort="0" autoFilter="0" pivotTables="0"/>
  <mergeCells count="3">
    <mergeCell ref="D2:F2"/>
    <mergeCell ref="G2:H2"/>
    <mergeCell ref="B6:B7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S74"/>
  <sheetViews>
    <sheetView workbookViewId="0"/>
  </sheetViews>
  <sheetFormatPr baseColWidth="10" defaultRowHeight="12.75" x14ac:dyDescent="0.2"/>
  <cols>
    <col min="1" max="1" width="5.42578125" customWidth="1"/>
    <col min="2" max="2" width="38.85546875" bestFit="1" customWidth="1"/>
    <col min="3" max="3" width="23.7109375" customWidth="1"/>
    <col min="4" max="4" width="52" customWidth="1"/>
    <col min="6" max="6" width="14.140625" customWidth="1"/>
    <col min="9" max="10" width="9.7109375" customWidth="1"/>
    <col min="11" max="11" width="21" bestFit="1" customWidth="1"/>
  </cols>
  <sheetData>
    <row r="1" spans="1:19" ht="25.5" x14ac:dyDescent="0.2">
      <c r="B1" s="133"/>
      <c r="C1" s="133"/>
      <c r="D1" s="134" t="s">
        <v>1125</v>
      </c>
      <c r="E1" s="133"/>
    </row>
    <row r="2" spans="1:19" ht="38.25" customHeight="1" x14ac:dyDescent="0.2">
      <c r="A2" s="152" t="s">
        <v>1117</v>
      </c>
      <c r="B2" s="152"/>
      <c r="C2" s="152"/>
      <c r="D2" s="152"/>
      <c r="E2" s="152"/>
    </row>
    <row r="3" spans="1:19" ht="13.5" thickBot="1" x14ac:dyDescent="0.25">
      <c r="B3" s="19" t="s">
        <v>1024</v>
      </c>
      <c r="C3" s="15" t="s">
        <v>1039</v>
      </c>
      <c r="D3" s="15" t="s">
        <v>1064</v>
      </c>
      <c r="F3" s="53" t="s">
        <v>1022</v>
      </c>
      <c r="G3" s="54"/>
      <c r="J3" s="20"/>
      <c r="S3" s="21"/>
    </row>
    <row r="4" spans="1:19" ht="13.5" thickBot="1" x14ac:dyDescent="0.25">
      <c r="B4" s="11" t="s">
        <v>1026</v>
      </c>
      <c r="C4" s="7" t="s">
        <v>1060</v>
      </c>
      <c r="D4" s="7" t="s">
        <v>1082</v>
      </c>
      <c r="F4" s="52" t="s">
        <v>1086</v>
      </c>
      <c r="G4" s="16"/>
    </row>
    <row r="5" spans="1:19" x14ac:dyDescent="0.2">
      <c r="B5" s="12" t="s">
        <v>1025</v>
      </c>
      <c r="C5" s="8" t="s">
        <v>1061</v>
      </c>
      <c r="D5" s="8" t="s">
        <v>1083</v>
      </c>
      <c r="F5" s="55"/>
      <c r="G5" s="17"/>
    </row>
    <row r="6" spans="1:19" x14ac:dyDescent="0.2">
      <c r="B6" s="12" t="s">
        <v>1027</v>
      </c>
      <c r="C6" s="8" t="s">
        <v>1062</v>
      </c>
      <c r="D6" s="8" t="s">
        <v>1084</v>
      </c>
    </row>
    <row r="7" spans="1:19" x14ac:dyDescent="0.2">
      <c r="B7" s="12" t="s">
        <v>1028</v>
      </c>
      <c r="C7" s="8" t="s">
        <v>1060</v>
      </c>
      <c r="D7" s="8" t="s">
        <v>1085</v>
      </c>
    </row>
    <row r="8" spans="1:19" x14ac:dyDescent="0.2">
      <c r="B8" s="12" t="s">
        <v>1029</v>
      </c>
      <c r="C8" s="8" t="s">
        <v>1060</v>
      </c>
      <c r="D8" s="8"/>
    </row>
    <row r="9" spans="1:19" x14ac:dyDescent="0.2">
      <c r="B9" s="12" t="s">
        <v>1030</v>
      </c>
      <c r="C9" s="8" t="s">
        <v>1062</v>
      </c>
      <c r="D9" s="8"/>
    </row>
    <row r="10" spans="1:19" x14ac:dyDescent="0.2">
      <c r="B10" s="12" t="s">
        <v>1031</v>
      </c>
      <c r="C10" s="8" t="s">
        <v>1063</v>
      </c>
      <c r="D10" s="8"/>
    </row>
    <row r="11" spans="1:19" x14ac:dyDescent="0.2">
      <c r="B11" s="12" t="s">
        <v>1032</v>
      </c>
      <c r="C11" s="8" t="s">
        <v>1061</v>
      </c>
      <c r="D11" s="8"/>
    </row>
    <row r="12" spans="1:19" x14ac:dyDescent="0.2">
      <c r="B12" s="12" t="s">
        <v>1033</v>
      </c>
      <c r="C12" s="8" t="s">
        <v>1063</v>
      </c>
      <c r="D12" s="8"/>
    </row>
    <row r="13" spans="1:19" x14ac:dyDescent="0.2">
      <c r="B13" s="12" t="s">
        <v>1034</v>
      </c>
      <c r="C13" s="8" t="s">
        <v>1060</v>
      </c>
      <c r="D13" s="8"/>
    </row>
    <row r="14" spans="1:19" x14ac:dyDescent="0.2">
      <c r="B14" s="12" t="s">
        <v>1035</v>
      </c>
      <c r="C14" s="8" t="s">
        <v>1062</v>
      </c>
      <c r="D14" s="8"/>
    </row>
    <row r="15" spans="1:19" x14ac:dyDescent="0.2">
      <c r="B15" s="12" t="s">
        <v>1036</v>
      </c>
      <c r="C15" s="8" t="s">
        <v>1063</v>
      </c>
      <c r="D15" s="8"/>
    </row>
    <row r="16" spans="1:19" x14ac:dyDescent="0.2">
      <c r="B16" s="12" t="s">
        <v>1037</v>
      </c>
      <c r="C16" s="8" t="s">
        <v>1061</v>
      </c>
      <c r="D16" s="8"/>
    </row>
    <row r="17" spans="2:4" x14ac:dyDescent="0.2">
      <c r="B17" s="12" t="s">
        <v>1038</v>
      </c>
      <c r="C17" s="8" t="s">
        <v>1063</v>
      </c>
      <c r="D17" s="8"/>
    </row>
    <row r="18" spans="2:4" x14ac:dyDescent="0.2">
      <c r="B18" s="12" t="s">
        <v>1044</v>
      </c>
      <c r="C18" s="8" t="s">
        <v>99</v>
      </c>
      <c r="D18" s="8"/>
    </row>
    <row r="19" spans="2:4" x14ac:dyDescent="0.2">
      <c r="B19" s="12" t="s">
        <v>1045</v>
      </c>
      <c r="C19" s="8" t="s">
        <v>1065</v>
      </c>
      <c r="D19" s="8" t="s">
        <v>1080</v>
      </c>
    </row>
    <row r="20" spans="2:4" x14ac:dyDescent="0.2">
      <c r="B20" s="12" t="s">
        <v>1046</v>
      </c>
      <c r="C20" s="8" t="s">
        <v>1066</v>
      </c>
      <c r="D20" s="9" t="s">
        <v>1081</v>
      </c>
    </row>
    <row r="21" spans="2:4" x14ac:dyDescent="0.2">
      <c r="B21" s="12" t="s">
        <v>1047</v>
      </c>
      <c r="C21" s="8" t="s">
        <v>1067</v>
      </c>
      <c r="D21" s="8" t="s">
        <v>1085</v>
      </c>
    </row>
    <row r="22" spans="2:4" x14ac:dyDescent="0.2">
      <c r="B22" s="12" t="s">
        <v>1048</v>
      </c>
      <c r="C22" s="8" t="s">
        <v>1068</v>
      </c>
      <c r="D22" s="8"/>
    </row>
    <row r="23" spans="2:4" x14ac:dyDescent="0.2">
      <c r="B23" s="12" t="s">
        <v>1049</v>
      </c>
      <c r="C23" s="8" t="s">
        <v>1069</v>
      </c>
      <c r="D23" s="8"/>
    </row>
    <row r="24" spans="2:4" x14ac:dyDescent="0.2">
      <c r="B24" s="12" t="s">
        <v>1050</v>
      </c>
      <c r="C24" s="8" t="s">
        <v>1070</v>
      </c>
      <c r="D24" s="8"/>
    </row>
    <row r="25" spans="2:4" x14ac:dyDescent="0.2">
      <c r="B25" s="12" t="s">
        <v>1051</v>
      </c>
      <c r="C25" s="8" t="s">
        <v>1071</v>
      </c>
      <c r="D25" s="8"/>
    </row>
    <row r="26" spans="2:4" x14ac:dyDescent="0.2">
      <c r="B26" s="12" t="s">
        <v>1052</v>
      </c>
      <c r="C26" s="8" t="s">
        <v>1072</v>
      </c>
      <c r="D26" s="8"/>
    </row>
    <row r="27" spans="2:4" x14ac:dyDescent="0.2">
      <c r="B27" s="12" t="s">
        <v>1053</v>
      </c>
      <c r="C27" s="8" t="s">
        <v>1073</v>
      </c>
      <c r="D27" s="8"/>
    </row>
    <row r="28" spans="2:4" x14ac:dyDescent="0.2">
      <c r="B28" s="12" t="s">
        <v>1054</v>
      </c>
      <c r="C28" s="8" t="s">
        <v>1074</v>
      </c>
      <c r="D28" s="8"/>
    </row>
    <row r="29" spans="2:4" x14ac:dyDescent="0.2">
      <c r="B29" s="12" t="s">
        <v>1055</v>
      </c>
      <c r="C29" s="8" t="s">
        <v>1075</v>
      </c>
      <c r="D29" s="8"/>
    </row>
    <row r="30" spans="2:4" x14ac:dyDescent="0.2">
      <c r="B30" s="12" t="s">
        <v>1056</v>
      </c>
      <c r="C30" s="8" t="s">
        <v>1076</v>
      </c>
      <c r="D30" s="8"/>
    </row>
    <row r="31" spans="2:4" x14ac:dyDescent="0.2">
      <c r="B31" s="12" t="s">
        <v>1057</v>
      </c>
      <c r="C31" s="8" t="s">
        <v>1077</v>
      </c>
      <c r="D31" s="8"/>
    </row>
    <row r="32" spans="2:4" x14ac:dyDescent="0.2">
      <c r="B32" s="12" t="s">
        <v>1058</v>
      </c>
      <c r="C32" s="8" t="s">
        <v>1078</v>
      </c>
      <c r="D32" s="8"/>
    </row>
    <row r="33" spans="1:9" x14ac:dyDescent="0.2">
      <c r="B33" s="12" t="s">
        <v>1059</v>
      </c>
      <c r="C33" s="8" t="s">
        <v>1079</v>
      </c>
      <c r="D33" s="8"/>
    </row>
    <row r="34" spans="1:9" ht="13.5" thickBot="1" x14ac:dyDescent="0.25">
      <c r="B34" s="13"/>
      <c r="C34" s="10"/>
      <c r="D34" s="10"/>
    </row>
    <row r="36" spans="1:9" ht="45.75" customHeight="1" x14ac:dyDescent="0.2">
      <c r="A36" s="152" t="s">
        <v>1118</v>
      </c>
      <c r="B36" s="152"/>
      <c r="C36" s="152"/>
      <c r="D36" s="152"/>
      <c r="E36" s="152"/>
      <c r="F36" s="152"/>
      <c r="G36" s="152"/>
      <c r="H36" s="152"/>
      <c r="I36" s="152"/>
    </row>
    <row r="37" spans="1:9" x14ac:dyDescent="0.2">
      <c r="E37" s="56" t="s">
        <v>1042</v>
      </c>
    </row>
    <row r="38" spans="1:9" ht="13.5" thickBot="1" x14ac:dyDescent="0.25">
      <c r="B38" s="14" t="s">
        <v>1041</v>
      </c>
      <c r="C38" s="18" t="s">
        <v>100</v>
      </c>
      <c r="E38" s="49" t="s">
        <v>1017</v>
      </c>
      <c r="F38" s="49" t="s">
        <v>1018</v>
      </c>
      <c r="G38" s="49" t="s">
        <v>1019</v>
      </c>
      <c r="H38" s="49" t="s">
        <v>1020</v>
      </c>
    </row>
    <row r="39" spans="1:9" x14ac:dyDescent="0.2">
      <c r="B39" s="39" t="s">
        <v>1095</v>
      </c>
      <c r="C39" s="16" t="s">
        <v>1095</v>
      </c>
      <c r="E39" s="39"/>
      <c r="F39" s="44"/>
      <c r="G39" s="57"/>
      <c r="H39" s="63"/>
    </row>
    <row r="40" spans="1:9" x14ac:dyDescent="0.2">
      <c r="B40" s="40" t="s">
        <v>1096</v>
      </c>
      <c r="C40" s="16" t="s">
        <v>1096</v>
      </c>
      <c r="E40" s="40"/>
      <c r="F40" s="45"/>
      <c r="G40" s="58"/>
      <c r="H40" s="64"/>
    </row>
    <row r="41" spans="1:9" x14ac:dyDescent="0.2">
      <c r="B41" s="41" t="s">
        <v>1097</v>
      </c>
      <c r="C41" s="16" t="s">
        <v>1097</v>
      </c>
      <c r="D41" s="5" t="s">
        <v>1119</v>
      </c>
      <c r="E41" s="41"/>
      <c r="F41" s="46"/>
      <c r="G41" s="59"/>
      <c r="H41" s="65"/>
    </row>
    <row r="42" spans="1:9" x14ac:dyDescent="0.2">
      <c r="B42" s="38" t="s">
        <v>1044</v>
      </c>
      <c r="C42" s="16" t="s">
        <v>99</v>
      </c>
      <c r="D42" s="69" t="s">
        <v>1101</v>
      </c>
      <c r="E42" s="38"/>
      <c r="F42" s="47"/>
      <c r="G42" s="60"/>
      <c r="H42" s="66"/>
    </row>
    <row r="43" spans="1:9" x14ac:dyDescent="0.2">
      <c r="B43" s="42" t="s">
        <v>1098</v>
      </c>
      <c r="C43" s="16" t="s">
        <v>1098</v>
      </c>
      <c r="E43" s="42"/>
      <c r="F43" s="48"/>
      <c r="G43" s="61"/>
      <c r="H43" s="67"/>
    </row>
    <row r="44" spans="1:9" x14ac:dyDescent="0.2">
      <c r="B44" s="43" t="s">
        <v>1099</v>
      </c>
      <c r="C44" s="16" t="s">
        <v>1099</v>
      </c>
      <c r="E44" s="50"/>
      <c r="F44" s="51"/>
      <c r="G44" s="62"/>
      <c r="H44" s="68"/>
    </row>
    <row r="45" spans="1:9" x14ac:dyDescent="0.2">
      <c r="B45" s="37" t="s">
        <v>1100</v>
      </c>
      <c r="C45" s="16" t="s">
        <v>1100</v>
      </c>
      <c r="E45" s="37"/>
      <c r="F45" s="37"/>
      <c r="G45" s="37"/>
      <c r="H45" s="37"/>
    </row>
    <row r="46" spans="1:9" ht="13.5" thickBot="1" x14ac:dyDescent="0.25">
      <c r="B46" s="13"/>
      <c r="C46" s="17"/>
      <c r="E46" s="13"/>
      <c r="F46" s="13"/>
      <c r="G46" s="13"/>
      <c r="H46" s="13"/>
    </row>
    <row r="50" spans="2:9" ht="47.25" customHeight="1" thickBot="1" x14ac:dyDescent="0.25">
      <c r="B50" s="149" t="s">
        <v>1120</v>
      </c>
      <c r="C50" s="150"/>
      <c r="D50" s="150"/>
      <c r="E50" s="150"/>
      <c r="F50" s="150"/>
      <c r="G50" s="150"/>
      <c r="H50" s="150"/>
      <c r="I50" s="151"/>
    </row>
    <row r="51" spans="2:9" x14ac:dyDescent="0.2">
      <c r="B51" s="125" t="s">
        <v>1087</v>
      </c>
      <c r="C51" s="22"/>
      <c r="D51" s="22"/>
      <c r="E51" s="22"/>
      <c r="F51" s="22"/>
      <c r="G51" s="22"/>
      <c r="H51" s="22"/>
      <c r="I51" s="16"/>
    </row>
    <row r="52" spans="2:9" x14ac:dyDescent="0.2">
      <c r="B52" s="12" t="s">
        <v>1088</v>
      </c>
      <c r="C52" s="22"/>
      <c r="D52" s="22"/>
      <c r="E52" s="22"/>
      <c r="F52" s="22"/>
      <c r="G52" s="22"/>
      <c r="H52" s="22"/>
      <c r="I52" s="16"/>
    </row>
    <row r="53" spans="2:9" x14ac:dyDescent="0.2">
      <c r="B53" s="126" t="s">
        <v>1089</v>
      </c>
      <c r="C53" s="22"/>
      <c r="D53" s="22"/>
      <c r="E53" s="22"/>
      <c r="F53" s="22"/>
      <c r="G53" s="22"/>
      <c r="H53" s="22"/>
      <c r="I53" s="16"/>
    </row>
    <row r="54" spans="2:9" x14ac:dyDescent="0.2">
      <c r="B54" s="127" t="s">
        <v>1111</v>
      </c>
      <c r="C54" s="22"/>
      <c r="D54" s="22"/>
      <c r="E54" s="22"/>
      <c r="F54" s="22"/>
      <c r="G54" s="22"/>
      <c r="H54" s="22"/>
      <c r="I54" s="16"/>
    </row>
    <row r="55" spans="2:9" x14ac:dyDescent="0.2">
      <c r="B55" s="128" t="s">
        <v>1090</v>
      </c>
      <c r="C55" s="22"/>
      <c r="D55" s="22"/>
      <c r="E55" s="22"/>
      <c r="F55" s="22"/>
      <c r="G55" s="22"/>
      <c r="H55" s="22"/>
      <c r="I55" s="16"/>
    </row>
    <row r="56" spans="2:9" x14ac:dyDescent="0.2">
      <c r="B56" s="126" t="s">
        <v>1091</v>
      </c>
      <c r="C56" s="22"/>
      <c r="D56" s="22"/>
      <c r="E56" s="22"/>
      <c r="F56" s="22"/>
      <c r="G56" s="22"/>
      <c r="H56" s="22"/>
      <c r="I56" s="16"/>
    </row>
    <row r="57" spans="2:9" x14ac:dyDescent="0.2">
      <c r="B57" s="129" t="s">
        <v>13</v>
      </c>
      <c r="C57" s="22"/>
      <c r="D57" s="22"/>
      <c r="E57" s="22"/>
      <c r="F57" s="22"/>
      <c r="G57" s="22"/>
      <c r="H57" s="22"/>
      <c r="I57" s="16"/>
    </row>
    <row r="58" spans="2:9" ht="13.5" thickBot="1" x14ac:dyDescent="0.25">
      <c r="B58" s="130"/>
      <c r="C58" s="22"/>
      <c r="D58" s="22"/>
      <c r="E58" s="22"/>
      <c r="F58" s="22"/>
      <c r="G58" s="22"/>
      <c r="H58" s="22"/>
      <c r="I58" s="16"/>
    </row>
    <row r="59" spans="2:9" x14ac:dyDescent="0.2">
      <c r="B59" s="55"/>
      <c r="C59" s="124"/>
      <c r="D59" s="124"/>
      <c r="E59" s="124"/>
      <c r="F59" s="124"/>
      <c r="G59" s="124"/>
      <c r="H59" s="124"/>
      <c r="I59" s="17"/>
    </row>
    <row r="60" spans="2:9" ht="13.5" thickBot="1" x14ac:dyDescent="0.25"/>
    <row r="61" spans="2:9" ht="14.25" thickTop="1" thickBot="1" x14ac:dyDescent="0.25">
      <c r="B61" s="27"/>
      <c r="C61" s="28"/>
      <c r="D61" s="28"/>
      <c r="E61" s="29"/>
    </row>
    <row r="62" spans="2:9" ht="13.5" thickBot="1" x14ac:dyDescent="0.25">
      <c r="B62" s="30"/>
      <c r="C62" s="131" t="s">
        <v>1008</v>
      </c>
      <c r="D62" s="122">
        <v>11</v>
      </c>
      <c r="E62" s="23"/>
    </row>
    <row r="63" spans="2:9" ht="13.5" thickBot="1" x14ac:dyDescent="0.25">
      <c r="B63" s="30"/>
      <c r="C63" s="131" t="s">
        <v>1009</v>
      </c>
      <c r="D63" s="123">
        <v>100</v>
      </c>
      <c r="E63" s="23"/>
    </row>
    <row r="64" spans="2:9" x14ac:dyDescent="0.2">
      <c r="B64" s="30"/>
      <c r="C64" s="22"/>
      <c r="D64" s="22"/>
      <c r="E64" s="23"/>
    </row>
    <row r="65" spans="2:5" ht="13.5" thickBot="1" x14ac:dyDescent="0.25">
      <c r="B65" s="24"/>
      <c r="C65" s="25"/>
      <c r="D65" s="25"/>
      <c r="E65" s="26"/>
    </row>
    <row r="66" spans="2:5" ht="13.5" thickTop="1" x14ac:dyDescent="0.2"/>
    <row r="69" spans="2:5" ht="13.5" thickBot="1" x14ac:dyDescent="0.25">
      <c r="B69" s="31" t="s">
        <v>1021</v>
      </c>
      <c r="C69" s="31"/>
    </row>
    <row r="70" spans="2:5" x14ac:dyDescent="0.2">
      <c r="B70" s="32" t="s">
        <v>1011</v>
      </c>
    </row>
    <row r="71" spans="2:5" x14ac:dyDescent="0.2">
      <c r="B71" s="33" t="s">
        <v>1012</v>
      </c>
    </row>
    <row r="72" spans="2:5" x14ac:dyDescent="0.2">
      <c r="B72" s="34" t="s">
        <v>1013</v>
      </c>
    </row>
    <row r="73" spans="2:5" x14ac:dyDescent="0.2">
      <c r="B73" s="35" t="s">
        <v>1014</v>
      </c>
    </row>
    <row r="74" spans="2:5" ht="13.5" thickBot="1" x14ac:dyDescent="0.25">
      <c r="B74" s="36" t="s">
        <v>1015</v>
      </c>
    </row>
  </sheetData>
  <autoFilter ref="B3:C33">
    <sortState ref="B3:C32">
      <sortCondition ref="B2"/>
    </sortState>
  </autoFilter>
  <mergeCells count="3">
    <mergeCell ref="B50:I50"/>
    <mergeCell ref="A36:I36"/>
    <mergeCell ref="A2:E2"/>
  </mergeCells>
  <dataValidations disablePrompts="1" count="1">
    <dataValidation type="whole" showInputMessage="1" showErrorMessage="1" sqref="D62:D63">
      <formula1>11</formula1>
      <formula2>1048575</formula2>
    </dataValidation>
  </dataValidations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ivelinkObjectID xmlns="6b44be04-4f4f-4ad5-8583-fc6cfe787cfe" xsi:nil="true"/>
    <LivelinkOriginalName xmlns="6b44be04-4f4f-4ad5-8583-fc6cfe787cfe" xsi:nil="true"/>
    <LivelinkParentID xmlns="6b44be04-4f4f-4ad5-8583-fc6cfe787cfe" xsi:nil="true"/>
    <LivelinkOwner xmlns="6b44be04-4f4f-4ad5-8583-fc6cfe787cfe" xsi:nil="true"/>
    <LivelinkDescription xmlns="6b44be04-4f4f-4ad5-8583-fc6cfe787cfe" xsi:nil="true"/>
    <LivelinkCreator xmlns="6b44be04-4f4f-4ad5-8583-fc6cfe787cfe" xsi:nil="true"/>
    <LivelinkModifier xmlns="6b44be04-4f4f-4ad5-8583-fc6cfe787cfe" xsi:nil="true"/>
    <LivelinkFolderPath xmlns="6b44be04-4f4f-4ad5-8583-fc6cfe787cfe" xsi:nil="true"/>
    <AdvancedVersioningLimit xmlns="19e7d4f3-73fc-4856-9652-f2c720d96380" xsi:nil="true"/>
    <LockedVersions xmlns="19e7d4f3-73fc-4856-9652-f2c720d96380" xsi:nil="true"/>
    <IconOverlay xmlns="http://schemas.microsoft.com/sharepoint/v4" xsi:nil="true"/>
    <_dlc_DocId xmlns="d862a13f-a482-466e-b7f4-d27847e4e64e">P7YSZEP7SPDX-2550-2683</_dlc_DocId>
    <_dlc_DocIdUrl xmlns="d862a13f-a482-466e-b7f4-d27847e4e64e">
      <Url>https://sp2013.myatos.net/sites/siFR/competence/indus/_layouts/DocIdRedir.aspx?ID=P7YSZEP7SPDX-2550-2683</Url>
      <Description>P7YSZEP7SPDX-2550-2683</Description>
    </_dlc_DocIdUrl>
    <_dlc_DocIdPersistId xmlns="d862a13f-a482-466e-b7f4-d27847e4e64e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D820AE5C3A37047A0C619819FADEAEB" ma:contentTypeVersion="2" ma:contentTypeDescription="Create a new document." ma:contentTypeScope="" ma:versionID="22c90828069842ecb5591ac41dfd9192">
  <xsd:schema xmlns:xsd="http://www.w3.org/2001/XMLSchema" xmlns:xs="http://www.w3.org/2001/XMLSchema" xmlns:p="http://schemas.microsoft.com/office/2006/metadata/properties" xmlns:ns2="d862a13f-a482-466e-b7f4-d27847e4e64e" xmlns:ns3="6b44be04-4f4f-4ad5-8583-fc6cfe787cfe" xmlns:ns4="http://schemas.microsoft.com/sharepoint/v4" xmlns:ns5="19e7d4f3-73fc-4856-9652-f2c720d96380" targetNamespace="http://schemas.microsoft.com/office/2006/metadata/properties" ma:root="true" ma:fieldsID="5156b204c5517e8353e27a2f8023b9d7" ns2:_="" ns3:_="" ns4:_="" ns5:_="">
    <xsd:import namespace="d862a13f-a482-466e-b7f4-d27847e4e64e"/>
    <xsd:import namespace="6b44be04-4f4f-4ad5-8583-fc6cfe787cfe"/>
    <xsd:import namespace="http://schemas.microsoft.com/sharepoint/v4"/>
    <xsd:import namespace="19e7d4f3-73fc-4856-9652-f2c720d96380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LivelinkCreator" minOccurs="0"/>
                <xsd:element ref="ns3:LivelinkDescription" minOccurs="0"/>
                <xsd:element ref="ns3:LivelinkFolderPath" minOccurs="0"/>
                <xsd:element ref="ns3:LivelinkModifier" minOccurs="0"/>
                <xsd:element ref="ns3:LivelinkObjectID" minOccurs="0"/>
                <xsd:element ref="ns3:LivelinkOriginalName" minOccurs="0"/>
                <xsd:element ref="ns3:LivelinkParentID" minOccurs="0"/>
                <xsd:element ref="ns3:LivelinkOwner" minOccurs="0"/>
                <xsd:element ref="ns4:IconOverlay" minOccurs="0"/>
                <xsd:element ref="ns5:LockedVersions" minOccurs="0"/>
                <xsd:element ref="ns5:AdvancedVersioningLimi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862a13f-a482-466e-b7f4-d27847e4e64e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b44be04-4f4f-4ad5-8583-fc6cfe787cfe" elementFormDefault="qualified">
    <xsd:import namespace="http://schemas.microsoft.com/office/2006/documentManagement/types"/>
    <xsd:import namespace="http://schemas.microsoft.com/office/infopath/2007/PartnerControls"/>
    <xsd:element name="LivelinkCreator" ma:index="11" nillable="true" ma:displayName="LivelinkCreator" ma:internalName="LivelinkCreator" ma:readOnly="false">
      <xsd:simpleType>
        <xsd:restriction base="dms:Text">
          <xsd:maxLength value="255"/>
        </xsd:restriction>
      </xsd:simpleType>
    </xsd:element>
    <xsd:element name="LivelinkDescription" ma:index="12" nillable="true" ma:displayName="LivelinkDescription" ma:internalName="LivelinkDescription" ma:readOnly="false">
      <xsd:simpleType>
        <xsd:restriction base="dms:Note"/>
      </xsd:simpleType>
    </xsd:element>
    <xsd:element name="LivelinkFolderPath" ma:index="13" nillable="true" ma:displayName="LivelinkFolderPath" ma:internalName="LivelinkFolderPath" ma:readOnly="false">
      <xsd:simpleType>
        <xsd:restriction base="dms:Note"/>
      </xsd:simpleType>
    </xsd:element>
    <xsd:element name="LivelinkModifier" ma:index="14" nillable="true" ma:displayName="LivelinkModifier" ma:internalName="LivelinkModifier" ma:readOnly="false">
      <xsd:simpleType>
        <xsd:restriction base="dms:Text">
          <xsd:maxLength value="255"/>
        </xsd:restriction>
      </xsd:simpleType>
    </xsd:element>
    <xsd:element name="LivelinkObjectID" ma:index="15" nillable="true" ma:displayName="LivelinkObjectID" ma:internalName="LivelinkObjectID" ma:readOnly="false">
      <xsd:simpleType>
        <xsd:restriction base="dms:Text">
          <xsd:maxLength value="255"/>
        </xsd:restriction>
      </xsd:simpleType>
    </xsd:element>
    <xsd:element name="LivelinkOriginalName" ma:index="16" nillable="true" ma:displayName="LivelinkOriginalName" ma:internalName="LivelinkOriginalName" ma:readOnly="false">
      <xsd:simpleType>
        <xsd:restriction base="dms:Text">
          <xsd:maxLength value="255"/>
        </xsd:restriction>
      </xsd:simpleType>
    </xsd:element>
    <xsd:element name="LivelinkParentID" ma:index="17" nillable="true" ma:displayName="LivelinkParentID" ma:internalName="LivelinkParentID" ma:readOnly="false">
      <xsd:simpleType>
        <xsd:restriction base="dms:Text">
          <xsd:maxLength value="255"/>
        </xsd:restriction>
      </xsd:simpleType>
    </xsd:element>
    <xsd:element name="LivelinkOwner" ma:index="18" nillable="true" ma:displayName="LivelinkOwner" ma:internalName="LivelinkOwner" ma:readOnly="false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9" nillable="true" ma:displayName="IconOverlay" ma:hidden="true" ma:internalName="IconOverlay" ma:readOnly="fals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e7d4f3-73fc-4856-9652-f2c720d96380" elementFormDefault="qualified">
    <xsd:import namespace="http://schemas.microsoft.com/office/2006/documentManagement/types"/>
    <xsd:import namespace="http://schemas.microsoft.com/office/infopath/2007/PartnerControls"/>
    <xsd:element name="LockedVersions" ma:index="20" nillable="true" ma:displayName="LockedVersions" ma:hidden="true" ma:internalName="LockedVersions" ma:readOnly="false">
      <xsd:simpleType>
        <xsd:restriction base="dms:Text"/>
      </xsd:simpleType>
    </xsd:element>
    <xsd:element name="AdvancedVersioningLimit" ma:index="21" nillable="true" ma:displayName="AdvancedVersioningLimit" ma:hidden="true" ma:internalName="AdvancedVersioningLimit" ma:readOnly="fals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1AE209D-E1F2-4E6E-B03A-936DF1C13DCB}">
  <ds:schemaRefs>
    <ds:schemaRef ds:uri="http://schemas.microsoft.com/sharepoint/events"/>
  </ds:schemaRefs>
</ds:datastoreItem>
</file>

<file path=customXml/itemProps2.xml><?xml version="1.0" encoding="utf-8"?>
<ds:datastoreItem xmlns:ds="http://schemas.openxmlformats.org/officeDocument/2006/customXml" ds:itemID="{11956216-2CF7-4F61-8CDC-F3B9CB7C8600}">
  <ds:schemaRefs>
    <ds:schemaRef ds:uri="http://schemas.microsoft.com/sharepoint/v4"/>
    <ds:schemaRef ds:uri="19e7d4f3-73fc-4856-9652-f2c720d96380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d862a13f-a482-466e-b7f4-d27847e4e64e"/>
    <ds:schemaRef ds:uri="http://schemas.openxmlformats.org/package/2006/metadata/core-properties"/>
    <ds:schemaRef ds:uri="http://purl.org/dc/elements/1.1/"/>
    <ds:schemaRef ds:uri="http://purl.org/dc/terms/"/>
    <ds:schemaRef ds:uri="6b44be04-4f4f-4ad5-8583-fc6cfe787cfe"/>
    <ds:schemaRef ds:uri="http://schemas.microsoft.com/office/2006/metadata/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AA61C2FE-9524-4399-B2E7-A12E53FA3EE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862a13f-a482-466e-b7f4-d27847e4e64e"/>
    <ds:schemaRef ds:uri="6b44be04-4f4f-4ad5-8583-fc6cfe787cfe"/>
    <ds:schemaRef ds:uri="http://schemas.microsoft.com/sharepoint/v4"/>
    <ds:schemaRef ds:uri="19e7d4f3-73fc-4856-9652-f2c720d9638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6B64FEF0-FF6B-42E2-9321-CA9CE0CDE6D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14</vt:i4>
      </vt:variant>
    </vt:vector>
  </HeadingPairs>
  <TitlesOfParts>
    <vt:vector size="17" baseType="lpstr">
      <vt:lpstr>StoryMapping</vt:lpstr>
      <vt:lpstr>ReleaseProgress</vt:lpstr>
      <vt:lpstr>Setting</vt:lpstr>
      <vt:lpstr>DATA_LEFT</vt:lpstr>
      <vt:lpstr>DATA_MATRIX</vt:lpstr>
      <vt:lpstr>DATA_RIGHT</vt:lpstr>
      <vt:lpstr>DataSheetName</vt:lpstr>
      <vt:lpstr>LB_PRJ_NAMES</vt:lpstr>
      <vt:lpstr>LB_PROJECTS</vt:lpstr>
      <vt:lpstr>PRIORITY_VAL</vt:lpstr>
      <vt:lpstr>RefColumns</vt:lpstr>
      <vt:lpstr>RowBegin</vt:lpstr>
      <vt:lpstr>RowEnd</vt:lpstr>
      <vt:lpstr>stat</vt:lpstr>
      <vt:lpstr>TASK_TYPES</vt:lpstr>
      <vt:lpstr>TYPE_ALL</vt:lpstr>
      <vt:lpstr>StoryMapping!Zone_d_impression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Hassan AFIF</dc:creator>
  <cp:lastModifiedBy>Hassan AFIF</cp:lastModifiedBy>
  <cp:lastPrinted>2017-03-30T14:28:54Z</cp:lastPrinted>
  <dcterms:created xsi:type="dcterms:W3CDTF">2014-12-15T14:51:41Z</dcterms:created>
  <dcterms:modified xsi:type="dcterms:W3CDTF">2017-03-30T14:30:14Z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ersion">
    <vt:lpwstr>1.0.0</vt:lpwstr>
  </property>
  <property fmtid="{D5CDD505-2E9C-101B-9397-08002B2CF9AE}" pid="3" name="Email">
    <vt:lpwstr>h3afif@gmail.com</vt:lpwstr>
  </property>
  <property fmtid="{D5CDD505-2E9C-101B-9397-08002B2CF9AE}" pid="4" name="Licence">
    <vt:lpwstr>GNU</vt:lpwstr>
  </property>
</Properties>
</file>