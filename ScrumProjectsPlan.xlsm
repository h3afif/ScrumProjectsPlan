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lockStructure="1"/>
  <bookViews>
    <workbookView xWindow="9780" yWindow="1860" windowWidth="8640" windowHeight="7185"/>
  </bookViews>
  <sheets>
    <sheet name="StoryMapping" sheetId="1" r:id="rId1"/>
    <sheet name="ReleaseProgress" sheetId="2" r:id="rId2"/>
    <sheet name="Setting" sheetId="6" state="hidden" r:id="rId3"/>
  </sheets>
  <functionGroups builtInGroupCount="17"/>
  <definedNames>
    <definedName name="_xlnm._FilterDatabase" localSheetId="2" hidden="1">Setting!$B$3:$C$33</definedName>
    <definedName name="_xlnm._FilterDatabase" localSheetId="0" hidden="1">StoryMapping!$F$10:$S$1009</definedName>
    <definedName name="Applied">Setting!$B$77</definedName>
    <definedName name="Canceled">Setting!$B$75</definedName>
    <definedName name="CaptionsBarForFilter">StoryMapping!$F$10:$S$10</definedName>
    <definedName name="Closed">Setting!$B$74</definedName>
    <definedName name="DATA_LEFT">StoryMapping!$I$11:$O$1009</definedName>
    <definedName name="DATA_MATRIX">StoryMapping!$I$11:$R$1009</definedName>
    <definedName name="DATA_MATRIX_WITH_REF">StoryMapping!$H$11:$R$1009</definedName>
    <definedName name="DATA_RIGHT">StoryMapping!$P$11:$R$1009</definedName>
    <definedName name="DataSheetName">Setting!$F$4</definedName>
    <definedName name="In_progress">Setting!$B$73</definedName>
    <definedName name="LB_PRJ_NAMES">Setting!$B$4:$B$34</definedName>
    <definedName name="LB_PROJECTS">Setting!$B$4:$C$34</definedName>
    <definedName name="N_A">Setting!$B$78</definedName>
    <definedName name="Not_started">Setting!$B$72</definedName>
    <definedName name="PARAM_FIBONACCI">Setting!$B$39:$B$49</definedName>
    <definedName name="PointsColumn">StoryMapping!$M$11:$M$1009</definedName>
    <definedName name="PointsMinMax">StoryMapping!$M$8:$M$9</definedName>
    <definedName name="PRIORITY_VAL">Setting!$B$91:$B$95</definedName>
    <definedName name="RefColumns">StoryMapping!$H$11:$H$1009</definedName>
    <definedName name="RefColumnsWithCaption">StoryMapping!$P$10:$P$1009</definedName>
    <definedName name="RowBegin" comment="Story/Task first line in PlanAtions sheet">Setting!$D$83</definedName>
    <definedName name="RowEnd" comment="Story/Task last line in PlanAtions sheet">Setting!$D$84</definedName>
    <definedName name="stat">Setting!$B$72:$B$79</definedName>
    <definedName name="Suspended">Setting!$B$76</definedName>
    <definedName name="TASK_TYPES">Setting!$B$59:$B$66</definedName>
    <definedName name="transfertDataCaption">StoryMapping!$H$2</definedName>
    <definedName name="transfertDataRaw">StoryMapping!$H$11:$R$1009</definedName>
    <definedName name="transfertDataTitleCurrentSprint">StoryMapping!$F$5</definedName>
    <definedName name="transfertDataTitleProgress">StoryMapping!$Q$2</definedName>
    <definedName name="transfertDataTitles">StoryMapping!$H$10:$S$10</definedName>
    <definedName name="transfertSettingDataRowBegin">Setting!$C$83:$D$83</definedName>
    <definedName name="transfertSettingDataRowEnd">Setting!$C$84:$D$84</definedName>
    <definedName name="transfertSettingDataSheetName">Setting!$F$4</definedName>
    <definedName name="transfertSettingFeatures">Setting!$B$3:$D$34</definedName>
    <definedName name="transfertSettingFibonacci">Setting!$B$38:$C$49</definedName>
    <definedName name="transfertSettingPriority">Setting!$B$90:$B$95</definedName>
    <definedName name="transfertSettingSprint">Setting!$B$58:$C$66</definedName>
    <definedName name="transfertSettingStatus">Setting!$B$72:$B$79</definedName>
    <definedName name="TYPE_ALL">StoryMapping!$I$10:$I$1009</definedName>
  </definedNames>
  <calcPr calcId="145621"/>
</workbook>
</file>

<file path=xl/calcChain.xml><?xml version="1.0" encoding="utf-8"?>
<calcChain xmlns="http://schemas.openxmlformats.org/spreadsheetml/2006/main">
  <c r="E1009" i="1" l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D39" i="1"/>
  <c r="E39" i="1"/>
  <c r="D40" i="1"/>
  <c r="E40" i="1"/>
  <c r="D41" i="1"/>
  <c r="E41" i="1"/>
  <c r="D42" i="1"/>
  <c r="E42" i="1"/>
  <c r="D43" i="1"/>
  <c r="E4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15" i="1"/>
  <c r="E15" i="1"/>
  <c r="D14" i="1"/>
  <c r="E14" i="1"/>
  <c r="D13" i="1"/>
  <c r="E13" i="1"/>
  <c r="D12" i="1"/>
  <c r="E12" i="1"/>
  <c r="E11" i="1"/>
  <c r="D11" i="1"/>
  <c r="N4" i="1"/>
  <c r="N2" i="1"/>
  <c r="N8" i="1"/>
  <c r="N6" i="1"/>
  <c r="N5" i="1"/>
  <c r="N3" i="1"/>
  <c r="N7" i="1"/>
  <c r="O8" i="1" l="1"/>
  <c r="O7" i="1"/>
  <c r="O6" i="1"/>
  <c r="O5" i="1"/>
  <c r="O4" i="1"/>
  <c r="O3" i="1"/>
  <c r="O2" i="1"/>
  <c r="S1009" i="1" l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B5" i="2" l="1"/>
  <c r="Q5" i="1" l="1"/>
  <c r="F8" i="1"/>
  <c r="C1009" i="1"/>
  <c r="B1009" i="1"/>
  <c r="F1009" i="1" s="1"/>
  <c r="C1008" i="1"/>
  <c r="B1008" i="1"/>
  <c r="F1008" i="1" s="1"/>
  <c r="C1007" i="1"/>
  <c r="B1007" i="1"/>
  <c r="F1007" i="1" s="1"/>
  <c r="C1006" i="1"/>
  <c r="B1006" i="1"/>
  <c r="F1006" i="1" s="1"/>
  <c r="C1005" i="1"/>
  <c r="B1005" i="1"/>
  <c r="F1005" i="1" s="1"/>
  <c r="C1004" i="1"/>
  <c r="B1004" i="1"/>
  <c r="F1004" i="1" s="1"/>
  <c r="C1003" i="1"/>
  <c r="B1003" i="1"/>
  <c r="F1003" i="1" s="1"/>
  <c r="C1002" i="1"/>
  <c r="B1002" i="1"/>
  <c r="F1002" i="1" s="1"/>
  <c r="C1001" i="1"/>
  <c r="B1001" i="1"/>
  <c r="F1001" i="1" s="1"/>
  <c r="C1000" i="1"/>
  <c r="B1000" i="1"/>
  <c r="F1000" i="1" s="1"/>
  <c r="C999" i="1"/>
  <c r="B999" i="1"/>
  <c r="F999" i="1" s="1"/>
  <c r="C998" i="1"/>
  <c r="B998" i="1"/>
  <c r="F998" i="1" s="1"/>
  <c r="C997" i="1"/>
  <c r="B997" i="1"/>
  <c r="F997" i="1" s="1"/>
  <c r="C996" i="1"/>
  <c r="B996" i="1"/>
  <c r="F996" i="1" s="1"/>
  <c r="C995" i="1"/>
  <c r="B995" i="1"/>
  <c r="F995" i="1" s="1"/>
  <c r="C994" i="1"/>
  <c r="B994" i="1"/>
  <c r="F994" i="1" s="1"/>
  <c r="C993" i="1"/>
  <c r="B993" i="1"/>
  <c r="F993" i="1" s="1"/>
  <c r="C992" i="1"/>
  <c r="B992" i="1"/>
  <c r="F992" i="1" s="1"/>
  <c r="C991" i="1"/>
  <c r="B991" i="1"/>
  <c r="F991" i="1" s="1"/>
  <c r="C990" i="1"/>
  <c r="B990" i="1"/>
  <c r="F990" i="1" s="1"/>
  <c r="C989" i="1"/>
  <c r="B989" i="1"/>
  <c r="F989" i="1" s="1"/>
  <c r="C988" i="1"/>
  <c r="B988" i="1"/>
  <c r="F988" i="1" s="1"/>
  <c r="C987" i="1"/>
  <c r="B987" i="1"/>
  <c r="F987" i="1" s="1"/>
  <c r="C986" i="1"/>
  <c r="B986" i="1"/>
  <c r="F986" i="1" s="1"/>
  <c r="C985" i="1"/>
  <c r="B985" i="1"/>
  <c r="F985" i="1" s="1"/>
  <c r="C984" i="1"/>
  <c r="B984" i="1"/>
  <c r="F984" i="1" s="1"/>
  <c r="C983" i="1"/>
  <c r="B983" i="1"/>
  <c r="F983" i="1" s="1"/>
  <c r="C982" i="1"/>
  <c r="B982" i="1"/>
  <c r="F982" i="1" s="1"/>
  <c r="C981" i="1"/>
  <c r="B981" i="1"/>
  <c r="F981" i="1" s="1"/>
  <c r="C980" i="1"/>
  <c r="B980" i="1"/>
  <c r="F980" i="1" s="1"/>
  <c r="C979" i="1"/>
  <c r="B979" i="1"/>
  <c r="F979" i="1" s="1"/>
  <c r="C978" i="1"/>
  <c r="B978" i="1"/>
  <c r="F978" i="1" s="1"/>
  <c r="C977" i="1"/>
  <c r="B977" i="1"/>
  <c r="F977" i="1" s="1"/>
  <c r="C976" i="1"/>
  <c r="B976" i="1"/>
  <c r="F976" i="1" s="1"/>
  <c r="C975" i="1"/>
  <c r="B975" i="1"/>
  <c r="F975" i="1" s="1"/>
  <c r="C974" i="1"/>
  <c r="B974" i="1"/>
  <c r="F974" i="1" s="1"/>
  <c r="C973" i="1"/>
  <c r="B973" i="1"/>
  <c r="F973" i="1" s="1"/>
  <c r="C972" i="1"/>
  <c r="B972" i="1"/>
  <c r="F972" i="1" s="1"/>
  <c r="C971" i="1"/>
  <c r="B971" i="1"/>
  <c r="F971" i="1" s="1"/>
  <c r="C970" i="1"/>
  <c r="B970" i="1"/>
  <c r="F970" i="1" s="1"/>
  <c r="C969" i="1"/>
  <c r="B969" i="1"/>
  <c r="F969" i="1" s="1"/>
  <c r="C968" i="1"/>
  <c r="B968" i="1"/>
  <c r="F968" i="1" s="1"/>
  <c r="C967" i="1"/>
  <c r="B967" i="1"/>
  <c r="F967" i="1" s="1"/>
  <c r="C966" i="1"/>
  <c r="B966" i="1"/>
  <c r="F966" i="1" s="1"/>
  <c r="C965" i="1"/>
  <c r="B965" i="1"/>
  <c r="F965" i="1" s="1"/>
  <c r="C964" i="1"/>
  <c r="B964" i="1"/>
  <c r="F964" i="1" s="1"/>
  <c r="C963" i="1"/>
  <c r="B963" i="1"/>
  <c r="F963" i="1" s="1"/>
  <c r="C962" i="1"/>
  <c r="B962" i="1"/>
  <c r="F962" i="1" s="1"/>
  <c r="C961" i="1"/>
  <c r="B961" i="1"/>
  <c r="F961" i="1" s="1"/>
  <c r="C960" i="1"/>
  <c r="B960" i="1"/>
  <c r="F960" i="1" s="1"/>
  <c r="C959" i="1"/>
  <c r="B959" i="1"/>
  <c r="F959" i="1" s="1"/>
  <c r="C958" i="1"/>
  <c r="B958" i="1"/>
  <c r="F958" i="1" s="1"/>
  <c r="C957" i="1"/>
  <c r="B957" i="1"/>
  <c r="F957" i="1" s="1"/>
  <c r="C956" i="1"/>
  <c r="B956" i="1"/>
  <c r="F956" i="1" s="1"/>
  <c r="C955" i="1"/>
  <c r="B955" i="1"/>
  <c r="F955" i="1" s="1"/>
  <c r="C954" i="1"/>
  <c r="B954" i="1"/>
  <c r="F954" i="1" s="1"/>
  <c r="C953" i="1"/>
  <c r="B953" i="1"/>
  <c r="F953" i="1" s="1"/>
  <c r="C952" i="1"/>
  <c r="B952" i="1"/>
  <c r="F952" i="1" s="1"/>
  <c r="C951" i="1"/>
  <c r="B951" i="1"/>
  <c r="F951" i="1" s="1"/>
  <c r="C950" i="1"/>
  <c r="B950" i="1"/>
  <c r="F950" i="1" s="1"/>
  <c r="C949" i="1"/>
  <c r="B949" i="1"/>
  <c r="F949" i="1" s="1"/>
  <c r="C948" i="1"/>
  <c r="B948" i="1"/>
  <c r="F948" i="1" s="1"/>
  <c r="C947" i="1"/>
  <c r="B947" i="1"/>
  <c r="F947" i="1" s="1"/>
  <c r="C946" i="1"/>
  <c r="B946" i="1"/>
  <c r="F946" i="1" s="1"/>
  <c r="C945" i="1"/>
  <c r="B945" i="1"/>
  <c r="F945" i="1" s="1"/>
  <c r="C944" i="1"/>
  <c r="B944" i="1"/>
  <c r="F944" i="1" s="1"/>
  <c r="C943" i="1"/>
  <c r="B943" i="1"/>
  <c r="F943" i="1" s="1"/>
  <c r="C942" i="1"/>
  <c r="B942" i="1"/>
  <c r="F942" i="1" s="1"/>
  <c r="C941" i="1"/>
  <c r="B941" i="1"/>
  <c r="F941" i="1" s="1"/>
  <c r="C940" i="1"/>
  <c r="B940" i="1"/>
  <c r="F940" i="1" s="1"/>
  <c r="C939" i="1"/>
  <c r="B939" i="1"/>
  <c r="F939" i="1" s="1"/>
  <c r="C938" i="1"/>
  <c r="B938" i="1"/>
  <c r="F938" i="1" s="1"/>
  <c r="C937" i="1"/>
  <c r="B937" i="1"/>
  <c r="F937" i="1" s="1"/>
  <c r="C936" i="1"/>
  <c r="B936" i="1"/>
  <c r="F936" i="1" s="1"/>
  <c r="C935" i="1"/>
  <c r="B935" i="1"/>
  <c r="F935" i="1" s="1"/>
  <c r="C934" i="1"/>
  <c r="B934" i="1"/>
  <c r="F934" i="1" s="1"/>
  <c r="C933" i="1"/>
  <c r="B933" i="1"/>
  <c r="F933" i="1" s="1"/>
  <c r="C932" i="1"/>
  <c r="B932" i="1"/>
  <c r="F932" i="1" s="1"/>
  <c r="C931" i="1"/>
  <c r="B931" i="1"/>
  <c r="F931" i="1" s="1"/>
  <c r="C930" i="1"/>
  <c r="B930" i="1"/>
  <c r="F930" i="1" s="1"/>
  <c r="C929" i="1"/>
  <c r="B929" i="1"/>
  <c r="F929" i="1" s="1"/>
  <c r="C928" i="1"/>
  <c r="B928" i="1"/>
  <c r="F928" i="1" s="1"/>
  <c r="C927" i="1"/>
  <c r="B927" i="1"/>
  <c r="F927" i="1" s="1"/>
  <c r="C926" i="1"/>
  <c r="B926" i="1"/>
  <c r="F926" i="1" s="1"/>
  <c r="C925" i="1"/>
  <c r="B925" i="1"/>
  <c r="F925" i="1" s="1"/>
  <c r="C924" i="1"/>
  <c r="B924" i="1"/>
  <c r="F924" i="1" s="1"/>
  <c r="C923" i="1"/>
  <c r="B923" i="1"/>
  <c r="F923" i="1" s="1"/>
  <c r="C922" i="1"/>
  <c r="B922" i="1"/>
  <c r="F922" i="1" s="1"/>
  <c r="C921" i="1"/>
  <c r="B921" i="1"/>
  <c r="F921" i="1" s="1"/>
  <c r="C920" i="1"/>
  <c r="B920" i="1"/>
  <c r="F920" i="1" s="1"/>
  <c r="C919" i="1"/>
  <c r="B919" i="1"/>
  <c r="F919" i="1" s="1"/>
  <c r="C918" i="1"/>
  <c r="B918" i="1"/>
  <c r="F918" i="1" s="1"/>
  <c r="C917" i="1"/>
  <c r="B917" i="1"/>
  <c r="F917" i="1" s="1"/>
  <c r="C916" i="1"/>
  <c r="B916" i="1"/>
  <c r="F916" i="1" s="1"/>
  <c r="C915" i="1"/>
  <c r="B915" i="1"/>
  <c r="F915" i="1" s="1"/>
  <c r="C914" i="1"/>
  <c r="B914" i="1"/>
  <c r="F914" i="1" s="1"/>
  <c r="C913" i="1"/>
  <c r="B913" i="1"/>
  <c r="F913" i="1" s="1"/>
  <c r="C912" i="1"/>
  <c r="B912" i="1"/>
  <c r="F912" i="1" s="1"/>
  <c r="C911" i="1"/>
  <c r="B911" i="1"/>
  <c r="F911" i="1" s="1"/>
  <c r="C910" i="1"/>
  <c r="B910" i="1"/>
  <c r="F910" i="1" s="1"/>
  <c r="C909" i="1"/>
  <c r="B909" i="1"/>
  <c r="F909" i="1" s="1"/>
  <c r="C908" i="1"/>
  <c r="B908" i="1"/>
  <c r="F908" i="1" s="1"/>
  <c r="C907" i="1"/>
  <c r="B907" i="1"/>
  <c r="F907" i="1" s="1"/>
  <c r="C906" i="1"/>
  <c r="B906" i="1"/>
  <c r="F906" i="1" s="1"/>
  <c r="C905" i="1"/>
  <c r="B905" i="1"/>
  <c r="F905" i="1" s="1"/>
  <c r="C904" i="1"/>
  <c r="B904" i="1"/>
  <c r="F904" i="1" s="1"/>
  <c r="C903" i="1"/>
  <c r="B903" i="1"/>
  <c r="F903" i="1" s="1"/>
  <c r="C902" i="1"/>
  <c r="B902" i="1"/>
  <c r="F902" i="1" s="1"/>
  <c r="C901" i="1"/>
  <c r="B901" i="1"/>
  <c r="F901" i="1" s="1"/>
  <c r="C900" i="1"/>
  <c r="B900" i="1"/>
  <c r="F900" i="1" s="1"/>
  <c r="C899" i="1"/>
  <c r="B899" i="1"/>
  <c r="F899" i="1" s="1"/>
  <c r="C898" i="1"/>
  <c r="B898" i="1"/>
  <c r="F898" i="1" s="1"/>
  <c r="C897" i="1"/>
  <c r="B897" i="1"/>
  <c r="F897" i="1" s="1"/>
  <c r="C896" i="1"/>
  <c r="B896" i="1"/>
  <c r="F896" i="1" s="1"/>
  <c r="C895" i="1"/>
  <c r="B895" i="1"/>
  <c r="F895" i="1" s="1"/>
  <c r="C894" i="1"/>
  <c r="B894" i="1"/>
  <c r="F894" i="1" s="1"/>
  <c r="C893" i="1"/>
  <c r="B893" i="1"/>
  <c r="F893" i="1" s="1"/>
  <c r="C892" i="1"/>
  <c r="B892" i="1"/>
  <c r="F892" i="1" s="1"/>
  <c r="C891" i="1"/>
  <c r="B891" i="1"/>
  <c r="F891" i="1" s="1"/>
  <c r="C890" i="1"/>
  <c r="B890" i="1"/>
  <c r="F890" i="1" s="1"/>
  <c r="C889" i="1"/>
  <c r="B889" i="1"/>
  <c r="F889" i="1" s="1"/>
  <c r="C888" i="1"/>
  <c r="B888" i="1"/>
  <c r="F888" i="1" s="1"/>
  <c r="C887" i="1"/>
  <c r="B887" i="1"/>
  <c r="F887" i="1" s="1"/>
  <c r="C886" i="1"/>
  <c r="B886" i="1"/>
  <c r="F886" i="1" s="1"/>
  <c r="C885" i="1"/>
  <c r="B885" i="1"/>
  <c r="F885" i="1" s="1"/>
  <c r="C884" i="1"/>
  <c r="B884" i="1"/>
  <c r="F884" i="1" s="1"/>
  <c r="C883" i="1"/>
  <c r="B883" i="1"/>
  <c r="F883" i="1" s="1"/>
  <c r="C882" i="1"/>
  <c r="B882" i="1"/>
  <c r="F882" i="1" s="1"/>
  <c r="C881" i="1"/>
  <c r="B881" i="1"/>
  <c r="F881" i="1" s="1"/>
  <c r="C880" i="1"/>
  <c r="B880" i="1"/>
  <c r="F880" i="1" s="1"/>
  <c r="C879" i="1"/>
  <c r="B879" i="1"/>
  <c r="F879" i="1" s="1"/>
  <c r="C878" i="1"/>
  <c r="B878" i="1"/>
  <c r="F878" i="1" s="1"/>
  <c r="C877" i="1"/>
  <c r="B877" i="1"/>
  <c r="F877" i="1" s="1"/>
  <c r="C876" i="1"/>
  <c r="B876" i="1"/>
  <c r="F876" i="1" s="1"/>
  <c r="C875" i="1"/>
  <c r="B875" i="1"/>
  <c r="F875" i="1" s="1"/>
  <c r="C874" i="1"/>
  <c r="B874" i="1"/>
  <c r="F874" i="1" s="1"/>
  <c r="C873" i="1"/>
  <c r="B873" i="1"/>
  <c r="F873" i="1" s="1"/>
  <c r="C872" i="1"/>
  <c r="B872" i="1"/>
  <c r="F872" i="1" s="1"/>
  <c r="C871" i="1"/>
  <c r="B871" i="1"/>
  <c r="F871" i="1" s="1"/>
  <c r="C870" i="1"/>
  <c r="B870" i="1"/>
  <c r="F870" i="1" s="1"/>
  <c r="C869" i="1"/>
  <c r="B869" i="1"/>
  <c r="F869" i="1" s="1"/>
  <c r="C868" i="1"/>
  <c r="B868" i="1"/>
  <c r="F868" i="1" s="1"/>
  <c r="C867" i="1"/>
  <c r="B867" i="1"/>
  <c r="F867" i="1" s="1"/>
  <c r="C866" i="1"/>
  <c r="B866" i="1"/>
  <c r="F866" i="1" s="1"/>
  <c r="C865" i="1"/>
  <c r="B865" i="1"/>
  <c r="F865" i="1" s="1"/>
  <c r="C864" i="1"/>
  <c r="B864" i="1"/>
  <c r="F864" i="1" s="1"/>
  <c r="C863" i="1"/>
  <c r="B863" i="1"/>
  <c r="F863" i="1" s="1"/>
  <c r="C862" i="1"/>
  <c r="B862" i="1"/>
  <c r="F862" i="1" s="1"/>
  <c r="C861" i="1"/>
  <c r="B861" i="1"/>
  <c r="F861" i="1" s="1"/>
  <c r="C860" i="1"/>
  <c r="B860" i="1"/>
  <c r="F860" i="1" s="1"/>
  <c r="C859" i="1"/>
  <c r="B859" i="1"/>
  <c r="F859" i="1" s="1"/>
  <c r="C858" i="1"/>
  <c r="B858" i="1"/>
  <c r="F858" i="1" s="1"/>
  <c r="C857" i="1"/>
  <c r="B857" i="1"/>
  <c r="F857" i="1" s="1"/>
  <c r="C856" i="1"/>
  <c r="B856" i="1"/>
  <c r="F856" i="1" s="1"/>
  <c r="C855" i="1"/>
  <c r="B855" i="1"/>
  <c r="F855" i="1" s="1"/>
  <c r="C854" i="1"/>
  <c r="B854" i="1"/>
  <c r="F854" i="1" s="1"/>
  <c r="C853" i="1"/>
  <c r="B853" i="1"/>
  <c r="F853" i="1" s="1"/>
  <c r="C852" i="1"/>
  <c r="B852" i="1"/>
  <c r="F852" i="1" s="1"/>
  <c r="C851" i="1"/>
  <c r="B851" i="1"/>
  <c r="F851" i="1" s="1"/>
  <c r="C850" i="1"/>
  <c r="B850" i="1"/>
  <c r="F850" i="1" s="1"/>
  <c r="C849" i="1"/>
  <c r="B849" i="1"/>
  <c r="F849" i="1" s="1"/>
  <c r="C848" i="1"/>
  <c r="B848" i="1"/>
  <c r="F848" i="1" s="1"/>
  <c r="C847" i="1"/>
  <c r="B847" i="1"/>
  <c r="F847" i="1" s="1"/>
  <c r="C846" i="1"/>
  <c r="B846" i="1"/>
  <c r="F846" i="1" s="1"/>
  <c r="C845" i="1"/>
  <c r="B845" i="1"/>
  <c r="F845" i="1" s="1"/>
  <c r="C844" i="1"/>
  <c r="B844" i="1"/>
  <c r="F844" i="1" s="1"/>
  <c r="C843" i="1"/>
  <c r="B843" i="1"/>
  <c r="F843" i="1" s="1"/>
  <c r="C842" i="1"/>
  <c r="B842" i="1"/>
  <c r="F842" i="1" s="1"/>
  <c r="C841" i="1"/>
  <c r="B841" i="1"/>
  <c r="F841" i="1" s="1"/>
  <c r="C840" i="1"/>
  <c r="B840" i="1"/>
  <c r="F840" i="1" s="1"/>
  <c r="C839" i="1"/>
  <c r="B839" i="1"/>
  <c r="F839" i="1" s="1"/>
  <c r="C838" i="1"/>
  <c r="B838" i="1"/>
  <c r="F838" i="1" s="1"/>
  <c r="C837" i="1"/>
  <c r="B837" i="1"/>
  <c r="F837" i="1" s="1"/>
  <c r="C836" i="1"/>
  <c r="B836" i="1"/>
  <c r="F836" i="1" s="1"/>
  <c r="C835" i="1"/>
  <c r="B835" i="1"/>
  <c r="F835" i="1" s="1"/>
  <c r="C834" i="1"/>
  <c r="B834" i="1"/>
  <c r="F834" i="1" s="1"/>
  <c r="C833" i="1"/>
  <c r="B833" i="1"/>
  <c r="F833" i="1" s="1"/>
  <c r="C832" i="1"/>
  <c r="B832" i="1"/>
  <c r="F832" i="1" s="1"/>
  <c r="C831" i="1"/>
  <c r="B831" i="1"/>
  <c r="F831" i="1" s="1"/>
  <c r="C830" i="1"/>
  <c r="B830" i="1"/>
  <c r="F830" i="1" s="1"/>
  <c r="C829" i="1"/>
  <c r="B829" i="1"/>
  <c r="F829" i="1" s="1"/>
  <c r="C828" i="1"/>
  <c r="B828" i="1"/>
  <c r="F828" i="1" s="1"/>
  <c r="C827" i="1"/>
  <c r="B827" i="1"/>
  <c r="F827" i="1" s="1"/>
  <c r="C826" i="1"/>
  <c r="B826" i="1"/>
  <c r="F826" i="1" s="1"/>
  <c r="C825" i="1"/>
  <c r="B825" i="1"/>
  <c r="F825" i="1" s="1"/>
  <c r="C824" i="1"/>
  <c r="B824" i="1"/>
  <c r="F824" i="1" s="1"/>
  <c r="C823" i="1"/>
  <c r="B823" i="1"/>
  <c r="F823" i="1" s="1"/>
  <c r="C822" i="1"/>
  <c r="B822" i="1"/>
  <c r="F822" i="1" s="1"/>
  <c r="C821" i="1"/>
  <c r="B821" i="1"/>
  <c r="F821" i="1" s="1"/>
  <c r="C820" i="1"/>
  <c r="B820" i="1"/>
  <c r="F820" i="1" s="1"/>
  <c r="C819" i="1"/>
  <c r="B819" i="1"/>
  <c r="F819" i="1" s="1"/>
  <c r="C818" i="1"/>
  <c r="B818" i="1"/>
  <c r="F818" i="1" s="1"/>
  <c r="C817" i="1"/>
  <c r="B817" i="1"/>
  <c r="F817" i="1" s="1"/>
  <c r="C816" i="1"/>
  <c r="B816" i="1"/>
  <c r="F816" i="1" s="1"/>
  <c r="C815" i="1"/>
  <c r="B815" i="1"/>
  <c r="F815" i="1" s="1"/>
  <c r="C814" i="1"/>
  <c r="B814" i="1"/>
  <c r="F814" i="1" s="1"/>
  <c r="C813" i="1"/>
  <c r="B813" i="1"/>
  <c r="F813" i="1" s="1"/>
  <c r="C812" i="1"/>
  <c r="B812" i="1"/>
  <c r="F812" i="1" s="1"/>
  <c r="C811" i="1"/>
  <c r="B811" i="1"/>
  <c r="F811" i="1" s="1"/>
  <c r="C810" i="1"/>
  <c r="B810" i="1"/>
  <c r="F810" i="1" s="1"/>
  <c r="C809" i="1"/>
  <c r="B809" i="1"/>
  <c r="F809" i="1" s="1"/>
  <c r="C808" i="1"/>
  <c r="B808" i="1"/>
  <c r="F808" i="1" s="1"/>
  <c r="C807" i="1"/>
  <c r="B807" i="1"/>
  <c r="F807" i="1" s="1"/>
  <c r="C806" i="1"/>
  <c r="B806" i="1"/>
  <c r="F806" i="1" s="1"/>
  <c r="C805" i="1"/>
  <c r="B805" i="1"/>
  <c r="F805" i="1" s="1"/>
  <c r="C804" i="1"/>
  <c r="B804" i="1"/>
  <c r="F804" i="1" s="1"/>
  <c r="C803" i="1"/>
  <c r="B803" i="1"/>
  <c r="F803" i="1" s="1"/>
  <c r="C802" i="1"/>
  <c r="B802" i="1"/>
  <c r="F802" i="1" s="1"/>
  <c r="C801" i="1"/>
  <c r="B801" i="1"/>
  <c r="F801" i="1" s="1"/>
  <c r="C800" i="1"/>
  <c r="B800" i="1"/>
  <c r="F800" i="1" s="1"/>
  <c r="C799" i="1"/>
  <c r="B799" i="1"/>
  <c r="F799" i="1" s="1"/>
  <c r="C798" i="1"/>
  <c r="B798" i="1"/>
  <c r="F798" i="1" s="1"/>
  <c r="C797" i="1"/>
  <c r="B797" i="1"/>
  <c r="F797" i="1" s="1"/>
  <c r="C796" i="1"/>
  <c r="B796" i="1"/>
  <c r="F796" i="1" s="1"/>
  <c r="C795" i="1"/>
  <c r="B795" i="1"/>
  <c r="F795" i="1" s="1"/>
  <c r="C794" i="1"/>
  <c r="B794" i="1"/>
  <c r="F794" i="1" s="1"/>
  <c r="C793" i="1"/>
  <c r="B793" i="1"/>
  <c r="F793" i="1" s="1"/>
  <c r="C792" i="1"/>
  <c r="B792" i="1"/>
  <c r="F792" i="1" s="1"/>
  <c r="C791" i="1"/>
  <c r="B791" i="1"/>
  <c r="F791" i="1" s="1"/>
  <c r="C790" i="1"/>
  <c r="B790" i="1"/>
  <c r="F790" i="1" s="1"/>
  <c r="C789" i="1"/>
  <c r="B789" i="1"/>
  <c r="F789" i="1" s="1"/>
  <c r="C788" i="1"/>
  <c r="B788" i="1"/>
  <c r="F788" i="1" s="1"/>
  <c r="C787" i="1"/>
  <c r="B787" i="1"/>
  <c r="F787" i="1" s="1"/>
  <c r="C786" i="1"/>
  <c r="B786" i="1"/>
  <c r="F786" i="1" s="1"/>
  <c r="C785" i="1"/>
  <c r="B785" i="1"/>
  <c r="F785" i="1" s="1"/>
  <c r="C784" i="1"/>
  <c r="B784" i="1"/>
  <c r="F784" i="1" s="1"/>
  <c r="C783" i="1"/>
  <c r="B783" i="1"/>
  <c r="F783" i="1" s="1"/>
  <c r="C782" i="1"/>
  <c r="B782" i="1"/>
  <c r="F782" i="1" s="1"/>
  <c r="C781" i="1"/>
  <c r="B781" i="1"/>
  <c r="F781" i="1" s="1"/>
  <c r="C780" i="1"/>
  <c r="B780" i="1"/>
  <c r="F780" i="1" s="1"/>
  <c r="C779" i="1"/>
  <c r="B779" i="1"/>
  <c r="F779" i="1" s="1"/>
  <c r="C778" i="1"/>
  <c r="B778" i="1"/>
  <c r="F778" i="1" s="1"/>
  <c r="C777" i="1"/>
  <c r="B777" i="1"/>
  <c r="F777" i="1" s="1"/>
  <c r="C776" i="1"/>
  <c r="B776" i="1"/>
  <c r="F776" i="1" s="1"/>
  <c r="C775" i="1"/>
  <c r="B775" i="1"/>
  <c r="F775" i="1" s="1"/>
  <c r="C774" i="1"/>
  <c r="B774" i="1"/>
  <c r="F774" i="1" s="1"/>
  <c r="C773" i="1"/>
  <c r="B773" i="1"/>
  <c r="F773" i="1" s="1"/>
  <c r="C772" i="1"/>
  <c r="B772" i="1"/>
  <c r="F772" i="1" s="1"/>
  <c r="C771" i="1"/>
  <c r="B771" i="1"/>
  <c r="F771" i="1" s="1"/>
  <c r="C770" i="1"/>
  <c r="B770" i="1"/>
  <c r="F770" i="1" s="1"/>
  <c r="C769" i="1"/>
  <c r="B769" i="1"/>
  <c r="F769" i="1" s="1"/>
  <c r="C768" i="1"/>
  <c r="B768" i="1"/>
  <c r="F768" i="1" s="1"/>
  <c r="C767" i="1"/>
  <c r="B767" i="1"/>
  <c r="F767" i="1" s="1"/>
  <c r="C766" i="1"/>
  <c r="B766" i="1"/>
  <c r="F766" i="1" s="1"/>
  <c r="C765" i="1"/>
  <c r="B765" i="1"/>
  <c r="F765" i="1" s="1"/>
  <c r="C764" i="1"/>
  <c r="B764" i="1"/>
  <c r="F764" i="1" s="1"/>
  <c r="C763" i="1"/>
  <c r="B763" i="1"/>
  <c r="F763" i="1" s="1"/>
  <c r="C762" i="1"/>
  <c r="B762" i="1"/>
  <c r="F762" i="1" s="1"/>
  <c r="C761" i="1"/>
  <c r="B761" i="1"/>
  <c r="F761" i="1" s="1"/>
  <c r="C760" i="1"/>
  <c r="B760" i="1"/>
  <c r="F760" i="1" s="1"/>
  <c r="C759" i="1"/>
  <c r="B759" i="1"/>
  <c r="F759" i="1" s="1"/>
  <c r="C758" i="1"/>
  <c r="B758" i="1"/>
  <c r="F758" i="1" s="1"/>
  <c r="C757" i="1"/>
  <c r="B757" i="1"/>
  <c r="F757" i="1" s="1"/>
  <c r="C756" i="1"/>
  <c r="B756" i="1"/>
  <c r="F756" i="1" s="1"/>
  <c r="C755" i="1"/>
  <c r="B755" i="1"/>
  <c r="F755" i="1" s="1"/>
  <c r="C754" i="1"/>
  <c r="B754" i="1"/>
  <c r="F754" i="1" s="1"/>
  <c r="C753" i="1"/>
  <c r="B753" i="1"/>
  <c r="F753" i="1" s="1"/>
  <c r="C752" i="1"/>
  <c r="B752" i="1"/>
  <c r="F752" i="1" s="1"/>
  <c r="C751" i="1"/>
  <c r="B751" i="1"/>
  <c r="F751" i="1" s="1"/>
  <c r="C750" i="1"/>
  <c r="B750" i="1"/>
  <c r="F750" i="1" s="1"/>
  <c r="C749" i="1"/>
  <c r="B749" i="1"/>
  <c r="F749" i="1" s="1"/>
  <c r="C748" i="1"/>
  <c r="B748" i="1"/>
  <c r="F748" i="1" s="1"/>
  <c r="C747" i="1"/>
  <c r="B747" i="1"/>
  <c r="F747" i="1" s="1"/>
  <c r="C746" i="1"/>
  <c r="B746" i="1"/>
  <c r="F746" i="1" s="1"/>
  <c r="C745" i="1"/>
  <c r="B745" i="1"/>
  <c r="F745" i="1" s="1"/>
  <c r="C744" i="1"/>
  <c r="B744" i="1"/>
  <c r="F744" i="1" s="1"/>
  <c r="C743" i="1"/>
  <c r="B743" i="1"/>
  <c r="F743" i="1" s="1"/>
  <c r="C742" i="1"/>
  <c r="B742" i="1"/>
  <c r="F742" i="1" s="1"/>
  <c r="C741" i="1"/>
  <c r="B741" i="1"/>
  <c r="F741" i="1" s="1"/>
  <c r="C740" i="1"/>
  <c r="B740" i="1"/>
  <c r="F740" i="1" s="1"/>
  <c r="C739" i="1"/>
  <c r="B739" i="1"/>
  <c r="F739" i="1" s="1"/>
  <c r="C738" i="1"/>
  <c r="B738" i="1"/>
  <c r="F738" i="1" s="1"/>
  <c r="C737" i="1"/>
  <c r="B737" i="1"/>
  <c r="F737" i="1" s="1"/>
  <c r="C736" i="1"/>
  <c r="B736" i="1"/>
  <c r="F736" i="1" s="1"/>
  <c r="C735" i="1"/>
  <c r="B735" i="1"/>
  <c r="F735" i="1" s="1"/>
  <c r="C734" i="1"/>
  <c r="B734" i="1"/>
  <c r="F734" i="1" s="1"/>
  <c r="C733" i="1"/>
  <c r="B733" i="1"/>
  <c r="F733" i="1" s="1"/>
  <c r="C732" i="1"/>
  <c r="B732" i="1"/>
  <c r="F732" i="1" s="1"/>
  <c r="C731" i="1"/>
  <c r="B731" i="1"/>
  <c r="F731" i="1" s="1"/>
  <c r="C730" i="1"/>
  <c r="B730" i="1"/>
  <c r="F730" i="1" s="1"/>
  <c r="C729" i="1"/>
  <c r="B729" i="1"/>
  <c r="F729" i="1" s="1"/>
  <c r="C728" i="1"/>
  <c r="B728" i="1"/>
  <c r="F728" i="1" s="1"/>
  <c r="C727" i="1"/>
  <c r="B727" i="1"/>
  <c r="F727" i="1" s="1"/>
  <c r="C726" i="1"/>
  <c r="B726" i="1"/>
  <c r="F726" i="1" s="1"/>
  <c r="C725" i="1"/>
  <c r="B725" i="1"/>
  <c r="F725" i="1" s="1"/>
  <c r="C724" i="1"/>
  <c r="B724" i="1"/>
  <c r="F724" i="1" s="1"/>
  <c r="C723" i="1"/>
  <c r="B723" i="1"/>
  <c r="F723" i="1" s="1"/>
  <c r="C722" i="1"/>
  <c r="B722" i="1"/>
  <c r="F722" i="1" s="1"/>
  <c r="C721" i="1"/>
  <c r="B721" i="1"/>
  <c r="F721" i="1" s="1"/>
  <c r="C720" i="1"/>
  <c r="B720" i="1"/>
  <c r="F720" i="1" s="1"/>
  <c r="C719" i="1"/>
  <c r="B719" i="1"/>
  <c r="F719" i="1" s="1"/>
  <c r="C718" i="1"/>
  <c r="B718" i="1"/>
  <c r="F718" i="1" s="1"/>
  <c r="C717" i="1"/>
  <c r="B717" i="1"/>
  <c r="F717" i="1" s="1"/>
  <c r="C716" i="1"/>
  <c r="B716" i="1"/>
  <c r="F716" i="1" s="1"/>
  <c r="C715" i="1"/>
  <c r="B715" i="1"/>
  <c r="F715" i="1" s="1"/>
  <c r="C714" i="1"/>
  <c r="B714" i="1"/>
  <c r="F714" i="1" s="1"/>
  <c r="C713" i="1"/>
  <c r="B713" i="1"/>
  <c r="F713" i="1" s="1"/>
  <c r="C712" i="1"/>
  <c r="B712" i="1"/>
  <c r="F712" i="1" s="1"/>
  <c r="C711" i="1"/>
  <c r="B711" i="1"/>
  <c r="F711" i="1" s="1"/>
  <c r="C710" i="1"/>
  <c r="B710" i="1"/>
  <c r="F710" i="1" s="1"/>
  <c r="C709" i="1"/>
  <c r="B709" i="1"/>
  <c r="F709" i="1" s="1"/>
  <c r="C708" i="1"/>
  <c r="B708" i="1"/>
  <c r="F708" i="1" s="1"/>
  <c r="C707" i="1"/>
  <c r="B707" i="1"/>
  <c r="F707" i="1" s="1"/>
  <c r="C706" i="1"/>
  <c r="B706" i="1"/>
  <c r="F706" i="1" s="1"/>
  <c r="C705" i="1"/>
  <c r="B705" i="1"/>
  <c r="F705" i="1" s="1"/>
  <c r="C704" i="1"/>
  <c r="B704" i="1"/>
  <c r="F704" i="1" s="1"/>
  <c r="C703" i="1"/>
  <c r="B703" i="1"/>
  <c r="F703" i="1" s="1"/>
  <c r="C702" i="1"/>
  <c r="B702" i="1"/>
  <c r="F702" i="1" s="1"/>
  <c r="C701" i="1"/>
  <c r="B701" i="1"/>
  <c r="F701" i="1" s="1"/>
  <c r="C700" i="1"/>
  <c r="B700" i="1"/>
  <c r="F700" i="1" s="1"/>
  <c r="C699" i="1"/>
  <c r="B699" i="1"/>
  <c r="F699" i="1" s="1"/>
  <c r="C698" i="1"/>
  <c r="B698" i="1"/>
  <c r="F698" i="1" s="1"/>
  <c r="C697" i="1"/>
  <c r="B697" i="1"/>
  <c r="F697" i="1" s="1"/>
  <c r="C696" i="1"/>
  <c r="B696" i="1"/>
  <c r="F696" i="1" s="1"/>
  <c r="C695" i="1"/>
  <c r="B695" i="1"/>
  <c r="F695" i="1" s="1"/>
  <c r="C694" i="1"/>
  <c r="B694" i="1"/>
  <c r="F694" i="1" s="1"/>
  <c r="C693" i="1"/>
  <c r="B693" i="1"/>
  <c r="F693" i="1" s="1"/>
  <c r="C692" i="1"/>
  <c r="B692" i="1"/>
  <c r="F692" i="1" s="1"/>
  <c r="C691" i="1"/>
  <c r="B691" i="1"/>
  <c r="F691" i="1" s="1"/>
  <c r="C690" i="1"/>
  <c r="B690" i="1"/>
  <c r="F690" i="1" s="1"/>
  <c r="C689" i="1"/>
  <c r="B689" i="1"/>
  <c r="F689" i="1" s="1"/>
  <c r="C688" i="1"/>
  <c r="B688" i="1"/>
  <c r="F688" i="1" s="1"/>
  <c r="C687" i="1"/>
  <c r="B687" i="1"/>
  <c r="F687" i="1" s="1"/>
  <c r="C686" i="1"/>
  <c r="B686" i="1"/>
  <c r="F686" i="1" s="1"/>
  <c r="C685" i="1"/>
  <c r="B685" i="1"/>
  <c r="F685" i="1" s="1"/>
  <c r="C684" i="1"/>
  <c r="B684" i="1"/>
  <c r="F684" i="1" s="1"/>
  <c r="C683" i="1"/>
  <c r="B683" i="1"/>
  <c r="F683" i="1" s="1"/>
  <c r="C682" i="1"/>
  <c r="B682" i="1"/>
  <c r="F682" i="1" s="1"/>
  <c r="C681" i="1"/>
  <c r="B681" i="1"/>
  <c r="F681" i="1" s="1"/>
  <c r="C680" i="1"/>
  <c r="B680" i="1"/>
  <c r="F680" i="1" s="1"/>
  <c r="C679" i="1"/>
  <c r="B679" i="1"/>
  <c r="F679" i="1" s="1"/>
  <c r="C678" i="1"/>
  <c r="B678" i="1"/>
  <c r="F678" i="1" s="1"/>
  <c r="C677" i="1"/>
  <c r="B677" i="1"/>
  <c r="F677" i="1" s="1"/>
  <c r="C676" i="1"/>
  <c r="B676" i="1"/>
  <c r="F676" i="1" s="1"/>
  <c r="C675" i="1"/>
  <c r="B675" i="1"/>
  <c r="F675" i="1" s="1"/>
  <c r="C674" i="1"/>
  <c r="B674" i="1"/>
  <c r="F674" i="1" s="1"/>
  <c r="C673" i="1"/>
  <c r="B673" i="1"/>
  <c r="F673" i="1" s="1"/>
  <c r="C672" i="1"/>
  <c r="B672" i="1"/>
  <c r="F672" i="1" s="1"/>
  <c r="C671" i="1"/>
  <c r="B671" i="1"/>
  <c r="F671" i="1" s="1"/>
  <c r="C670" i="1"/>
  <c r="B670" i="1"/>
  <c r="F670" i="1" s="1"/>
  <c r="C669" i="1"/>
  <c r="B669" i="1"/>
  <c r="F669" i="1" s="1"/>
  <c r="C668" i="1"/>
  <c r="B668" i="1"/>
  <c r="F668" i="1" s="1"/>
  <c r="C667" i="1"/>
  <c r="B667" i="1"/>
  <c r="F667" i="1" s="1"/>
  <c r="C666" i="1"/>
  <c r="B666" i="1"/>
  <c r="F666" i="1" s="1"/>
  <c r="C665" i="1"/>
  <c r="B665" i="1"/>
  <c r="F665" i="1" s="1"/>
  <c r="C664" i="1"/>
  <c r="B664" i="1"/>
  <c r="F664" i="1" s="1"/>
  <c r="C663" i="1"/>
  <c r="B663" i="1"/>
  <c r="F663" i="1" s="1"/>
  <c r="C662" i="1"/>
  <c r="B662" i="1"/>
  <c r="F662" i="1" s="1"/>
  <c r="C661" i="1"/>
  <c r="B661" i="1"/>
  <c r="F661" i="1" s="1"/>
  <c r="C660" i="1"/>
  <c r="B660" i="1"/>
  <c r="F660" i="1" s="1"/>
  <c r="C659" i="1"/>
  <c r="B659" i="1"/>
  <c r="F659" i="1" s="1"/>
  <c r="C658" i="1"/>
  <c r="B658" i="1"/>
  <c r="F658" i="1" s="1"/>
  <c r="C657" i="1"/>
  <c r="B657" i="1"/>
  <c r="F657" i="1" s="1"/>
  <c r="C656" i="1"/>
  <c r="B656" i="1"/>
  <c r="F656" i="1" s="1"/>
  <c r="C655" i="1"/>
  <c r="B655" i="1"/>
  <c r="F655" i="1" s="1"/>
  <c r="C654" i="1"/>
  <c r="B654" i="1"/>
  <c r="F654" i="1" s="1"/>
  <c r="C653" i="1"/>
  <c r="B653" i="1"/>
  <c r="F653" i="1" s="1"/>
  <c r="C652" i="1"/>
  <c r="B652" i="1"/>
  <c r="F652" i="1" s="1"/>
  <c r="C651" i="1"/>
  <c r="B651" i="1"/>
  <c r="F651" i="1" s="1"/>
  <c r="C650" i="1"/>
  <c r="B650" i="1"/>
  <c r="F650" i="1" s="1"/>
  <c r="C649" i="1"/>
  <c r="B649" i="1"/>
  <c r="F649" i="1" s="1"/>
  <c r="C648" i="1"/>
  <c r="B648" i="1"/>
  <c r="F648" i="1" s="1"/>
  <c r="C647" i="1"/>
  <c r="B647" i="1"/>
  <c r="F647" i="1" s="1"/>
  <c r="C646" i="1"/>
  <c r="B646" i="1"/>
  <c r="F646" i="1" s="1"/>
  <c r="C645" i="1"/>
  <c r="B645" i="1"/>
  <c r="F645" i="1" s="1"/>
  <c r="C644" i="1"/>
  <c r="B644" i="1"/>
  <c r="F644" i="1" s="1"/>
  <c r="C643" i="1"/>
  <c r="B643" i="1"/>
  <c r="F643" i="1" s="1"/>
  <c r="C642" i="1"/>
  <c r="B642" i="1"/>
  <c r="F642" i="1" s="1"/>
  <c r="C641" i="1"/>
  <c r="B641" i="1"/>
  <c r="F641" i="1" s="1"/>
  <c r="C640" i="1"/>
  <c r="B640" i="1"/>
  <c r="F640" i="1" s="1"/>
  <c r="C639" i="1"/>
  <c r="B639" i="1"/>
  <c r="F639" i="1" s="1"/>
  <c r="C638" i="1"/>
  <c r="B638" i="1"/>
  <c r="F638" i="1" s="1"/>
  <c r="C637" i="1"/>
  <c r="B637" i="1"/>
  <c r="F637" i="1" s="1"/>
  <c r="C636" i="1"/>
  <c r="B636" i="1"/>
  <c r="F636" i="1" s="1"/>
  <c r="C635" i="1"/>
  <c r="B635" i="1"/>
  <c r="F635" i="1" s="1"/>
  <c r="C634" i="1"/>
  <c r="B634" i="1"/>
  <c r="F634" i="1" s="1"/>
  <c r="C633" i="1"/>
  <c r="B633" i="1"/>
  <c r="F633" i="1" s="1"/>
  <c r="C632" i="1"/>
  <c r="B632" i="1"/>
  <c r="F632" i="1" s="1"/>
  <c r="C631" i="1"/>
  <c r="B631" i="1"/>
  <c r="F631" i="1" s="1"/>
  <c r="C630" i="1"/>
  <c r="B630" i="1"/>
  <c r="F630" i="1" s="1"/>
  <c r="C629" i="1"/>
  <c r="B629" i="1"/>
  <c r="F629" i="1" s="1"/>
  <c r="C628" i="1"/>
  <c r="B628" i="1"/>
  <c r="F628" i="1" s="1"/>
  <c r="C627" i="1"/>
  <c r="B627" i="1"/>
  <c r="F627" i="1" s="1"/>
  <c r="C626" i="1"/>
  <c r="B626" i="1"/>
  <c r="F626" i="1" s="1"/>
  <c r="C625" i="1"/>
  <c r="B625" i="1"/>
  <c r="F625" i="1" s="1"/>
  <c r="C624" i="1"/>
  <c r="B624" i="1"/>
  <c r="F624" i="1" s="1"/>
  <c r="C623" i="1"/>
  <c r="B623" i="1"/>
  <c r="F623" i="1" s="1"/>
  <c r="C622" i="1"/>
  <c r="B622" i="1"/>
  <c r="F622" i="1" s="1"/>
  <c r="C621" i="1"/>
  <c r="B621" i="1"/>
  <c r="F621" i="1" s="1"/>
  <c r="C620" i="1"/>
  <c r="B620" i="1"/>
  <c r="F620" i="1" s="1"/>
  <c r="C619" i="1"/>
  <c r="B619" i="1"/>
  <c r="F619" i="1" s="1"/>
  <c r="C618" i="1"/>
  <c r="B618" i="1"/>
  <c r="F618" i="1" s="1"/>
  <c r="C617" i="1"/>
  <c r="B617" i="1"/>
  <c r="F617" i="1" s="1"/>
  <c r="C616" i="1"/>
  <c r="B616" i="1"/>
  <c r="F616" i="1" s="1"/>
  <c r="C615" i="1"/>
  <c r="B615" i="1"/>
  <c r="F615" i="1" s="1"/>
  <c r="C614" i="1"/>
  <c r="B614" i="1"/>
  <c r="F614" i="1" s="1"/>
  <c r="C613" i="1"/>
  <c r="B613" i="1"/>
  <c r="F613" i="1" s="1"/>
  <c r="C612" i="1"/>
  <c r="B612" i="1"/>
  <c r="F612" i="1" s="1"/>
  <c r="C611" i="1"/>
  <c r="B611" i="1"/>
  <c r="F611" i="1" s="1"/>
  <c r="C610" i="1"/>
  <c r="B610" i="1"/>
  <c r="F610" i="1" s="1"/>
  <c r="C609" i="1"/>
  <c r="B609" i="1"/>
  <c r="F609" i="1" s="1"/>
  <c r="C608" i="1"/>
  <c r="B608" i="1"/>
  <c r="F608" i="1" s="1"/>
  <c r="C607" i="1"/>
  <c r="B607" i="1"/>
  <c r="F607" i="1" s="1"/>
  <c r="C606" i="1"/>
  <c r="B606" i="1"/>
  <c r="F606" i="1" s="1"/>
  <c r="C605" i="1"/>
  <c r="B605" i="1"/>
  <c r="F605" i="1" s="1"/>
  <c r="C604" i="1"/>
  <c r="B604" i="1"/>
  <c r="F604" i="1" s="1"/>
  <c r="C603" i="1"/>
  <c r="B603" i="1"/>
  <c r="F603" i="1" s="1"/>
  <c r="C602" i="1"/>
  <c r="B602" i="1"/>
  <c r="F602" i="1" s="1"/>
  <c r="C601" i="1"/>
  <c r="B601" i="1"/>
  <c r="F601" i="1" s="1"/>
  <c r="C600" i="1"/>
  <c r="B600" i="1"/>
  <c r="F600" i="1" s="1"/>
  <c r="C599" i="1"/>
  <c r="B599" i="1"/>
  <c r="F599" i="1" s="1"/>
  <c r="C598" i="1"/>
  <c r="B598" i="1"/>
  <c r="F598" i="1" s="1"/>
  <c r="C597" i="1"/>
  <c r="B597" i="1"/>
  <c r="F597" i="1" s="1"/>
  <c r="C596" i="1"/>
  <c r="B596" i="1"/>
  <c r="F596" i="1" s="1"/>
  <c r="C595" i="1"/>
  <c r="B595" i="1"/>
  <c r="F595" i="1" s="1"/>
  <c r="C594" i="1"/>
  <c r="B594" i="1"/>
  <c r="F594" i="1" s="1"/>
  <c r="C593" i="1"/>
  <c r="B593" i="1"/>
  <c r="F593" i="1" s="1"/>
  <c r="C592" i="1"/>
  <c r="B592" i="1"/>
  <c r="F592" i="1" s="1"/>
  <c r="C591" i="1"/>
  <c r="B591" i="1"/>
  <c r="F591" i="1" s="1"/>
  <c r="C590" i="1"/>
  <c r="B590" i="1"/>
  <c r="F590" i="1" s="1"/>
  <c r="C589" i="1"/>
  <c r="B589" i="1"/>
  <c r="F589" i="1" s="1"/>
  <c r="C588" i="1"/>
  <c r="B588" i="1"/>
  <c r="F588" i="1" s="1"/>
  <c r="C587" i="1"/>
  <c r="B587" i="1"/>
  <c r="F587" i="1" s="1"/>
  <c r="C586" i="1"/>
  <c r="B586" i="1"/>
  <c r="F586" i="1" s="1"/>
  <c r="C585" i="1"/>
  <c r="B585" i="1"/>
  <c r="F585" i="1" s="1"/>
  <c r="C584" i="1"/>
  <c r="B584" i="1"/>
  <c r="F584" i="1" s="1"/>
  <c r="C583" i="1"/>
  <c r="B583" i="1"/>
  <c r="F583" i="1" s="1"/>
  <c r="C582" i="1"/>
  <c r="B582" i="1"/>
  <c r="F582" i="1" s="1"/>
  <c r="C581" i="1"/>
  <c r="B581" i="1"/>
  <c r="F581" i="1" s="1"/>
  <c r="C580" i="1"/>
  <c r="B580" i="1"/>
  <c r="F580" i="1" s="1"/>
  <c r="C579" i="1"/>
  <c r="B579" i="1"/>
  <c r="F579" i="1" s="1"/>
  <c r="C578" i="1"/>
  <c r="B578" i="1"/>
  <c r="F578" i="1" s="1"/>
  <c r="C577" i="1"/>
  <c r="B577" i="1"/>
  <c r="F577" i="1" s="1"/>
  <c r="C576" i="1"/>
  <c r="B576" i="1"/>
  <c r="F576" i="1" s="1"/>
  <c r="C575" i="1"/>
  <c r="B575" i="1"/>
  <c r="F575" i="1" s="1"/>
  <c r="C574" i="1"/>
  <c r="B574" i="1"/>
  <c r="F574" i="1" s="1"/>
  <c r="C573" i="1"/>
  <c r="B573" i="1"/>
  <c r="F573" i="1" s="1"/>
  <c r="C572" i="1"/>
  <c r="B572" i="1"/>
  <c r="F572" i="1" s="1"/>
  <c r="C571" i="1"/>
  <c r="B571" i="1"/>
  <c r="F571" i="1" s="1"/>
  <c r="C570" i="1"/>
  <c r="B570" i="1"/>
  <c r="F570" i="1" s="1"/>
  <c r="C569" i="1"/>
  <c r="B569" i="1"/>
  <c r="F569" i="1" s="1"/>
  <c r="C568" i="1"/>
  <c r="B568" i="1"/>
  <c r="F568" i="1" s="1"/>
  <c r="C567" i="1"/>
  <c r="B567" i="1"/>
  <c r="F567" i="1" s="1"/>
  <c r="C566" i="1"/>
  <c r="B566" i="1"/>
  <c r="F566" i="1" s="1"/>
  <c r="C565" i="1"/>
  <c r="B565" i="1"/>
  <c r="F565" i="1" s="1"/>
  <c r="C564" i="1"/>
  <c r="B564" i="1"/>
  <c r="F564" i="1" s="1"/>
  <c r="C563" i="1"/>
  <c r="B563" i="1"/>
  <c r="F563" i="1" s="1"/>
  <c r="C562" i="1"/>
  <c r="B562" i="1"/>
  <c r="F562" i="1" s="1"/>
  <c r="C561" i="1"/>
  <c r="B561" i="1"/>
  <c r="F561" i="1" s="1"/>
  <c r="C560" i="1"/>
  <c r="B560" i="1"/>
  <c r="F560" i="1" s="1"/>
  <c r="C559" i="1"/>
  <c r="B559" i="1"/>
  <c r="F559" i="1" s="1"/>
  <c r="C558" i="1"/>
  <c r="B558" i="1"/>
  <c r="F558" i="1" s="1"/>
  <c r="C557" i="1"/>
  <c r="B557" i="1"/>
  <c r="F557" i="1" s="1"/>
  <c r="C556" i="1"/>
  <c r="B556" i="1"/>
  <c r="F556" i="1" s="1"/>
  <c r="C555" i="1"/>
  <c r="B555" i="1"/>
  <c r="F555" i="1" s="1"/>
  <c r="C554" i="1"/>
  <c r="B554" i="1"/>
  <c r="F554" i="1" s="1"/>
  <c r="C553" i="1"/>
  <c r="B553" i="1"/>
  <c r="F553" i="1" s="1"/>
  <c r="C552" i="1"/>
  <c r="B552" i="1"/>
  <c r="F552" i="1" s="1"/>
  <c r="C551" i="1"/>
  <c r="B551" i="1"/>
  <c r="F551" i="1" s="1"/>
  <c r="C550" i="1"/>
  <c r="B550" i="1"/>
  <c r="F550" i="1" s="1"/>
  <c r="C549" i="1"/>
  <c r="B549" i="1"/>
  <c r="F549" i="1" s="1"/>
  <c r="C548" i="1"/>
  <c r="B548" i="1"/>
  <c r="F548" i="1" s="1"/>
  <c r="C547" i="1"/>
  <c r="B547" i="1"/>
  <c r="F547" i="1" s="1"/>
  <c r="C546" i="1"/>
  <c r="B546" i="1"/>
  <c r="F546" i="1" s="1"/>
  <c r="C545" i="1"/>
  <c r="B545" i="1"/>
  <c r="F545" i="1" s="1"/>
  <c r="C544" i="1"/>
  <c r="B544" i="1"/>
  <c r="F544" i="1" s="1"/>
  <c r="C543" i="1"/>
  <c r="B543" i="1"/>
  <c r="F543" i="1" s="1"/>
  <c r="C542" i="1"/>
  <c r="B542" i="1"/>
  <c r="F542" i="1" s="1"/>
  <c r="C541" i="1"/>
  <c r="B541" i="1"/>
  <c r="F541" i="1" s="1"/>
  <c r="C540" i="1"/>
  <c r="B540" i="1"/>
  <c r="F540" i="1" s="1"/>
  <c r="C539" i="1"/>
  <c r="B539" i="1"/>
  <c r="F539" i="1" s="1"/>
  <c r="C538" i="1"/>
  <c r="B538" i="1"/>
  <c r="F538" i="1" s="1"/>
  <c r="C537" i="1"/>
  <c r="B537" i="1"/>
  <c r="F537" i="1" s="1"/>
  <c r="C536" i="1"/>
  <c r="B536" i="1"/>
  <c r="F536" i="1" s="1"/>
  <c r="C535" i="1"/>
  <c r="B535" i="1"/>
  <c r="F535" i="1" s="1"/>
  <c r="C534" i="1"/>
  <c r="B534" i="1"/>
  <c r="F534" i="1" s="1"/>
  <c r="C533" i="1"/>
  <c r="B533" i="1"/>
  <c r="F533" i="1" s="1"/>
  <c r="C532" i="1"/>
  <c r="B532" i="1"/>
  <c r="F532" i="1" s="1"/>
  <c r="C531" i="1"/>
  <c r="B531" i="1"/>
  <c r="F531" i="1" s="1"/>
  <c r="C530" i="1"/>
  <c r="B530" i="1"/>
  <c r="F530" i="1" s="1"/>
  <c r="C529" i="1"/>
  <c r="B529" i="1"/>
  <c r="F529" i="1" s="1"/>
  <c r="C528" i="1"/>
  <c r="B528" i="1"/>
  <c r="F528" i="1" s="1"/>
  <c r="C527" i="1"/>
  <c r="B527" i="1"/>
  <c r="F527" i="1" s="1"/>
  <c r="C526" i="1"/>
  <c r="B526" i="1"/>
  <c r="F526" i="1" s="1"/>
  <c r="C525" i="1"/>
  <c r="B525" i="1"/>
  <c r="F525" i="1" s="1"/>
  <c r="C524" i="1"/>
  <c r="B524" i="1"/>
  <c r="F524" i="1" s="1"/>
  <c r="C523" i="1"/>
  <c r="B523" i="1"/>
  <c r="F523" i="1" s="1"/>
  <c r="C522" i="1"/>
  <c r="B522" i="1"/>
  <c r="F522" i="1" s="1"/>
  <c r="C521" i="1"/>
  <c r="B521" i="1"/>
  <c r="F521" i="1" s="1"/>
  <c r="C520" i="1"/>
  <c r="B520" i="1"/>
  <c r="F520" i="1" s="1"/>
  <c r="C519" i="1"/>
  <c r="B519" i="1"/>
  <c r="F519" i="1" s="1"/>
  <c r="C518" i="1"/>
  <c r="B518" i="1"/>
  <c r="F518" i="1" s="1"/>
  <c r="C517" i="1"/>
  <c r="B517" i="1"/>
  <c r="F517" i="1" s="1"/>
  <c r="C516" i="1"/>
  <c r="B516" i="1"/>
  <c r="F516" i="1" s="1"/>
  <c r="C515" i="1"/>
  <c r="B515" i="1"/>
  <c r="F515" i="1" s="1"/>
  <c r="C514" i="1"/>
  <c r="B514" i="1"/>
  <c r="F514" i="1" s="1"/>
  <c r="C513" i="1"/>
  <c r="B513" i="1"/>
  <c r="F513" i="1" s="1"/>
  <c r="C512" i="1"/>
  <c r="B512" i="1"/>
  <c r="F512" i="1" s="1"/>
  <c r="C511" i="1"/>
  <c r="B511" i="1"/>
  <c r="F511" i="1" s="1"/>
  <c r="C510" i="1"/>
  <c r="B510" i="1"/>
  <c r="F510" i="1" s="1"/>
  <c r="C509" i="1"/>
  <c r="B509" i="1"/>
  <c r="F509" i="1" s="1"/>
  <c r="C508" i="1"/>
  <c r="B508" i="1"/>
  <c r="F508" i="1" s="1"/>
  <c r="C507" i="1"/>
  <c r="B507" i="1"/>
  <c r="F507" i="1" s="1"/>
  <c r="C506" i="1"/>
  <c r="B506" i="1"/>
  <c r="F506" i="1" s="1"/>
  <c r="C505" i="1"/>
  <c r="B505" i="1"/>
  <c r="F505" i="1" s="1"/>
  <c r="C504" i="1"/>
  <c r="B504" i="1"/>
  <c r="F504" i="1" s="1"/>
  <c r="C503" i="1"/>
  <c r="B503" i="1"/>
  <c r="F503" i="1" s="1"/>
  <c r="C502" i="1"/>
  <c r="B502" i="1"/>
  <c r="F502" i="1" s="1"/>
  <c r="C501" i="1"/>
  <c r="B501" i="1"/>
  <c r="F501" i="1" s="1"/>
  <c r="C500" i="1"/>
  <c r="B500" i="1"/>
  <c r="F500" i="1" s="1"/>
  <c r="C499" i="1"/>
  <c r="B499" i="1"/>
  <c r="F499" i="1" s="1"/>
  <c r="C498" i="1"/>
  <c r="B498" i="1"/>
  <c r="F498" i="1" s="1"/>
  <c r="C497" i="1"/>
  <c r="B497" i="1"/>
  <c r="F497" i="1" s="1"/>
  <c r="C496" i="1"/>
  <c r="B496" i="1"/>
  <c r="F496" i="1" s="1"/>
  <c r="C495" i="1"/>
  <c r="B495" i="1"/>
  <c r="F495" i="1" s="1"/>
  <c r="C494" i="1"/>
  <c r="B494" i="1"/>
  <c r="F494" i="1" s="1"/>
  <c r="C493" i="1"/>
  <c r="B493" i="1"/>
  <c r="F493" i="1" s="1"/>
  <c r="C492" i="1"/>
  <c r="B492" i="1"/>
  <c r="F492" i="1" s="1"/>
  <c r="C491" i="1"/>
  <c r="B491" i="1"/>
  <c r="F491" i="1" s="1"/>
  <c r="C490" i="1"/>
  <c r="B490" i="1"/>
  <c r="F490" i="1" s="1"/>
  <c r="C489" i="1"/>
  <c r="B489" i="1"/>
  <c r="F489" i="1" s="1"/>
  <c r="C488" i="1"/>
  <c r="B488" i="1"/>
  <c r="F488" i="1" s="1"/>
  <c r="C487" i="1"/>
  <c r="B487" i="1"/>
  <c r="F487" i="1" s="1"/>
  <c r="C486" i="1"/>
  <c r="B486" i="1"/>
  <c r="F486" i="1" s="1"/>
  <c r="C485" i="1"/>
  <c r="B485" i="1"/>
  <c r="F485" i="1" s="1"/>
  <c r="C484" i="1"/>
  <c r="B484" i="1"/>
  <c r="F484" i="1" s="1"/>
  <c r="C483" i="1"/>
  <c r="B483" i="1"/>
  <c r="F483" i="1" s="1"/>
  <c r="C482" i="1"/>
  <c r="B482" i="1"/>
  <c r="F482" i="1" s="1"/>
  <c r="C481" i="1"/>
  <c r="B481" i="1"/>
  <c r="F481" i="1" s="1"/>
  <c r="C480" i="1"/>
  <c r="B480" i="1"/>
  <c r="F480" i="1" s="1"/>
  <c r="C479" i="1"/>
  <c r="B479" i="1"/>
  <c r="F479" i="1" s="1"/>
  <c r="C478" i="1"/>
  <c r="B478" i="1"/>
  <c r="F478" i="1" s="1"/>
  <c r="C477" i="1"/>
  <c r="B477" i="1"/>
  <c r="F477" i="1" s="1"/>
  <c r="C476" i="1"/>
  <c r="B476" i="1"/>
  <c r="F476" i="1" s="1"/>
  <c r="C475" i="1"/>
  <c r="B475" i="1"/>
  <c r="F475" i="1" s="1"/>
  <c r="C474" i="1"/>
  <c r="B474" i="1"/>
  <c r="F474" i="1" s="1"/>
  <c r="C473" i="1"/>
  <c r="B473" i="1"/>
  <c r="F473" i="1" s="1"/>
  <c r="C472" i="1"/>
  <c r="B472" i="1"/>
  <c r="F472" i="1" s="1"/>
  <c r="C471" i="1"/>
  <c r="B471" i="1"/>
  <c r="F471" i="1" s="1"/>
  <c r="C470" i="1"/>
  <c r="B470" i="1"/>
  <c r="F470" i="1" s="1"/>
  <c r="C469" i="1"/>
  <c r="B469" i="1"/>
  <c r="F469" i="1" s="1"/>
  <c r="C468" i="1"/>
  <c r="B468" i="1"/>
  <c r="F468" i="1" s="1"/>
  <c r="C467" i="1"/>
  <c r="B467" i="1"/>
  <c r="F467" i="1" s="1"/>
  <c r="C466" i="1"/>
  <c r="B466" i="1"/>
  <c r="F466" i="1" s="1"/>
  <c r="C465" i="1"/>
  <c r="B465" i="1"/>
  <c r="F465" i="1" s="1"/>
  <c r="C464" i="1"/>
  <c r="B464" i="1"/>
  <c r="F464" i="1" s="1"/>
  <c r="C463" i="1"/>
  <c r="B463" i="1"/>
  <c r="F463" i="1" s="1"/>
  <c r="C462" i="1"/>
  <c r="B462" i="1"/>
  <c r="F462" i="1" s="1"/>
  <c r="C461" i="1"/>
  <c r="B461" i="1"/>
  <c r="F461" i="1" s="1"/>
  <c r="C460" i="1"/>
  <c r="B460" i="1"/>
  <c r="F460" i="1" s="1"/>
  <c r="C459" i="1"/>
  <c r="B459" i="1"/>
  <c r="F459" i="1" s="1"/>
  <c r="C458" i="1"/>
  <c r="B458" i="1"/>
  <c r="F458" i="1" s="1"/>
  <c r="C457" i="1"/>
  <c r="B457" i="1"/>
  <c r="F457" i="1" s="1"/>
  <c r="C456" i="1"/>
  <c r="B456" i="1"/>
  <c r="F456" i="1" s="1"/>
  <c r="C455" i="1"/>
  <c r="B455" i="1"/>
  <c r="F455" i="1" s="1"/>
  <c r="C454" i="1"/>
  <c r="B454" i="1"/>
  <c r="F454" i="1" s="1"/>
  <c r="C453" i="1"/>
  <c r="B453" i="1"/>
  <c r="F453" i="1" s="1"/>
  <c r="C452" i="1"/>
  <c r="B452" i="1"/>
  <c r="F452" i="1" s="1"/>
  <c r="C451" i="1"/>
  <c r="B451" i="1"/>
  <c r="F451" i="1" s="1"/>
  <c r="C450" i="1"/>
  <c r="B450" i="1"/>
  <c r="F450" i="1" s="1"/>
  <c r="C449" i="1"/>
  <c r="B449" i="1"/>
  <c r="F449" i="1" s="1"/>
  <c r="C448" i="1"/>
  <c r="B448" i="1"/>
  <c r="F448" i="1" s="1"/>
  <c r="C447" i="1"/>
  <c r="B447" i="1"/>
  <c r="F447" i="1" s="1"/>
  <c r="C446" i="1"/>
  <c r="B446" i="1"/>
  <c r="F446" i="1" s="1"/>
  <c r="C445" i="1"/>
  <c r="B445" i="1"/>
  <c r="F445" i="1" s="1"/>
  <c r="C444" i="1"/>
  <c r="B444" i="1"/>
  <c r="F444" i="1" s="1"/>
  <c r="C443" i="1"/>
  <c r="B443" i="1"/>
  <c r="F443" i="1" s="1"/>
  <c r="C442" i="1"/>
  <c r="B442" i="1"/>
  <c r="F442" i="1" s="1"/>
  <c r="C441" i="1"/>
  <c r="B441" i="1"/>
  <c r="F441" i="1" s="1"/>
  <c r="C440" i="1"/>
  <c r="B440" i="1"/>
  <c r="F440" i="1" s="1"/>
  <c r="C439" i="1"/>
  <c r="B439" i="1"/>
  <c r="F439" i="1" s="1"/>
  <c r="C438" i="1"/>
  <c r="B438" i="1"/>
  <c r="F438" i="1" s="1"/>
  <c r="C437" i="1"/>
  <c r="B437" i="1"/>
  <c r="F437" i="1" s="1"/>
  <c r="C436" i="1"/>
  <c r="B436" i="1"/>
  <c r="F436" i="1" s="1"/>
  <c r="C435" i="1"/>
  <c r="B435" i="1"/>
  <c r="F435" i="1" s="1"/>
  <c r="C434" i="1"/>
  <c r="B434" i="1"/>
  <c r="F434" i="1" s="1"/>
  <c r="C433" i="1"/>
  <c r="B433" i="1"/>
  <c r="F433" i="1" s="1"/>
  <c r="C432" i="1"/>
  <c r="B432" i="1"/>
  <c r="F432" i="1" s="1"/>
  <c r="C431" i="1"/>
  <c r="B431" i="1"/>
  <c r="F431" i="1" s="1"/>
  <c r="C430" i="1"/>
  <c r="B430" i="1"/>
  <c r="F430" i="1" s="1"/>
  <c r="C429" i="1"/>
  <c r="B429" i="1"/>
  <c r="F429" i="1" s="1"/>
  <c r="C428" i="1"/>
  <c r="B428" i="1"/>
  <c r="F428" i="1" s="1"/>
  <c r="C427" i="1"/>
  <c r="B427" i="1"/>
  <c r="F427" i="1" s="1"/>
  <c r="C426" i="1"/>
  <c r="B426" i="1"/>
  <c r="F426" i="1" s="1"/>
  <c r="C425" i="1"/>
  <c r="B425" i="1"/>
  <c r="F425" i="1" s="1"/>
  <c r="C424" i="1"/>
  <c r="B424" i="1"/>
  <c r="F424" i="1" s="1"/>
  <c r="C423" i="1"/>
  <c r="B423" i="1"/>
  <c r="F423" i="1" s="1"/>
  <c r="C422" i="1"/>
  <c r="B422" i="1"/>
  <c r="F422" i="1" s="1"/>
  <c r="C421" i="1"/>
  <c r="B421" i="1"/>
  <c r="F421" i="1" s="1"/>
  <c r="C420" i="1"/>
  <c r="B420" i="1"/>
  <c r="F420" i="1" s="1"/>
  <c r="C419" i="1"/>
  <c r="B419" i="1"/>
  <c r="F419" i="1" s="1"/>
  <c r="C418" i="1"/>
  <c r="B418" i="1"/>
  <c r="F418" i="1" s="1"/>
  <c r="C417" i="1"/>
  <c r="B417" i="1"/>
  <c r="F417" i="1" s="1"/>
  <c r="C416" i="1"/>
  <c r="B416" i="1"/>
  <c r="F416" i="1" s="1"/>
  <c r="C415" i="1"/>
  <c r="B415" i="1"/>
  <c r="F415" i="1" s="1"/>
  <c r="C414" i="1"/>
  <c r="B414" i="1"/>
  <c r="F414" i="1" s="1"/>
  <c r="C413" i="1"/>
  <c r="B413" i="1"/>
  <c r="F413" i="1" s="1"/>
  <c r="C412" i="1"/>
  <c r="B412" i="1"/>
  <c r="F412" i="1" s="1"/>
  <c r="C411" i="1"/>
  <c r="B411" i="1"/>
  <c r="F411" i="1" s="1"/>
  <c r="C410" i="1"/>
  <c r="B410" i="1"/>
  <c r="F410" i="1" s="1"/>
  <c r="C409" i="1"/>
  <c r="B409" i="1"/>
  <c r="F409" i="1" s="1"/>
  <c r="C408" i="1"/>
  <c r="B408" i="1"/>
  <c r="F408" i="1" s="1"/>
  <c r="C407" i="1"/>
  <c r="B407" i="1"/>
  <c r="F407" i="1" s="1"/>
  <c r="C406" i="1"/>
  <c r="B406" i="1"/>
  <c r="F406" i="1" s="1"/>
  <c r="C405" i="1"/>
  <c r="B405" i="1"/>
  <c r="F405" i="1" s="1"/>
  <c r="C404" i="1"/>
  <c r="B404" i="1"/>
  <c r="F404" i="1" s="1"/>
  <c r="C403" i="1"/>
  <c r="B403" i="1"/>
  <c r="F403" i="1" s="1"/>
  <c r="C402" i="1"/>
  <c r="B402" i="1"/>
  <c r="F402" i="1" s="1"/>
  <c r="C401" i="1"/>
  <c r="B401" i="1"/>
  <c r="F401" i="1" s="1"/>
  <c r="C400" i="1"/>
  <c r="B400" i="1"/>
  <c r="F400" i="1" s="1"/>
  <c r="C399" i="1"/>
  <c r="B399" i="1"/>
  <c r="F399" i="1" s="1"/>
  <c r="C398" i="1"/>
  <c r="B398" i="1"/>
  <c r="F398" i="1" s="1"/>
  <c r="C397" i="1"/>
  <c r="B397" i="1"/>
  <c r="F397" i="1" s="1"/>
  <c r="C396" i="1"/>
  <c r="B396" i="1"/>
  <c r="F396" i="1" s="1"/>
  <c r="C395" i="1"/>
  <c r="B395" i="1"/>
  <c r="F395" i="1" s="1"/>
  <c r="C394" i="1"/>
  <c r="B394" i="1"/>
  <c r="F394" i="1" s="1"/>
  <c r="C393" i="1"/>
  <c r="B393" i="1"/>
  <c r="F393" i="1" s="1"/>
  <c r="C392" i="1"/>
  <c r="B392" i="1"/>
  <c r="F392" i="1" s="1"/>
  <c r="C391" i="1"/>
  <c r="B391" i="1"/>
  <c r="F391" i="1" s="1"/>
  <c r="C390" i="1"/>
  <c r="B390" i="1"/>
  <c r="F390" i="1" s="1"/>
  <c r="C389" i="1"/>
  <c r="B389" i="1"/>
  <c r="F389" i="1" s="1"/>
  <c r="C388" i="1"/>
  <c r="B388" i="1"/>
  <c r="F388" i="1" s="1"/>
  <c r="C387" i="1"/>
  <c r="B387" i="1"/>
  <c r="F387" i="1" s="1"/>
  <c r="C386" i="1"/>
  <c r="B386" i="1"/>
  <c r="F386" i="1" s="1"/>
  <c r="C385" i="1"/>
  <c r="B385" i="1"/>
  <c r="F385" i="1" s="1"/>
  <c r="C384" i="1"/>
  <c r="B384" i="1"/>
  <c r="F384" i="1" s="1"/>
  <c r="C383" i="1"/>
  <c r="B383" i="1"/>
  <c r="F383" i="1" s="1"/>
  <c r="C382" i="1"/>
  <c r="B382" i="1"/>
  <c r="F382" i="1" s="1"/>
  <c r="C381" i="1"/>
  <c r="B381" i="1"/>
  <c r="F381" i="1" s="1"/>
  <c r="C380" i="1"/>
  <c r="B380" i="1"/>
  <c r="F380" i="1" s="1"/>
  <c r="C379" i="1"/>
  <c r="B379" i="1"/>
  <c r="F379" i="1" s="1"/>
  <c r="C378" i="1"/>
  <c r="B378" i="1"/>
  <c r="F378" i="1" s="1"/>
  <c r="C377" i="1"/>
  <c r="B377" i="1"/>
  <c r="F377" i="1" s="1"/>
  <c r="C376" i="1"/>
  <c r="B376" i="1"/>
  <c r="F376" i="1" s="1"/>
  <c r="C375" i="1"/>
  <c r="B375" i="1"/>
  <c r="F375" i="1" s="1"/>
  <c r="C374" i="1"/>
  <c r="B374" i="1"/>
  <c r="F374" i="1" s="1"/>
  <c r="C373" i="1"/>
  <c r="B373" i="1"/>
  <c r="F373" i="1" s="1"/>
  <c r="C372" i="1"/>
  <c r="B372" i="1"/>
  <c r="F372" i="1" s="1"/>
  <c r="C371" i="1"/>
  <c r="B371" i="1"/>
  <c r="F371" i="1" s="1"/>
  <c r="C370" i="1"/>
  <c r="B370" i="1"/>
  <c r="F370" i="1" s="1"/>
  <c r="C369" i="1"/>
  <c r="B369" i="1"/>
  <c r="F369" i="1" s="1"/>
  <c r="C368" i="1"/>
  <c r="B368" i="1"/>
  <c r="F368" i="1" s="1"/>
  <c r="C367" i="1"/>
  <c r="B367" i="1"/>
  <c r="F367" i="1" s="1"/>
  <c r="C366" i="1"/>
  <c r="B366" i="1"/>
  <c r="F366" i="1" s="1"/>
  <c r="C365" i="1"/>
  <c r="B365" i="1"/>
  <c r="F365" i="1" s="1"/>
  <c r="C364" i="1"/>
  <c r="B364" i="1"/>
  <c r="F364" i="1" s="1"/>
  <c r="C363" i="1"/>
  <c r="B363" i="1"/>
  <c r="F363" i="1" s="1"/>
  <c r="C362" i="1"/>
  <c r="B362" i="1"/>
  <c r="F362" i="1" s="1"/>
  <c r="C361" i="1"/>
  <c r="B361" i="1"/>
  <c r="F361" i="1" s="1"/>
  <c r="C360" i="1"/>
  <c r="B360" i="1"/>
  <c r="F360" i="1" s="1"/>
  <c r="C359" i="1"/>
  <c r="B359" i="1"/>
  <c r="F359" i="1" s="1"/>
  <c r="C358" i="1"/>
  <c r="B358" i="1"/>
  <c r="F358" i="1" s="1"/>
  <c r="C357" i="1"/>
  <c r="B357" i="1"/>
  <c r="F357" i="1" s="1"/>
  <c r="C356" i="1"/>
  <c r="B356" i="1"/>
  <c r="F356" i="1" s="1"/>
  <c r="C355" i="1"/>
  <c r="B355" i="1"/>
  <c r="F355" i="1" s="1"/>
  <c r="C354" i="1"/>
  <c r="B354" i="1"/>
  <c r="F354" i="1" s="1"/>
  <c r="C353" i="1"/>
  <c r="B353" i="1"/>
  <c r="F353" i="1" s="1"/>
  <c r="C352" i="1"/>
  <c r="B352" i="1"/>
  <c r="F352" i="1" s="1"/>
  <c r="C351" i="1"/>
  <c r="B351" i="1"/>
  <c r="F351" i="1" s="1"/>
  <c r="C350" i="1"/>
  <c r="B350" i="1"/>
  <c r="F350" i="1" s="1"/>
  <c r="C349" i="1"/>
  <c r="B349" i="1"/>
  <c r="F349" i="1" s="1"/>
  <c r="C348" i="1"/>
  <c r="B348" i="1"/>
  <c r="F348" i="1" s="1"/>
  <c r="C347" i="1"/>
  <c r="B347" i="1"/>
  <c r="F347" i="1" s="1"/>
  <c r="C346" i="1"/>
  <c r="B346" i="1"/>
  <c r="F346" i="1" s="1"/>
  <c r="C345" i="1"/>
  <c r="B345" i="1"/>
  <c r="F345" i="1" s="1"/>
  <c r="C344" i="1"/>
  <c r="B344" i="1"/>
  <c r="F344" i="1" s="1"/>
  <c r="C343" i="1"/>
  <c r="B343" i="1"/>
  <c r="F343" i="1" s="1"/>
  <c r="C342" i="1"/>
  <c r="B342" i="1"/>
  <c r="F342" i="1" s="1"/>
  <c r="C341" i="1"/>
  <c r="B341" i="1"/>
  <c r="F341" i="1" s="1"/>
  <c r="C340" i="1"/>
  <c r="B340" i="1"/>
  <c r="F340" i="1" s="1"/>
  <c r="C339" i="1"/>
  <c r="B339" i="1"/>
  <c r="F339" i="1" s="1"/>
  <c r="C338" i="1"/>
  <c r="B338" i="1"/>
  <c r="F338" i="1" s="1"/>
  <c r="C337" i="1"/>
  <c r="B337" i="1"/>
  <c r="F337" i="1" s="1"/>
  <c r="C336" i="1"/>
  <c r="B336" i="1"/>
  <c r="F336" i="1" s="1"/>
  <c r="C335" i="1"/>
  <c r="B335" i="1"/>
  <c r="F335" i="1" s="1"/>
  <c r="C334" i="1"/>
  <c r="B334" i="1"/>
  <c r="F334" i="1" s="1"/>
  <c r="C333" i="1"/>
  <c r="B333" i="1"/>
  <c r="F333" i="1" s="1"/>
  <c r="C332" i="1"/>
  <c r="B332" i="1"/>
  <c r="F332" i="1" s="1"/>
  <c r="C331" i="1"/>
  <c r="B331" i="1"/>
  <c r="F331" i="1" s="1"/>
  <c r="C330" i="1"/>
  <c r="B330" i="1"/>
  <c r="F330" i="1" s="1"/>
  <c r="C329" i="1"/>
  <c r="B329" i="1"/>
  <c r="F329" i="1" s="1"/>
  <c r="C328" i="1"/>
  <c r="B328" i="1"/>
  <c r="F328" i="1" s="1"/>
  <c r="C327" i="1"/>
  <c r="B327" i="1"/>
  <c r="F327" i="1" s="1"/>
  <c r="C326" i="1"/>
  <c r="B326" i="1"/>
  <c r="F326" i="1" s="1"/>
  <c r="C325" i="1"/>
  <c r="B325" i="1"/>
  <c r="F325" i="1" s="1"/>
  <c r="C324" i="1"/>
  <c r="B324" i="1"/>
  <c r="F324" i="1" s="1"/>
  <c r="C323" i="1"/>
  <c r="B323" i="1"/>
  <c r="F323" i="1" s="1"/>
  <c r="C322" i="1"/>
  <c r="B322" i="1"/>
  <c r="F322" i="1" s="1"/>
  <c r="C321" i="1"/>
  <c r="B321" i="1"/>
  <c r="F321" i="1" s="1"/>
  <c r="C320" i="1"/>
  <c r="B320" i="1"/>
  <c r="F320" i="1" s="1"/>
  <c r="C319" i="1"/>
  <c r="B319" i="1"/>
  <c r="F319" i="1" s="1"/>
  <c r="C318" i="1"/>
  <c r="B318" i="1"/>
  <c r="F318" i="1" s="1"/>
  <c r="C317" i="1"/>
  <c r="B317" i="1"/>
  <c r="F317" i="1" s="1"/>
  <c r="C316" i="1"/>
  <c r="B316" i="1"/>
  <c r="F316" i="1" s="1"/>
  <c r="C315" i="1"/>
  <c r="B315" i="1"/>
  <c r="F315" i="1" s="1"/>
  <c r="C314" i="1"/>
  <c r="B314" i="1"/>
  <c r="F314" i="1" s="1"/>
  <c r="C313" i="1"/>
  <c r="B313" i="1"/>
  <c r="F313" i="1" s="1"/>
  <c r="C312" i="1"/>
  <c r="B312" i="1"/>
  <c r="F312" i="1" s="1"/>
  <c r="C311" i="1"/>
  <c r="B311" i="1"/>
  <c r="F311" i="1" s="1"/>
  <c r="C310" i="1"/>
  <c r="B310" i="1"/>
  <c r="F310" i="1" s="1"/>
  <c r="C309" i="1"/>
  <c r="B309" i="1"/>
  <c r="F309" i="1" s="1"/>
  <c r="C308" i="1"/>
  <c r="B308" i="1"/>
  <c r="F308" i="1" s="1"/>
  <c r="C307" i="1"/>
  <c r="B307" i="1"/>
  <c r="F307" i="1" s="1"/>
  <c r="C306" i="1"/>
  <c r="B306" i="1"/>
  <c r="F306" i="1" s="1"/>
  <c r="C305" i="1"/>
  <c r="B305" i="1"/>
  <c r="F305" i="1" s="1"/>
  <c r="C304" i="1"/>
  <c r="B304" i="1"/>
  <c r="F304" i="1" s="1"/>
  <c r="C303" i="1"/>
  <c r="B303" i="1"/>
  <c r="F303" i="1" s="1"/>
  <c r="C302" i="1"/>
  <c r="B302" i="1"/>
  <c r="F302" i="1" s="1"/>
  <c r="C301" i="1"/>
  <c r="B301" i="1"/>
  <c r="F301" i="1" s="1"/>
  <c r="C300" i="1"/>
  <c r="B300" i="1"/>
  <c r="F300" i="1" s="1"/>
  <c r="C299" i="1"/>
  <c r="B299" i="1"/>
  <c r="F299" i="1" s="1"/>
  <c r="C298" i="1"/>
  <c r="B298" i="1"/>
  <c r="F298" i="1" s="1"/>
  <c r="C297" i="1"/>
  <c r="B297" i="1"/>
  <c r="F297" i="1" s="1"/>
  <c r="C296" i="1"/>
  <c r="B296" i="1"/>
  <c r="F296" i="1" s="1"/>
  <c r="C295" i="1"/>
  <c r="B295" i="1"/>
  <c r="F295" i="1" s="1"/>
  <c r="C294" i="1"/>
  <c r="B294" i="1"/>
  <c r="F294" i="1" s="1"/>
  <c r="C293" i="1"/>
  <c r="B293" i="1"/>
  <c r="F293" i="1" s="1"/>
  <c r="C292" i="1"/>
  <c r="B292" i="1"/>
  <c r="F292" i="1" s="1"/>
  <c r="C291" i="1"/>
  <c r="B291" i="1"/>
  <c r="F291" i="1" s="1"/>
  <c r="C290" i="1"/>
  <c r="B290" i="1"/>
  <c r="F290" i="1" s="1"/>
  <c r="C289" i="1"/>
  <c r="B289" i="1"/>
  <c r="F289" i="1" s="1"/>
  <c r="C288" i="1"/>
  <c r="B288" i="1"/>
  <c r="F288" i="1" s="1"/>
  <c r="C287" i="1"/>
  <c r="B287" i="1"/>
  <c r="F287" i="1" s="1"/>
  <c r="C286" i="1"/>
  <c r="B286" i="1"/>
  <c r="F286" i="1" s="1"/>
  <c r="C285" i="1"/>
  <c r="B285" i="1"/>
  <c r="F285" i="1" s="1"/>
  <c r="C284" i="1"/>
  <c r="B284" i="1"/>
  <c r="F284" i="1" s="1"/>
  <c r="C283" i="1"/>
  <c r="B283" i="1"/>
  <c r="F283" i="1" s="1"/>
  <c r="C282" i="1"/>
  <c r="B282" i="1"/>
  <c r="F282" i="1" s="1"/>
  <c r="C281" i="1"/>
  <c r="B281" i="1"/>
  <c r="F281" i="1" s="1"/>
  <c r="C280" i="1"/>
  <c r="B280" i="1"/>
  <c r="F280" i="1" s="1"/>
  <c r="C279" i="1"/>
  <c r="B279" i="1"/>
  <c r="F279" i="1" s="1"/>
  <c r="C278" i="1"/>
  <c r="B278" i="1"/>
  <c r="F278" i="1" s="1"/>
  <c r="C277" i="1"/>
  <c r="B277" i="1"/>
  <c r="F277" i="1" s="1"/>
  <c r="C276" i="1"/>
  <c r="B276" i="1"/>
  <c r="F276" i="1" s="1"/>
  <c r="C275" i="1"/>
  <c r="B275" i="1"/>
  <c r="F275" i="1" s="1"/>
  <c r="C274" i="1"/>
  <c r="B274" i="1"/>
  <c r="F274" i="1" s="1"/>
  <c r="C273" i="1"/>
  <c r="B273" i="1"/>
  <c r="F273" i="1" s="1"/>
  <c r="C272" i="1"/>
  <c r="B272" i="1"/>
  <c r="F272" i="1" s="1"/>
  <c r="C271" i="1"/>
  <c r="B271" i="1"/>
  <c r="F271" i="1" s="1"/>
  <c r="C270" i="1"/>
  <c r="B270" i="1"/>
  <c r="F270" i="1" s="1"/>
  <c r="C269" i="1"/>
  <c r="B269" i="1"/>
  <c r="F269" i="1" s="1"/>
  <c r="C268" i="1"/>
  <c r="B268" i="1"/>
  <c r="F268" i="1" s="1"/>
  <c r="C267" i="1"/>
  <c r="B267" i="1"/>
  <c r="F267" i="1" s="1"/>
  <c r="C266" i="1"/>
  <c r="B266" i="1"/>
  <c r="F266" i="1" s="1"/>
  <c r="C265" i="1"/>
  <c r="B265" i="1"/>
  <c r="F265" i="1" s="1"/>
  <c r="C264" i="1"/>
  <c r="B264" i="1"/>
  <c r="F264" i="1" s="1"/>
  <c r="C263" i="1"/>
  <c r="B263" i="1"/>
  <c r="F263" i="1" s="1"/>
  <c r="C262" i="1"/>
  <c r="B262" i="1"/>
  <c r="F262" i="1" s="1"/>
  <c r="C261" i="1"/>
  <c r="B261" i="1"/>
  <c r="F261" i="1" s="1"/>
  <c r="C260" i="1"/>
  <c r="B260" i="1"/>
  <c r="F260" i="1" s="1"/>
  <c r="C259" i="1"/>
  <c r="B259" i="1"/>
  <c r="F259" i="1" s="1"/>
  <c r="C258" i="1"/>
  <c r="B258" i="1"/>
  <c r="F258" i="1" s="1"/>
  <c r="C257" i="1"/>
  <c r="B257" i="1"/>
  <c r="F257" i="1" s="1"/>
  <c r="C256" i="1"/>
  <c r="B256" i="1"/>
  <c r="F256" i="1" s="1"/>
  <c r="C255" i="1"/>
  <c r="B255" i="1"/>
  <c r="F255" i="1" s="1"/>
  <c r="C254" i="1"/>
  <c r="B254" i="1"/>
  <c r="F254" i="1" s="1"/>
  <c r="C253" i="1"/>
  <c r="B253" i="1"/>
  <c r="F253" i="1" s="1"/>
  <c r="C252" i="1"/>
  <c r="B252" i="1"/>
  <c r="F252" i="1" s="1"/>
  <c r="C251" i="1"/>
  <c r="B251" i="1"/>
  <c r="F251" i="1" s="1"/>
  <c r="C250" i="1"/>
  <c r="B250" i="1"/>
  <c r="F250" i="1" s="1"/>
  <c r="C249" i="1"/>
  <c r="B249" i="1"/>
  <c r="F249" i="1" s="1"/>
  <c r="C248" i="1"/>
  <c r="B248" i="1"/>
  <c r="F248" i="1" s="1"/>
  <c r="C247" i="1"/>
  <c r="B247" i="1"/>
  <c r="F247" i="1" s="1"/>
  <c r="C246" i="1"/>
  <c r="B246" i="1"/>
  <c r="F246" i="1" s="1"/>
  <c r="C245" i="1"/>
  <c r="B245" i="1"/>
  <c r="F245" i="1" s="1"/>
  <c r="C244" i="1"/>
  <c r="B244" i="1"/>
  <c r="F244" i="1" s="1"/>
  <c r="C243" i="1"/>
  <c r="B243" i="1"/>
  <c r="F243" i="1" s="1"/>
  <c r="C242" i="1"/>
  <c r="B242" i="1"/>
  <c r="F242" i="1" s="1"/>
  <c r="C241" i="1"/>
  <c r="B241" i="1"/>
  <c r="F241" i="1" s="1"/>
  <c r="C240" i="1"/>
  <c r="B240" i="1"/>
  <c r="F240" i="1" s="1"/>
  <c r="C239" i="1"/>
  <c r="B239" i="1"/>
  <c r="F239" i="1" s="1"/>
  <c r="C238" i="1"/>
  <c r="B238" i="1"/>
  <c r="F238" i="1" s="1"/>
  <c r="C237" i="1"/>
  <c r="B237" i="1"/>
  <c r="F237" i="1" s="1"/>
  <c r="C236" i="1"/>
  <c r="B236" i="1"/>
  <c r="F236" i="1" s="1"/>
  <c r="C235" i="1"/>
  <c r="B235" i="1"/>
  <c r="F235" i="1" s="1"/>
  <c r="C234" i="1"/>
  <c r="B234" i="1"/>
  <c r="F234" i="1" s="1"/>
  <c r="C233" i="1"/>
  <c r="B233" i="1"/>
  <c r="F233" i="1" s="1"/>
  <c r="C232" i="1"/>
  <c r="B232" i="1"/>
  <c r="F232" i="1" s="1"/>
  <c r="C231" i="1"/>
  <c r="B231" i="1"/>
  <c r="F231" i="1" s="1"/>
  <c r="C230" i="1"/>
  <c r="B230" i="1"/>
  <c r="F230" i="1" s="1"/>
  <c r="C229" i="1"/>
  <c r="B229" i="1"/>
  <c r="F229" i="1" s="1"/>
  <c r="C228" i="1"/>
  <c r="B228" i="1"/>
  <c r="F228" i="1" s="1"/>
  <c r="C227" i="1"/>
  <c r="B227" i="1"/>
  <c r="F227" i="1" s="1"/>
  <c r="C226" i="1"/>
  <c r="B226" i="1"/>
  <c r="F226" i="1" s="1"/>
  <c r="C225" i="1"/>
  <c r="B225" i="1"/>
  <c r="F225" i="1" s="1"/>
  <c r="C224" i="1"/>
  <c r="B224" i="1"/>
  <c r="F224" i="1" s="1"/>
  <c r="C223" i="1"/>
  <c r="B223" i="1"/>
  <c r="F223" i="1" s="1"/>
  <c r="C222" i="1"/>
  <c r="B222" i="1"/>
  <c r="F222" i="1" s="1"/>
  <c r="C221" i="1"/>
  <c r="B221" i="1"/>
  <c r="F221" i="1" s="1"/>
  <c r="C220" i="1"/>
  <c r="B220" i="1"/>
  <c r="F220" i="1" s="1"/>
  <c r="C219" i="1"/>
  <c r="B219" i="1"/>
  <c r="F219" i="1" s="1"/>
  <c r="C218" i="1"/>
  <c r="B218" i="1"/>
  <c r="F218" i="1" s="1"/>
  <c r="C217" i="1"/>
  <c r="B217" i="1"/>
  <c r="F217" i="1" s="1"/>
  <c r="C216" i="1"/>
  <c r="B216" i="1"/>
  <c r="F216" i="1" s="1"/>
  <c r="C215" i="1"/>
  <c r="B215" i="1"/>
  <c r="F215" i="1" s="1"/>
  <c r="C214" i="1"/>
  <c r="B214" i="1"/>
  <c r="F214" i="1" s="1"/>
  <c r="C213" i="1"/>
  <c r="B213" i="1"/>
  <c r="F213" i="1" s="1"/>
  <c r="C212" i="1"/>
  <c r="B212" i="1"/>
  <c r="F212" i="1" s="1"/>
  <c r="C211" i="1"/>
  <c r="B211" i="1"/>
  <c r="F211" i="1" s="1"/>
  <c r="C210" i="1"/>
  <c r="B210" i="1"/>
  <c r="F210" i="1" s="1"/>
  <c r="C209" i="1"/>
  <c r="B209" i="1"/>
  <c r="F209" i="1" s="1"/>
  <c r="C208" i="1"/>
  <c r="B208" i="1"/>
  <c r="F208" i="1" s="1"/>
  <c r="C207" i="1"/>
  <c r="B207" i="1"/>
  <c r="F207" i="1" s="1"/>
  <c r="C206" i="1"/>
  <c r="B206" i="1"/>
  <c r="F206" i="1" s="1"/>
  <c r="C205" i="1"/>
  <c r="B205" i="1"/>
  <c r="F205" i="1" s="1"/>
  <c r="C204" i="1"/>
  <c r="B204" i="1"/>
  <c r="F204" i="1" s="1"/>
  <c r="C203" i="1"/>
  <c r="B203" i="1"/>
  <c r="F203" i="1" s="1"/>
  <c r="C202" i="1"/>
  <c r="B202" i="1"/>
  <c r="F202" i="1" s="1"/>
  <c r="C201" i="1"/>
  <c r="B201" i="1"/>
  <c r="F201" i="1" s="1"/>
  <c r="C200" i="1"/>
  <c r="B200" i="1"/>
  <c r="F200" i="1" s="1"/>
  <c r="C199" i="1"/>
  <c r="B199" i="1"/>
  <c r="F199" i="1" s="1"/>
  <c r="C198" i="1"/>
  <c r="B198" i="1"/>
  <c r="F198" i="1" s="1"/>
  <c r="C197" i="1"/>
  <c r="B197" i="1"/>
  <c r="F197" i="1" s="1"/>
  <c r="C196" i="1"/>
  <c r="B196" i="1"/>
  <c r="F196" i="1" s="1"/>
  <c r="C195" i="1"/>
  <c r="B195" i="1"/>
  <c r="F195" i="1" s="1"/>
  <c r="C194" i="1"/>
  <c r="B194" i="1"/>
  <c r="F194" i="1" s="1"/>
  <c r="C193" i="1"/>
  <c r="B193" i="1"/>
  <c r="F193" i="1" s="1"/>
  <c r="C192" i="1"/>
  <c r="B192" i="1"/>
  <c r="F192" i="1" s="1"/>
  <c r="C191" i="1"/>
  <c r="B191" i="1"/>
  <c r="F191" i="1" s="1"/>
  <c r="C190" i="1"/>
  <c r="B190" i="1"/>
  <c r="F190" i="1" s="1"/>
  <c r="C189" i="1"/>
  <c r="B189" i="1"/>
  <c r="F189" i="1" s="1"/>
  <c r="C188" i="1"/>
  <c r="B188" i="1"/>
  <c r="F188" i="1" s="1"/>
  <c r="C187" i="1"/>
  <c r="B187" i="1"/>
  <c r="F187" i="1" s="1"/>
  <c r="C186" i="1"/>
  <c r="B186" i="1"/>
  <c r="F186" i="1" s="1"/>
  <c r="C185" i="1"/>
  <c r="B185" i="1"/>
  <c r="F185" i="1" s="1"/>
  <c r="C184" i="1"/>
  <c r="B184" i="1"/>
  <c r="F184" i="1" s="1"/>
  <c r="C183" i="1"/>
  <c r="B183" i="1"/>
  <c r="F183" i="1" s="1"/>
  <c r="C182" i="1"/>
  <c r="B182" i="1"/>
  <c r="F182" i="1" s="1"/>
  <c r="C181" i="1"/>
  <c r="B181" i="1"/>
  <c r="F181" i="1" s="1"/>
  <c r="C180" i="1"/>
  <c r="B180" i="1"/>
  <c r="F180" i="1" s="1"/>
  <c r="C179" i="1"/>
  <c r="B179" i="1"/>
  <c r="F179" i="1" s="1"/>
  <c r="C178" i="1"/>
  <c r="B178" i="1"/>
  <c r="F178" i="1" s="1"/>
  <c r="C177" i="1"/>
  <c r="B177" i="1"/>
  <c r="F177" i="1" s="1"/>
  <c r="C176" i="1"/>
  <c r="B176" i="1"/>
  <c r="F176" i="1" s="1"/>
  <c r="C175" i="1"/>
  <c r="B175" i="1"/>
  <c r="F175" i="1" s="1"/>
  <c r="C174" i="1"/>
  <c r="B174" i="1"/>
  <c r="F174" i="1" s="1"/>
  <c r="C173" i="1"/>
  <c r="B173" i="1"/>
  <c r="F173" i="1" s="1"/>
  <c r="C172" i="1"/>
  <c r="B172" i="1"/>
  <c r="F172" i="1" s="1"/>
  <c r="C171" i="1"/>
  <c r="B171" i="1"/>
  <c r="F171" i="1" s="1"/>
  <c r="C170" i="1"/>
  <c r="B170" i="1"/>
  <c r="F170" i="1" s="1"/>
  <c r="C169" i="1"/>
  <c r="B169" i="1"/>
  <c r="F169" i="1" s="1"/>
  <c r="C168" i="1"/>
  <c r="B168" i="1"/>
  <c r="F168" i="1" s="1"/>
  <c r="C167" i="1"/>
  <c r="B167" i="1"/>
  <c r="F167" i="1" s="1"/>
  <c r="C166" i="1"/>
  <c r="B166" i="1"/>
  <c r="F166" i="1" s="1"/>
  <c r="C165" i="1"/>
  <c r="B165" i="1"/>
  <c r="F165" i="1" s="1"/>
  <c r="C164" i="1"/>
  <c r="B164" i="1"/>
  <c r="F164" i="1" s="1"/>
  <c r="C163" i="1"/>
  <c r="B163" i="1"/>
  <c r="F163" i="1" s="1"/>
  <c r="C162" i="1"/>
  <c r="B162" i="1"/>
  <c r="F162" i="1" s="1"/>
  <c r="C161" i="1"/>
  <c r="B161" i="1"/>
  <c r="F161" i="1" s="1"/>
  <c r="C160" i="1"/>
  <c r="B160" i="1"/>
  <c r="F160" i="1" s="1"/>
  <c r="C159" i="1"/>
  <c r="B159" i="1"/>
  <c r="F159" i="1" s="1"/>
  <c r="C158" i="1"/>
  <c r="B158" i="1"/>
  <c r="F158" i="1" s="1"/>
  <c r="C157" i="1"/>
  <c r="B157" i="1"/>
  <c r="F157" i="1" s="1"/>
  <c r="C156" i="1"/>
  <c r="B156" i="1"/>
  <c r="F156" i="1" s="1"/>
  <c r="C155" i="1"/>
  <c r="B155" i="1"/>
  <c r="F155" i="1" s="1"/>
  <c r="C154" i="1"/>
  <c r="B154" i="1"/>
  <c r="F154" i="1" s="1"/>
  <c r="C153" i="1"/>
  <c r="B153" i="1"/>
  <c r="F153" i="1" s="1"/>
  <c r="C152" i="1"/>
  <c r="B152" i="1"/>
  <c r="F152" i="1" s="1"/>
  <c r="C151" i="1"/>
  <c r="B151" i="1"/>
  <c r="F151" i="1" s="1"/>
  <c r="C150" i="1"/>
  <c r="B150" i="1"/>
  <c r="F150" i="1" s="1"/>
  <c r="C149" i="1"/>
  <c r="B149" i="1"/>
  <c r="F149" i="1" s="1"/>
  <c r="C148" i="1"/>
  <c r="B148" i="1"/>
  <c r="F148" i="1" s="1"/>
  <c r="C147" i="1"/>
  <c r="B147" i="1"/>
  <c r="F147" i="1" s="1"/>
  <c r="C146" i="1"/>
  <c r="B146" i="1"/>
  <c r="F146" i="1" s="1"/>
  <c r="C145" i="1"/>
  <c r="B145" i="1"/>
  <c r="F145" i="1" s="1"/>
  <c r="C144" i="1"/>
  <c r="B144" i="1"/>
  <c r="F144" i="1" s="1"/>
  <c r="C143" i="1"/>
  <c r="B143" i="1"/>
  <c r="F143" i="1" s="1"/>
  <c r="C142" i="1"/>
  <c r="B142" i="1"/>
  <c r="F142" i="1" s="1"/>
  <c r="C141" i="1"/>
  <c r="B141" i="1"/>
  <c r="F141" i="1" s="1"/>
  <c r="C140" i="1"/>
  <c r="B140" i="1"/>
  <c r="F140" i="1" s="1"/>
  <c r="C139" i="1"/>
  <c r="B139" i="1"/>
  <c r="F139" i="1" s="1"/>
  <c r="C138" i="1"/>
  <c r="B138" i="1"/>
  <c r="F138" i="1" s="1"/>
  <c r="C137" i="1"/>
  <c r="B137" i="1"/>
  <c r="F137" i="1" s="1"/>
  <c r="C136" i="1"/>
  <c r="B136" i="1"/>
  <c r="F136" i="1" s="1"/>
  <c r="C135" i="1"/>
  <c r="B135" i="1"/>
  <c r="F135" i="1" s="1"/>
  <c r="C134" i="1"/>
  <c r="B134" i="1"/>
  <c r="F134" i="1" s="1"/>
  <c r="C133" i="1"/>
  <c r="B133" i="1"/>
  <c r="F133" i="1" s="1"/>
  <c r="C132" i="1"/>
  <c r="B132" i="1"/>
  <c r="F132" i="1" s="1"/>
  <c r="C131" i="1"/>
  <c r="B131" i="1"/>
  <c r="F131" i="1" s="1"/>
  <c r="C130" i="1"/>
  <c r="B130" i="1"/>
  <c r="F130" i="1" s="1"/>
  <c r="C129" i="1"/>
  <c r="B129" i="1"/>
  <c r="F129" i="1" s="1"/>
  <c r="C128" i="1"/>
  <c r="B128" i="1"/>
  <c r="F128" i="1" s="1"/>
  <c r="C127" i="1"/>
  <c r="B127" i="1"/>
  <c r="F127" i="1" s="1"/>
  <c r="C126" i="1"/>
  <c r="B126" i="1"/>
  <c r="F126" i="1" s="1"/>
  <c r="C125" i="1"/>
  <c r="B125" i="1"/>
  <c r="F125" i="1" s="1"/>
  <c r="C124" i="1"/>
  <c r="B124" i="1"/>
  <c r="F124" i="1" s="1"/>
  <c r="C123" i="1"/>
  <c r="B123" i="1"/>
  <c r="F123" i="1" s="1"/>
  <c r="C122" i="1"/>
  <c r="B122" i="1"/>
  <c r="F122" i="1" s="1"/>
  <c r="C121" i="1"/>
  <c r="B121" i="1"/>
  <c r="F121" i="1" s="1"/>
  <c r="C120" i="1"/>
  <c r="B120" i="1"/>
  <c r="F120" i="1" s="1"/>
  <c r="C119" i="1"/>
  <c r="B119" i="1"/>
  <c r="F119" i="1" s="1"/>
  <c r="C118" i="1"/>
  <c r="B118" i="1"/>
  <c r="F118" i="1" s="1"/>
  <c r="C117" i="1"/>
  <c r="B117" i="1"/>
  <c r="F117" i="1" s="1"/>
  <c r="C116" i="1"/>
  <c r="B116" i="1"/>
  <c r="F116" i="1" s="1"/>
  <c r="C115" i="1"/>
  <c r="B115" i="1"/>
  <c r="F115" i="1" s="1"/>
  <c r="C114" i="1"/>
  <c r="B114" i="1"/>
  <c r="F114" i="1" s="1"/>
  <c r="C113" i="1"/>
  <c r="B113" i="1"/>
  <c r="F113" i="1" s="1"/>
  <c r="C112" i="1"/>
  <c r="B112" i="1"/>
  <c r="F112" i="1" s="1"/>
  <c r="C111" i="1"/>
  <c r="B111" i="1"/>
  <c r="F111" i="1" s="1"/>
  <c r="C110" i="1"/>
  <c r="B110" i="1"/>
  <c r="F110" i="1" s="1"/>
  <c r="C109" i="1"/>
  <c r="B109" i="1"/>
  <c r="F109" i="1" s="1"/>
  <c r="C108" i="1"/>
  <c r="B108" i="1"/>
  <c r="F108" i="1" s="1"/>
  <c r="C107" i="1"/>
  <c r="B107" i="1"/>
  <c r="F107" i="1" s="1"/>
  <c r="C106" i="1"/>
  <c r="B106" i="1"/>
  <c r="F106" i="1" s="1"/>
  <c r="C105" i="1"/>
  <c r="B105" i="1"/>
  <c r="F105" i="1" s="1"/>
  <c r="C104" i="1"/>
  <c r="B104" i="1"/>
  <c r="F104" i="1" s="1"/>
  <c r="C103" i="1"/>
  <c r="B103" i="1"/>
  <c r="F103" i="1" s="1"/>
  <c r="C102" i="1"/>
  <c r="B102" i="1"/>
  <c r="F102" i="1" s="1"/>
  <c r="C101" i="1"/>
  <c r="B101" i="1"/>
  <c r="F101" i="1" s="1"/>
  <c r="C100" i="1"/>
  <c r="B100" i="1"/>
  <c r="F100" i="1" s="1"/>
  <c r="C99" i="1"/>
  <c r="B99" i="1"/>
  <c r="F99" i="1" s="1"/>
  <c r="C98" i="1"/>
  <c r="B98" i="1"/>
  <c r="F98" i="1" s="1"/>
  <c r="C97" i="1"/>
  <c r="B97" i="1"/>
  <c r="F97" i="1" s="1"/>
  <c r="C96" i="1"/>
  <c r="B96" i="1"/>
  <c r="F96" i="1" s="1"/>
  <c r="C95" i="1"/>
  <c r="B95" i="1"/>
  <c r="F95" i="1" s="1"/>
  <c r="C94" i="1"/>
  <c r="B94" i="1"/>
  <c r="F94" i="1" s="1"/>
  <c r="C93" i="1"/>
  <c r="B93" i="1"/>
  <c r="F93" i="1" s="1"/>
  <c r="C92" i="1"/>
  <c r="B92" i="1"/>
  <c r="F92" i="1" s="1"/>
  <c r="C91" i="1"/>
  <c r="B91" i="1"/>
  <c r="F91" i="1" s="1"/>
  <c r="C90" i="1"/>
  <c r="B90" i="1"/>
  <c r="F90" i="1" s="1"/>
  <c r="C89" i="1"/>
  <c r="B89" i="1"/>
  <c r="F89" i="1" s="1"/>
  <c r="C88" i="1"/>
  <c r="B88" i="1"/>
  <c r="F88" i="1" s="1"/>
  <c r="C87" i="1"/>
  <c r="B87" i="1"/>
  <c r="F87" i="1" s="1"/>
  <c r="C86" i="1"/>
  <c r="B86" i="1"/>
  <c r="F86" i="1" s="1"/>
  <c r="C85" i="1"/>
  <c r="B85" i="1"/>
  <c r="F85" i="1" s="1"/>
  <c r="C84" i="1"/>
  <c r="B84" i="1"/>
  <c r="F84" i="1" s="1"/>
  <c r="C83" i="1"/>
  <c r="B83" i="1"/>
  <c r="F83" i="1" s="1"/>
  <c r="C82" i="1"/>
  <c r="B82" i="1"/>
  <c r="F82" i="1" s="1"/>
  <c r="C81" i="1"/>
  <c r="B81" i="1"/>
  <c r="F81" i="1" s="1"/>
  <c r="C80" i="1"/>
  <c r="B80" i="1"/>
  <c r="F80" i="1" s="1"/>
  <c r="C79" i="1"/>
  <c r="B79" i="1"/>
  <c r="F79" i="1" s="1"/>
  <c r="C78" i="1"/>
  <c r="B78" i="1"/>
  <c r="F78" i="1" s="1"/>
  <c r="C77" i="1"/>
  <c r="B77" i="1"/>
  <c r="F77" i="1" s="1"/>
  <c r="C76" i="1"/>
  <c r="B76" i="1"/>
  <c r="F76" i="1" s="1"/>
  <c r="C75" i="1"/>
  <c r="B75" i="1"/>
  <c r="F75" i="1" s="1"/>
  <c r="C74" i="1"/>
  <c r="B74" i="1"/>
  <c r="F74" i="1" s="1"/>
  <c r="C73" i="1"/>
  <c r="B73" i="1"/>
  <c r="F73" i="1" s="1"/>
  <c r="C72" i="1"/>
  <c r="B72" i="1"/>
  <c r="F72" i="1" s="1"/>
  <c r="C71" i="1"/>
  <c r="B71" i="1"/>
  <c r="F71" i="1" s="1"/>
  <c r="C70" i="1"/>
  <c r="B70" i="1"/>
  <c r="F70" i="1" s="1"/>
  <c r="C69" i="1"/>
  <c r="B69" i="1"/>
  <c r="F69" i="1" s="1"/>
  <c r="C68" i="1"/>
  <c r="B68" i="1"/>
  <c r="F68" i="1" s="1"/>
  <c r="C67" i="1"/>
  <c r="B67" i="1"/>
  <c r="F67" i="1" s="1"/>
  <c r="C66" i="1"/>
  <c r="B66" i="1"/>
  <c r="F66" i="1" s="1"/>
  <c r="C65" i="1"/>
  <c r="B65" i="1"/>
  <c r="F65" i="1" s="1"/>
  <c r="C64" i="1"/>
  <c r="B64" i="1"/>
  <c r="F64" i="1" s="1"/>
  <c r="C63" i="1"/>
  <c r="B63" i="1"/>
  <c r="F63" i="1" s="1"/>
  <c r="C62" i="1"/>
  <c r="B62" i="1"/>
  <c r="F62" i="1" s="1"/>
  <c r="C61" i="1"/>
  <c r="B61" i="1"/>
  <c r="F61" i="1" s="1"/>
  <c r="C60" i="1"/>
  <c r="B60" i="1"/>
  <c r="F60" i="1" s="1"/>
  <c r="C59" i="1"/>
  <c r="B59" i="1"/>
  <c r="F59" i="1" s="1"/>
  <c r="C58" i="1"/>
  <c r="B58" i="1"/>
  <c r="F58" i="1" s="1"/>
  <c r="C57" i="1"/>
  <c r="B57" i="1"/>
  <c r="F57" i="1" s="1"/>
  <c r="C56" i="1"/>
  <c r="B56" i="1"/>
  <c r="F56" i="1" s="1"/>
  <c r="C55" i="1"/>
  <c r="B55" i="1"/>
  <c r="F55" i="1" s="1"/>
  <c r="C54" i="1"/>
  <c r="B54" i="1"/>
  <c r="F54" i="1" s="1"/>
  <c r="C53" i="1"/>
  <c r="B53" i="1"/>
  <c r="F53" i="1" s="1"/>
  <c r="C52" i="1"/>
  <c r="B52" i="1"/>
  <c r="F52" i="1" s="1"/>
  <c r="C51" i="1"/>
  <c r="B51" i="1"/>
  <c r="F51" i="1" s="1"/>
  <c r="C50" i="1"/>
  <c r="B50" i="1"/>
  <c r="F50" i="1" s="1"/>
  <c r="C49" i="1"/>
  <c r="B49" i="1"/>
  <c r="F49" i="1" s="1"/>
  <c r="C48" i="1"/>
  <c r="B48" i="1"/>
  <c r="F48" i="1" s="1"/>
  <c r="C47" i="1"/>
  <c r="B47" i="1"/>
  <c r="F47" i="1" s="1"/>
  <c r="C46" i="1"/>
  <c r="B46" i="1"/>
  <c r="F46" i="1" s="1"/>
  <c r="C45" i="1"/>
  <c r="B45" i="1"/>
  <c r="F45" i="1" s="1"/>
  <c r="C44" i="1"/>
  <c r="B44" i="1"/>
  <c r="F44" i="1" s="1"/>
  <c r="C43" i="1"/>
  <c r="B43" i="1"/>
  <c r="F43" i="1" s="1"/>
  <c r="C42" i="1"/>
  <c r="B42" i="1"/>
  <c r="F42" i="1" s="1"/>
  <c r="C41" i="1"/>
  <c r="B41" i="1"/>
  <c r="F41" i="1" s="1"/>
  <c r="C40" i="1"/>
  <c r="B40" i="1"/>
  <c r="F40" i="1" s="1"/>
  <c r="C39" i="1"/>
  <c r="B39" i="1"/>
  <c r="F39" i="1" s="1"/>
  <c r="C38" i="1"/>
  <c r="B38" i="1"/>
  <c r="F38" i="1" s="1"/>
  <c r="C37" i="1"/>
  <c r="B37" i="1"/>
  <c r="F37" i="1" s="1"/>
  <c r="C36" i="1"/>
  <c r="B36" i="1"/>
  <c r="F36" i="1" s="1"/>
  <c r="C35" i="1"/>
  <c r="B35" i="1"/>
  <c r="F35" i="1" s="1"/>
  <c r="C34" i="1"/>
  <c r="B34" i="1"/>
  <c r="F34" i="1" s="1"/>
  <c r="C33" i="1"/>
  <c r="B33" i="1"/>
  <c r="F33" i="1" s="1"/>
  <c r="C32" i="1"/>
  <c r="B32" i="1"/>
  <c r="F32" i="1" s="1"/>
  <c r="C31" i="1"/>
  <c r="B31" i="1"/>
  <c r="F31" i="1" s="1"/>
  <c r="C30" i="1"/>
  <c r="B30" i="1"/>
  <c r="F30" i="1" s="1"/>
  <c r="C29" i="1"/>
  <c r="B29" i="1"/>
  <c r="F29" i="1" s="1"/>
  <c r="C28" i="1"/>
  <c r="B28" i="1"/>
  <c r="F28" i="1" s="1"/>
  <c r="C27" i="1"/>
  <c r="B27" i="1"/>
  <c r="F27" i="1" s="1"/>
  <c r="C26" i="1"/>
  <c r="B26" i="1"/>
  <c r="F26" i="1" s="1"/>
  <c r="C25" i="1"/>
  <c r="B25" i="1"/>
  <c r="F25" i="1" s="1"/>
  <c r="C24" i="1"/>
  <c r="B24" i="1"/>
  <c r="F24" i="1" s="1"/>
  <c r="C23" i="1"/>
  <c r="B23" i="1"/>
  <c r="F23" i="1" s="1"/>
  <c r="C22" i="1"/>
  <c r="B22" i="1"/>
  <c r="F22" i="1" s="1"/>
  <c r="C21" i="1"/>
  <c r="B21" i="1"/>
  <c r="F21" i="1" s="1"/>
  <c r="C20" i="1"/>
  <c r="B20" i="1"/>
  <c r="F20" i="1" s="1"/>
  <c r="C19" i="1"/>
  <c r="B19" i="1"/>
  <c r="F19" i="1" s="1"/>
  <c r="C18" i="1"/>
  <c r="B18" i="1"/>
  <c r="C17" i="1"/>
  <c r="B17" i="1"/>
  <c r="F17" i="1" s="1"/>
  <c r="C16" i="1"/>
  <c r="B16" i="1"/>
  <c r="F16" i="1" s="1"/>
  <c r="C15" i="1"/>
  <c r="B15" i="1"/>
  <c r="F15" i="1" s="1"/>
  <c r="C14" i="1"/>
  <c r="B14" i="1"/>
  <c r="F14" i="1" s="1"/>
  <c r="C13" i="1"/>
  <c r="B13" i="1"/>
  <c r="C12" i="1"/>
  <c r="B12" i="1"/>
  <c r="F12" i="1" s="1"/>
  <c r="F13" i="1" l="1"/>
  <c r="F18" i="1"/>
  <c r="D5" i="2"/>
  <c r="E5" i="2" s="1"/>
  <c r="F5" i="2" s="1"/>
  <c r="G5" i="2" s="1"/>
  <c r="H5" i="2" s="1"/>
  <c r="I5" i="2" s="1"/>
  <c r="J5" i="2" s="1"/>
  <c r="K5" i="2" s="1"/>
  <c r="L5" i="2" s="1"/>
  <c r="M5" i="2" s="1"/>
  <c r="N5" i="2" s="1"/>
  <c r="O5" i="2" s="1"/>
  <c r="P5" i="2" s="1"/>
  <c r="Q5" i="2" s="1"/>
  <c r="R5" i="2" s="1"/>
  <c r="S5" i="2" s="1"/>
  <c r="T5" i="2" s="1"/>
  <c r="U5" i="2" s="1"/>
  <c r="V5" i="2" s="1"/>
  <c r="W5" i="2" s="1"/>
  <c r="X5" i="2" s="1"/>
  <c r="Y5" i="2" s="1"/>
  <c r="Z5" i="2" s="1"/>
  <c r="AA5" i="2" s="1"/>
  <c r="AB5" i="2" s="1"/>
  <c r="AC5" i="2" s="1"/>
  <c r="AD5" i="2" s="1"/>
  <c r="AE5" i="2" s="1"/>
  <c r="AF5" i="2" s="1"/>
  <c r="AG5" i="2" s="1"/>
  <c r="AH5" i="2" s="1"/>
  <c r="AI5" i="2" s="1"/>
  <c r="AJ5" i="2" s="1"/>
  <c r="AK5" i="2" s="1"/>
  <c r="AL5" i="2" s="1"/>
  <c r="AM5" i="2" s="1"/>
  <c r="AN5" i="2" s="1"/>
  <c r="AO5" i="2" s="1"/>
  <c r="AP5" i="2" s="1"/>
  <c r="G2" i="2"/>
  <c r="C11" i="1"/>
  <c r="B11" i="1"/>
  <c r="F11" i="1" s="1"/>
  <c r="D7" i="2"/>
  <c r="H7" i="2" l="1"/>
  <c r="L7" i="2"/>
  <c r="P7" i="2"/>
  <c r="T7" i="2"/>
  <c r="X7" i="2"/>
  <c r="AB7" i="2"/>
  <c r="AF7" i="2"/>
  <c r="AJ7" i="2"/>
  <c r="AN7" i="2"/>
  <c r="I7" i="2"/>
  <c r="M7" i="2"/>
  <c r="Q7" i="2"/>
  <c r="U7" i="2"/>
  <c r="Y7" i="2"/>
  <c r="AC7" i="2"/>
  <c r="AG7" i="2"/>
  <c r="AK7" i="2"/>
  <c r="AO7" i="2"/>
  <c r="J7" i="2"/>
  <c r="N7" i="2"/>
  <c r="R7" i="2"/>
  <c r="V7" i="2"/>
  <c r="Z7" i="2"/>
  <c r="AD7" i="2"/>
  <c r="AH7" i="2"/>
  <c r="AL7" i="2"/>
  <c r="AP7" i="2"/>
  <c r="G7" i="2"/>
  <c r="K7" i="2"/>
  <c r="O7" i="2"/>
  <c r="S7" i="2"/>
  <c r="W7" i="2"/>
  <c r="AA7" i="2"/>
  <c r="AE7" i="2"/>
  <c r="AI7" i="2"/>
  <c r="AM7" i="2"/>
  <c r="P4" i="1"/>
  <c r="P2" i="1"/>
  <c r="P5" i="1"/>
  <c r="P3" i="1"/>
  <c r="P6" i="1"/>
  <c r="P7" i="1"/>
  <c r="P8" i="1"/>
  <c r="AM6" i="2"/>
  <c r="K6" i="2"/>
  <c r="Y6" i="2"/>
  <c r="N6" i="2"/>
  <c r="X6" i="2"/>
  <c r="AD6" i="2"/>
  <c r="F6" i="2"/>
  <c r="L6" i="2"/>
  <c r="AF6" i="2"/>
  <c r="O6" i="2"/>
  <c r="S6" i="2"/>
  <c r="U6" i="2"/>
  <c r="T6" i="2"/>
  <c r="AG6" i="2"/>
  <c r="W6" i="2"/>
  <c r="AL6" i="2"/>
  <c r="E7" i="2"/>
  <c r="H6" i="2"/>
  <c r="AO6" i="2"/>
  <c r="AP6" i="2"/>
  <c r="AH6" i="2"/>
  <c r="D6" i="2"/>
  <c r="AI6" i="2"/>
  <c r="P6" i="2"/>
  <c r="AB6" i="2"/>
  <c r="E6" i="2"/>
  <c r="Q6" i="2"/>
  <c r="F7" i="2"/>
  <c r="AK6" i="2"/>
  <c r="V6" i="2"/>
  <c r="M6" i="2"/>
  <c r="AA6" i="2"/>
  <c r="G6" i="2"/>
  <c r="R6" i="2"/>
  <c r="J6" i="2"/>
  <c r="I6" i="2"/>
  <c r="AN6" i="2"/>
  <c r="AE6" i="2"/>
  <c r="AJ6" i="2"/>
  <c r="AC6" i="2"/>
  <c r="Z6" i="2"/>
</calcChain>
</file>

<file path=xl/comments1.xml><?xml version="1.0" encoding="utf-8"?>
<comments xmlns="http://schemas.openxmlformats.org/spreadsheetml/2006/main">
  <authors>
    <author>Hassan AFIF</author>
  </authors>
  <commentList>
    <comment ref="I10" authorId="0">
      <text>
        <r>
          <rPr>
            <b/>
            <sz val="9"/>
            <color indexed="81"/>
            <rFont val="Tahoma"/>
            <family val="2"/>
          </rPr>
          <t>Type: kind of task
Module: Impacted module for Scrum/Agil development
Version: to make grouping of feature or stories by version
Sprint ref.: to make grouping of stories by sprints
to be defined in Setting sheet</t>
        </r>
      </text>
    </comment>
    <comment ref="J10" authorId="0">
      <text>
        <r>
          <rPr>
            <b/>
            <sz val="9"/>
            <color indexed="81"/>
            <rFont val="Tahoma"/>
            <family val="2"/>
          </rPr>
          <t>- Story if using Scrum/Agil
- Task if other methodology, working on several projects</t>
        </r>
      </text>
    </comment>
    <comment ref="K10" authorId="0">
      <text>
        <r>
          <rPr>
            <b/>
            <sz val="9"/>
            <color indexed="81"/>
            <rFont val="Tahoma"/>
            <family val="2"/>
          </rPr>
          <t>- Feature if using Scrum/Agil
- Project if other methodology, working on several projects</t>
        </r>
      </text>
    </comment>
    <comment ref="L10" authorId="0">
      <text>
        <r>
          <rPr>
            <b/>
            <sz val="9"/>
            <color indexed="81"/>
            <rFont val="Tahoma"/>
            <family val="2"/>
          </rPr>
          <t>Priority's colors may be changed in Setting sheet (todo it: unlock workbook first)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0" authorId="0">
      <text>
        <r>
          <rPr>
            <b/>
            <sz val="9"/>
            <color indexed="81"/>
            <rFont val="Tahoma"/>
            <family val="2"/>
          </rPr>
          <t>Scrum Effort Estimations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0" authorId="0">
      <text>
        <r>
          <rPr>
            <b/>
            <sz val="9"/>
            <color indexed="81"/>
            <rFont val="Tahoma"/>
            <family val="2"/>
          </rPr>
          <t>Set the date when defining and planning a Sprint</t>
        </r>
      </text>
    </comment>
    <comment ref="O10" authorId="0">
      <text>
        <r>
          <rPr>
            <b/>
            <sz val="9"/>
            <color indexed="81"/>
            <rFont val="Tahoma"/>
            <family val="2"/>
          </rPr>
          <t>Last estimated date when the target date has changed.
If change occurs several time, track these dates changed in Task/Comment cell.</t>
        </r>
      </text>
    </comment>
    <comment ref="Q10" authorId="0">
      <text>
        <r>
          <rPr>
            <b/>
            <sz val="9"/>
            <color indexed="81"/>
            <rFont val="Tahoma"/>
            <family val="2"/>
          </rPr>
          <t>Fill this column if the story is done.
Filling this cell have impact on the Graph in ReleaseProgress sheet.</t>
        </r>
      </text>
    </comment>
    <comment ref="R10" authorId="0">
      <text>
        <r>
          <rPr>
            <b/>
            <sz val="9"/>
            <color indexed="81"/>
            <rFont val="Tahoma"/>
            <family val="2"/>
          </rPr>
          <t>Log as many tasks in the cell to have history of job done with the story.
Use prefix symbol to have a quick look of tasks done and in progress: I used "+" for taks done, "-" tasks not yet started, "x" for canceled task and "=&gt;" for in progress task .</t>
        </r>
      </text>
    </comment>
    <comment ref="S10" authorId="0">
      <text>
        <r>
          <rPr>
            <b/>
            <sz val="9"/>
            <color indexed="81"/>
            <rFont val="Tahoma"/>
            <family val="2"/>
          </rPr>
          <t>Team if using Scrum
Contact if using PMP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Hassan AFIF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If you need to extend the list bellow, you should insert a new line inside the bold box (not outside it)</t>
        </r>
      </text>
    </comment>
    <comment ref="A56" authorId="0">
      <text>
        <r>
          <rPr>
            <b/>
            <sz val="9"/>
            <color indexed="81"/>
            <rFont val="Tahoma"/>
            <family val="2"/>
          </rPr>
          <t>If you need to extend lists bellow, you should insert a new line inside the bold box (not outside it)</t>
        </r>
      </text>
    </comment>
    <comment ref="E57" authorId="0">
      <text>
        <r>
          <rPr>
            <b/>
            <sz val="9"/>
            <color indexed="81"/>
            <rFont val="Tahoma"/>
            <family val="2"/>
          </rPr>
          <t>Don't forget to apply [UPDATE ALL COND. FOMAT.]</t>
        </r>
      </text>
    </comment>
  </commentList>
</comments>
</file>

<file path=xl/sharedStrings.xml><?xml version="1.0" encoding="utf-8"?>
<sst xmlns="http://schemas.openxmlformats.org/spreadsheetml/2006/main" count="1363" uniqueCount="1131">
  <si>
    <t>Ref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</si>
  <si>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</si>
  <si>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</si>
  <si>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</si>
  <si>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</si>
  <si>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</si>
  <si>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</si>
  <si>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</si>
  <si>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</si>
  <si>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</si>
  <si>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</si>
  <si>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</si>
  <si>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</si>
  <si>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N/A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</si>
  <si>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</si>
  <si>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</si>
  <si>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</si>
  <si>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</si>
  <si>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</si>
  <si>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</si>
  <si>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</si>
  <si>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</si>
  <si>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</si>
  <si>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</si>
  <si>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</si>
  <si>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</si>
  <si>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</si>
  <si>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</si>
  <si>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</si>
  <si>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</si>
  <si>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</si>
  <si>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</si>
  <si>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</si>
  <si>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</si>
  <si>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</si>
  <si>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</si>
  <si>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</si>
  <si>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</si>
  <si>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</si>
  <si>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</si>
  <si>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</si>
  <si>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</si>
  <si>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</si>
  <si>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</si>
  <si>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</si>
  <si>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</si>
  <si>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</si>
  <si>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</si>
  <si>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</si>
  <si>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</si>
  <si>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</si>
  <si>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A38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</si>
  <si>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</si>
  <si>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</si>
  <si>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</si>
  <si>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</si>
  <si>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</si>
  <si>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</si>
  <si>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</si>
  <si>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</si>
  <si>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</si>
  <si>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</si>
  <si>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</si>
  <si>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</si>
  <si>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</si>
  <si>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</si>
  <si>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</si>
  <si>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</si>
  <si>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</si>
  <si>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</si>
  <si>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</si>
  <si>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</si>
  <si>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</si>
  <si>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</si>
  <si>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</si>
  <si>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</si>
  <si>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</si>
  <si>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</si>
  <si>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</si>
  <si>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</si>
  <si>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</si>
  <si>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</si>
  <si>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</si>
  <si>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</si>
  <si>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</si>
  <si>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</si>
  <si>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</si>
  <si>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</si>
  <si>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</si>
  <si>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</si>
  <si>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</si>
  <si>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</si>
  <si>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</si>
  <si>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</si>
  <si>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</si>
  <si>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</si>
  <si>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</si>
  <si>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</si>
  <si>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</si>
  <si>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NA</t>
  </si>
  <si>
    <t>Description</t>
  </si>
  <si>
    <t>Target Date</t>
  </si>
  <si>
    <t>Date reviewed</t>
  </si>
  <si>
    <t>Status</t>
  </si>
  <si>
    <t>Closure or Applied Date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</si>
  <si>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</si>
  <si>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</si>
  <si>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</si>
  <si>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</si>
  <si>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</si>
  <si>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</si>
  <si>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</si>
  <si>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</si>
  <si>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</si>
  <si>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</si>
  <si>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</si>
  <si>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</si>
  <si>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</si>
  <si>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</si>
  <si>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</si>
  <si>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</si>
  <si>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</si>
  <si>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</si>
  <si>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</si>
  <si>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</si>
  <si>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</si>
  <si>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</si>
  <si>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</si>
  <si>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</si>
  <si>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</si>
  <si>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</si>
  <si>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</si>
  <si>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</si>
  <si>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</si>
  <si>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</si>
  <si>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</si>
  <si>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</si>
  <si>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</si>
  <si>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</si>
  <si>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</si>
  <si>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</si>
  <si>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</si>
  <si>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</si>
  <si>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</si>
  <si>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</si>
  <si>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</si>
  <si>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</si>
  <si>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</si>
  <si>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</si>
  <si>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</si>
  <si>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</si>
  <si>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</si>
  <si>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</si>
  <si>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</si>
  <si>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</si>
  <si>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</si>
  <si>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</si>
  <si>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</si>
  <si>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</si>
  <si>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</si>
  <si>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</si>
  <si>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</si>
  <si>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</si>
  <si>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</si>
  <si>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</si>
  <si>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</si>
  <si>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</si>
  <si>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</si>
  <si>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</si>
  <si>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</si>
  <si>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</si>
  <si>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</si>
  <si>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</si>
  <si>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</si>
  <si>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</si>
  <si>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</si>
  <si>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</si>
  <si>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</si>
  <si>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</si>
  <si>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</si>
  <si>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</si>
  <si>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</si>
  <si>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</si>
  <si>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</si>
  <si>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</si>
  <si>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</si>
  <si>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</si>
  <si>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</si>
  <si>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</si>
  <si>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</si>
  <si>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</si>
  <si>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</si>
  <si>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</si>
  <si>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</si>
  <si>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</si>
  <si>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</si>
  <si>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</si>
  <si>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</si>
  <si>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</si>
  <si>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</si>
  <si>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</si>
  <si>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</si>
  <si>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</si>
  <si>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</si>
  <si>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</si>
  <si>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</si>
  <si>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</si>
  <si>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</si>
  <si>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</si>
  <si>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</si>
  <si>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</si>
  <si>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</si>
  <si>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</si>
  <si>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</si>
  <si>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</si>
  <si>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</si>
  <si>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</si>
  <si>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</si>
  <si>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</si>
  <si>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</si>
  <si>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</si>
  <si>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</si>
  <si>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</si>
  <si>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</si>
  <si>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</si>
  <si>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</si>
  <si>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</si>
  <si>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</si>
  <si>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</si>
  <si>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</si>
  <si>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</si>
  <si>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</si>
  <si>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</si>
  <si>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</si>
  <si>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</si>
  <si>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</si>
  <si>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</si>
  <si>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</si>
  <si>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</si>
  <si>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</si>
  <si>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</si>
  <si>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</si>
  <si>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</si>
  <si>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</si>
  <si>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</si>
  <si>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</si>
  <si>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</si>
  <si>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</si>
  <si>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</si>
  <si>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</si>
  <si>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</si>
  <si>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</si>
  <si>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</si>
  <si>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</si>
  <si>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</si>
  <si>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</si>
  <si>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</si>
  <si>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</si>
  <si>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</si>
  <si>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</si>
  <si>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</si>
  <si>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</si>
  <si>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</si>
  <si>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</si>
  <si>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</si>
  <si>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</si>
  <si>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</si>
  <si>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</si>
  <si>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</si>
  <si>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</si>
  <si>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</si>
  <si>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</si>
  <si>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</si>
  <si>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</si>
  <si>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</si>
  <si>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</si>
  <si>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</si>
  <si>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</si>
  <si>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</si>
  <si>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</si>
  <si>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</si>
  <si>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</si>
  <si>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</si>
  <si>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</si>
  <si>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</si>
  <si>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</si>
  <si>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</si>
  <si>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</si>
  <si>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</si>
  <si>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</si>
  <si>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</si>
  <si>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</si>
  <si>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</si>
  <si>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</si>
  <si>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</si>
  <si>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</si>
  <si>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</si>
  <si>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</si>
  <si>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</si>
  <si>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</si>
  <si>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</si>
  <si>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</si>
  <si>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</si>
  <si>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</si>
  <si>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</si>
  <si>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</si>
  <si>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</si>
  <si>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</si>
  <si>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</si>
  <si>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</si>
  <si>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</si>
  <si>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</si>
  <si>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</si>
  <si>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</si>
  <si>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</si>
  <si>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</si>
  <si>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</si>
  <si>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</si>
  <si>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</si>
  <si>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</si>
  <si>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</si>
  <si>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</si>
  <si>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</si>
  <si>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</si>
  <si>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</si>
  <si>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</si>
  <si>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</si>
  <si>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</si>
  <si>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</si>
  <si>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</si>
  <si>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</si>
  <si>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</si>
  <si>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</si>
  <si>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</si>
  <si>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</si>
  <si>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</si>
  <si>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</si>
  <si>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</si>
  <si>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</si>
  <si>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</si>
  <si>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</si>
  <si>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</si>
  <si>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</si>
  <si>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</si>
  <si>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</si>
  <si>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</si>
  <si>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</si>
  <si>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</si>
  <si>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</si>
  <si>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</si>
  <si>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</si>
  <si>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</si>
  <si>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</si>
  <si>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</si>
  <si>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</si>
  <si>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</si>
  <si>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</si>
  <si>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</si>
  <si>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</si>
  <si>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</si>
  <si>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</si>
  <si>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</si>
  <si>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</si>
  <si>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</si>
  <si>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</si>
  <si>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</si>
  <si>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</si>
  <si>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</si>
  <si>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</si>
  <si>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</si>
  <si>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</si>
  <si>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</si>
  <si>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</si>
  <si>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</si>
  <si>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</si>
  <si>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</si>
  <si>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</si>
  <si>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</si>
  <si>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</si>
  <si>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</si>
  <si>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</si>
  <si>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</si>
  <si>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</si>
  <si>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</si>
  <si>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</si>
  <si>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</si>
  <si>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</si>
  <si>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</si>
  <si>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</si>
  <si>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</si>
  <si>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</si>
  <si>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</si>
  <si>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</si>
  <si>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</si>
  <si>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</si>
  <si>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</si>
  <si>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</si>
  <si>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</si>
  <si>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</si>
  <si>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</si>
  <si>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</si>
  <si>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</si>
  <si>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</si>
  <si>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</si>
  <si>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</si>
  <si>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</si>
  <si>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</si>
  <si>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</si>
  <si>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</si>
  <si>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</si>
  <si>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</si>
  <si>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</si>
  <si>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</si>
  <si>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</si>
  <si>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</si>
  <si>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</si>
  <si>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</si>
  <si>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</si>
  <si>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</si>
  <si>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</si>
  <si>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</si>
  <si>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</si>
  <si>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</si>
  <si>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</si>
  <si>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</si>
  <si>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</si>
  <si>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</si>
  <si>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</si>
  <si>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</si>
  <si>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</si>
  <si>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</si>
  <si>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</si>
  <si>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</si>
  <si>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</si>
  <si>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</si>
  <si>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</si>
  <si>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</si>
  <si>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</si>
  <si>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</si>
  <si>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</si>
  <si>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</si>
  <si>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</si>
  <si>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</si>
  <si>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</si>
  <si>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</si>
  <si>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</si>
  <si>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</si>
  <si>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</si>
  <si>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</si>
  <si>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</si>
  <si>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</si>
  <si>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</si>
  <si>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</si>
  <si>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</si>
  <si>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</si>
  <si>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</si>
  <si>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</si>
  <si>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</si>
  <si>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</si>
  <si>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</si>
  <si>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</si>
  <si>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</si>
  <si>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</si>
  <si>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</si>
  <si>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</si>
  <si>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</si>
  <si>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</si>
  <si>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</si>
  <si>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</si>
  <si>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</si>
  <si>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</si>
  <si>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</si>
  <si>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</si>
  <si>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</si>
  <si>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</si>
  <si>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</si>
  <si>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</si>
  <si>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</si>
  <si>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</si>
  <si>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</si>
  <si>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</si>
  <si>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</si>
  <si>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</si>
  <si>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</si>
  <si>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</si>
  <si>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</si>
  <si>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</si>
  <si>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</si>
  <si>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</si>
  <si>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</si>
  <si>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</si>
  <si>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</si>
  <si>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</si>
  <si>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</si>
  <si>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</si>
  <si>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</si>
  <si>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</si>
  <si>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</si>
  <si>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</si>
  <si>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</si>
  <si>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</si>
  <si>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</si>
  <si>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</si>
  <si>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</si>
  <si>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</si>
  <si>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</si>
  <si>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</si>
  <si>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</si>
  <si>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</si>
  <si>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</si>
  <si>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</si>
  <si>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</si>
  <si>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</si>
  <si>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</si>
  <si>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</si>
  <si>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</si>
  <si>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</si>
  <si>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</si>
  <si>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</si>
  <si>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</si>
  <si>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</si>
  <si>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</si>
  <si>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</si>
  <si>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</si>
  <si>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</si>
  <si>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</si>
  <si>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</si>
  <si>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</si>
  <si>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</si>
  <si>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</si>
  <si>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</si>
  <si>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</si>
  <si>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</si>
  <si>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</si>
  <si>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</si>
  <si>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</si>
  <si>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</si>
  <si>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</si>
  <si>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</si>
  <si>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</si>
  <si>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</si>
  <si>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</si>
  <si>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</si>
  <si>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</si>
  <si>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</si>
  <si>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</si>
  <si>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</si>
  <si>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</si>
  <si>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</si>
  <si>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</si>
  <si>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</si>
  <si>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</si>
  <si>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</si>
  <si>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</si>
  <si>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</si>
  <si>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</si>
  <si>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</si>
  <si>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</si>
  <si>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</si>
  <si>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</si>
  <si>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</si>
  <si>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</si>
  <si>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</si>
  <si>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</si>
  <si>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</si>
  <si>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</si>
  <si>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</si>
  <si>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</si>
  <si>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</si>
  <si>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</si>
  <si>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</si>
  <si>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</si>
  <si>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</si>
  <si>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</si>
  <si>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</si>
  <si>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</si>
  <si>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</si>
  <si>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</si>
  <si>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</si>
  <si>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</si>
  <si>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</si>
  <si>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</si>
  <si>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</si>
  <si>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</si>
  <si>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</si>
  <si>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</si>
  <si>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</si>
  <si>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</si>
  <si>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</si>
  <si>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</si>
  <si>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</si>
  <si>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</si>
  <si>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</si>
  <si>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</si>
  <si>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</si>
  <si>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</si>
  <si>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</si>
  <si>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</si>
  <si>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</si>
  <si>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</si>
  <si>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</si>
  <si>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</si>
  <si>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</si>
  <si>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</si>
  <si>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</si>
  <si>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</si>
  <si>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</si>
  <si>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</si>
  <si>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</si>
  <si>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</si>
  <si>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</si>
  <si>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</si>
  <si>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</si>
  <si>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</si>
  <si>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</si>
  <si>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</si>
  <si>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</si>
  <si>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</si>
  <si>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</si>
  <si>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</si>
  <si>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</si>
  <si>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</si>
  <si>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</si>
  <si>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</si>
  <si>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</si>
  <si>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</si>
  <si>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</si>
  <si>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</si>
  <si>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</si>
  <si>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</si>
  <si>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</si>
  <si>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</si>
  <si>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</si>
  <si>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</si>
  <si>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</si>
  <si>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</si>
  <si>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</si>
  <si>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</si>
  <si>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</si>
  <si>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</si>
  <si>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</si>
  <si>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</si>
  <si>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</si>
  <si>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</si>
  <si>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</si>
  <si>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</si>
  <si>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</si>
  <si>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</si>
  <si>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</si>
  <si>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</si>
  <si>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</si>
  <si>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</si>
  <si>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</si>
  <si>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</si>
  <si>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</si>
  <si>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</si>
  <si>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</si>
  <si>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</si>
  <si>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</si>
  <si>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</si>
  <si>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</si>
  <si>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</si>
  <si>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</si>
  <si>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</si>
  <si>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</si>
  <si>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</si>
  <si>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</si>
  <si>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</si>
  <si>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</si>
  <si>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</si>
  <si>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</si>
  <si>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</si>
  <si>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</si>
  <si>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</si>
  <si>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</si>
  <si>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</si>
  <si>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</si>
  <si>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</si>
  <si>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</si>
  <si>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</si>
  <si>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</si>
  <si>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</si>
  <si>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</si>
  <si>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</si>
  <si>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</si>
  <si>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</si>
  <si>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</si>
  <si>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</si>
  <si>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</si>
  <si>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</si>
  <si>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</si>
  <si>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</si>
  <si>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</si>
  <si>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</si>
  <si>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</si>
  <si>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</si>
  <si>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</si>
  <si>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</si>
  <si>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</si>
  <si>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</si>
  <si>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</si>
  <si>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</si>
  <si>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</si>
  <si>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</si>
  <si>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</si>
  <si>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</si>
  <si>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</si>
  <si>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</si>
  <si>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</si>
  <si>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</si>
  <si>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</si>
  <si>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</si>
  <si>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</si>
  <si>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</si>
  <si>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</si>
  <si>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</si>
  <si>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</si>
  <si>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</si>
  <si>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</si>
  <si>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</si>
  <si>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</si>
  <si>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</si>
  <si>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</si>
  <si>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</si>
  <si>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</si>
  <si>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</si>
  <si>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</si>
  <si>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</si>
  <si>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</si>
  <si>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</si>
  <si>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</si>
  <si>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</si>
  <si>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</si>
  <si>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</si>
  <si>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</si>
  <si>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</si>
  <si>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</si>
  <si>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</si>
  <si>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</si>
  <si>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</si>
  <si>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</si>
  <si>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</si>
  <si>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</si>
  <si>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</si>
  <si>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</si>
  <si>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</si>
  <si>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</si>
  <si>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A740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</si>
  <si>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</si>
  <si>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</si>
  <si>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</si>
  <si>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</si>
  <si>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</si>
  <si>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</si>
  <si>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</si>
  <si>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</si>
  <si>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</si>
  <si>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</si>
  <si>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</si>
  <si>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</si>
  <si>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</si>
  <si>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</si>
  <si>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</si>
  <si>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</si>
  <si>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</si>
  <si>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</si>
  <si>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</si>
  <si>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</si>
  <si>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</si>
  <si>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</si>
  <si>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</si>
  <si>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</si>
  <si>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</si>
  <si>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</si>
  <si>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</si>
  <si>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</si>
  <si>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</si>
  <si>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</si>
  <si>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</si>
  <si>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</si>
  <si>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</si>
  <si>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</si>
  <si>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</si>
  <si>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</si>
  <si>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</si>
  <si>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</si>
  <si>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</si>
  <si>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</si>
  <si>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</si>
  <si>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</si>
  <si>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</si>
  <si>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</si>
  <si>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</si>
  <si>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</si>
  <si>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</si>
  <si>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</si>
  <si>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</si>
  <si>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</si>
  <si>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</si>
  <si>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</si>
  <si>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</si>
  <si>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</si>
  <si>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</si>
  <si>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</si>
  <si>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</si>
  <si>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</si>
  <si>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</si>
  <si>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</si>
  <si>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</si>
  <si>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</si>
  <si>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</si>
  <si>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</si>
  <si>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</si>
  <si>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</si>
  <si>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</si>
  <si>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</si>
  <si>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</si>
  <si>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</si>
  <si>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</si>
  <si>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</si>
  <si>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</si>
  <si>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</si>
  <si>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</si>
  <si>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</si>
  <si>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</si>
  <si>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</si>
  <si>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</si>
  <si>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</si>
  <si>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</si>
  <si>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</si>
  <si>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</si>
  <si>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</si>
  <si>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</si>
  <si>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</si>
  <si>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</si>
  <si>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</si>
  <si>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</si>
  <si>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</si>
  <si>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</si>
  <si>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</si>
  <si>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</si>
  <si>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</si>
  <si>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</si>
  <si>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</si>
  <si>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</si>
  <si>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</si>
  <si>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</si>
  <si>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</si>
  <si>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</si>
  <si>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</si>
  <si>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</si>
  <si>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</si>
  <si>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</si>
  <si>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</si>
  <si>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</si>
  <si>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</si>
  <si>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</si>
  <si>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</si>
  <si>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</si>
  <si>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</si>
  <si>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A853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</si>
  <si>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</si>
  <si>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</si>
  <si>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</si>
  <si>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</si>
  <si>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</si>
  <si>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</si>
  <si>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</si>
  <si>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</si>
  <si>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</si>
  <si>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</si>
  <si>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</si>
  <si>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</si>
  <si>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</si>
  <si>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</si>
  <si>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A868</t>
  </si>
  <si>
    <t>A869</t>
  </si>
  <si>
    <t>A870</t>
  </si>
  <si>
    <t>A871</t>
  </si>
  <si>
    <t>A872</t>
  </si>
  <si>
    <t>A873</t>
  </si>
  <si>
    <t>A874</t>
  </si>
  <si>
    <t>A875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</si>
  <si>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</si>
  <si>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</si>
  <si>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</si>
  <si>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</si>
  <si>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</si>
  <si>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</si>
  <si>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</si>
  <si>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</si>
  <si>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</si>
  <si>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</si>
  <si>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</si>
  <si>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</si>
  <si>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</si>
  <si>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</si>
  <si>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</si>
  <si>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</si>
  <si>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</si>
  <si>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</si>
  <si>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</si>
  <si>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</si>
  <si>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</si>
  <si>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</si>
  <si>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A898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</si>
  <si>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</si>
  <si>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</si>
  <si>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</si>
  <si>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</si>
  <si>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</si>
  <si>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</si>
  <si>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</si>
  <si>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</si>
  <si>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</si>
  <si>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</si>
  <si>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</si>
  <si>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</si>
  <si>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</si>
  <si>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</si>
  <si>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</si>
  <si>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</si>
  <si>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</si>
  <si>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</si>
  <si>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</si>
  <si>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</si>
  <si>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</si>
  <si>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</si>
  <si>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</si>
  <si>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</si>
  <si>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</si>
  <si>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</si>
  <si>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</si>
  <si>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</si>
  <si>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</si>
  <si>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</si>
  <si>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</si>
  <si>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</si>
  <si>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</si>
  <si>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</si>
  <si>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</si>
  <si>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A934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</si>
  <si>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</si>
  <si>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</si>
  <si>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</si>
  <si>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</si>
  <si>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</si>
  <si>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</si>
  <si>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</si>
  <si>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</si>
  <si>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</si>
  <si>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</si>
  <si>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</si>
  <si>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</si>
  <si>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A947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</si>
  <si>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</si>
  <si>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</si>
  <si>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</si>
  <si>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</si>
  <si>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</si>
  <si>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</si>
  <si>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</si>
  <si>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</si>
  <si>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</si>
  <si>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</si>
  <si>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</si>
  <si>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</si>
  <si>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</si>
  <si>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</si>
  <si>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</si>
  <si>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</si>
  <si>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</si>
  <si>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</si>
  <si>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</si>
  <si>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</si>
  <si>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</si>
  <si>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</si>
  <si>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</si>
  <si>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</si>
  <si>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</si>
  <si>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</si>
  <si>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</si>
  <si>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</si>
  <si>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</si>
  <si>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</si>
  <si>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</si>
  <si>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</si>
  <si>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</si>
  <si>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</si>
  <si>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</si>
  <si>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</si>
  <si>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</si>
  <si>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</si>
  <si>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</si>
  <si>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</si>
  <si>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</si>
  <si>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</si>
  <si>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</si>
  <si>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</si>
  <si>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</si>
  <si>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</si>
  <si>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</si>
  <si>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</si>
  <si>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</si>
  <si>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</si>
  <si>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</si>
  <si>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</si>
  <si>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Story Description</t>
  </si>
  <si>
    <t>Stories/Tasks begin line</t>
  </si>
  <si>
    <t>Stories/Tasks end line</t>
  </si>
  <si>
    <t>Priorité</t>
  </si>
  <si>
    <t>1</t>
  </si>
  <si>
    <t>2</t>
  </si>
  <si>
    <t>3</t>
  </si>
  <si>
    <t>4</t>
  </si>
  <si>
    <t>5</t>
  </si>
  <si>
    <t>Task/Comment</t>
  </si>
  <si>
    <t>Plus claire</t>
  </si>
  <si>
    <t>Claire</t>
  </si>
  <si>
    <t>Foncé</t>
  </si>
  <si>
    <t>Plus foncé</t>
  </si>
  <si>
    <t>Priority</t>
  </si>
  <si>
    <t>Data Sheet Name:</t>
  </si>
  <si>
    <t>Feature/Project</t>
  </si>
  <si>
    <t>Features/Projects</t>
  </si>
  <si>
    <t>Team/Contact</t>
  </si>
  <si>
    <t>Target Sprint / Week</t>
  </si>
  <si>
    <t>Type / Module</t>
  </si>
  <si>
    <t>&lt;= Other Color palette to copy/paste format on "Type / Module" range</t>
  </si>
  <si>
    <t>Current Sprint/Week :</t>
  </si>
  <si>
    <t>or</t>
  </si>
  <si>
    <t>Team/Contact constrains</t>
  </si>
  <si>
    <t>Busy between time 1 and time 2</t>
  </si>
  <si>
    <t>Don't disturb in day 1 of week</t>
  </si>
  <si>
    <t>Risk 1</t>
  </si>
  <si>
    <t>Risk 2</t>
  </si>
  <si>
    <t>Risk 3</t>
  </si>
  <si>
    <t>…</t>
  </si>
  <si>
    <t>StoryMapping</t>
  </si>
  <si>
    <t>Not started</t>
  </si>
  <si>
    <t>In progress</t>
  </si>
  <si>
    <t>Closed</t>
  </si>
  <si>
    <t>Suspended</t>
  </si>
  <si>
    <t>Applied</t>
  </si>
  <si>
    <t>Current Sprint / Week</t>
  </si>
  <si>
    <t xml:space="preserve">Sprint / Week begin following : </t>
  </si>
  <si>
    <t>&lt;========</t>
  </si>
  <si>
    <t>Target Week</t>
  </si>
  <si>
    <t>Week of closure or appling</t>
  </si>
  <si>
    <t>Processed O/N</t>
  </si>
  <si>
    <t>To be counted</t>
  </si>
  <si>
    <t>Canceled</t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</si>
  <si>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bellow data don't require updating any thing in workbook</t>
    </r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</si>
  <si>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data bellow requires that you click on [UPDATE ALL  conditional format.] in first sheet</t>
    </r>
  </si>
  <si>
    <t>[copy] / [special paste] if you desire it</t>
  </si>
  <si>
    <t>You can change formating on the following status to be applied later on the wool line of story/task.
But only these Font properties can be applied: Bold Color ColorIndex FontStyle Italic Strikethrough Underline
Then Execute [UPDATE ALL  conditional format.]</t>
  </si>
  <si>
    <t>STORIES, TASKS / RELEASE</t>
  </si>
  <si>
    <t>Goal progress</t>
  </si>
  <si>
    <t>Actual progress</t>
  </si>
  <si>
    <t>MONITORING PROGRESS</t>
  </si>
  <si>
    <t>Type / Module/Sprint/Version</t>
  </si>
  <si>
    <t>Progress</t>
  </si>
  <si>
    <t>Status labels ad color</t>
  </si>
  <si>
    <t>Feature 1</t>
  </si>
  <si>
    <t>Team 1</t>
  </si>
  <si>
    <t>Feature 2</t>
  </si>
  <si>
    <t>Team 2</t>
  </si>
  <si>
    <t>Feature 3</t>
  </si>
  <si>
    <t>Team 3</t>
  </si>
  <si>
    <t>Feature 4</t>
  </si>
  <si>
    <t>Feature 5</t>
  </si>
  <si>
    <t>Feature 6</t>
  </si>
  <si>
    <t>Feature 7</t>
  </si>
  <si>
    <t>Team 4</t>
  </si>
  <si>
    <t>Feature 8</t>
  </si>
  <si>
    <t>Feature 9</t>
  </si>
  <si>
    <t>Feature 10</t>
  </si>
  <si>
    <t>Feature 11</t>
  </si>
  <si>
    <t>Feature 12</t>
  </si>
  <si>
    <t>Feature 13</t>
  </si>
  <si>
    <t>Feature 14</t>
  </si>
  <si>
    <t>Project 1</t>
  </si>
  <si>
    <t>First Last Name 1</t>
  </si>
  <si>
    <t>Project 2</t>
  </si>
  <si>
    <t>First Last Name 2</t>
  </si>
  <si>
    <t>Project 3</t>
  </si>
  <si>
    <t>First Last Name 3</t>
  </si>
  <si>
    <t>Project 4</t>
  </si>
  <si>
    <t>First Last Name 4</t>
  </si>
  <si>
    <t>Project 5</t>
  </si>
  <si>
    <t>First Last Name 5</t>
  </si>
  <si>
    <t>Project 6</t>
  </si>
  <si>
    <t>First Last Name 6</t>
  </si>
  <si>
    <t>Project 7</t>
  </si>
  <si>
    <t>First Last Name 7</t>
  </si>
  <si>
    <t>Project 8</t>
  </si>
  <si>
    <t>First Last Name 8</t>
  </si>
  <si>
    <t>Project 9</t>
  </si>
  <si>
    <t>First Last Name 9</t>
  </si>
  <si>
    <t>Project 10</t>
  </si>
  <si>
    <t>First Last Name 10</t>
  </si>
  <si>
    <t>Project 11</t>
  </si>
  <si>
    <t>First Last Name 11</t>
  </si>
  <si>
    <t>Project 12</t>
  </si>
  <si>
    <t>First Last Name 12</t>
  </si>
  <si>
    <t>Project 13</t>
  </si>
  <si>
    <t>First Last Name 13</t>
  </si>
  <si>
    <t>Project 14</t>
  </si>
  <si>
    <t>First Last Name 14</t>
  </si>
  <si>
    <t>Project 15</t>
  </si>
  <si>
    <t>First Last Name 15</t>
  </si>
  <si>
    <t>Module 1</t>
  </si>
  <si>
    <t>Module 2</t>
  </si>
  <si>
    <t>Module 3</t>
  </si>
  <si>
    <t>Type 1</t>
  </si>
  <si>
    <t>Type 2</t>
  </si>
  <si>
    <t>Type 3</t>
  </si>
  <si>
    <t>Story 1 description</t>
  </si>
  <si>
    <t>+ Do something 1 (done at date 1)</t>
  </si>
  <si>
    <t>Story 2 description</t>
  </si>
  <si>
    <t>+ Do something 1 (done at date 3)
+ Do something 1 (done at date 4)
=&gt; Do something 5</t>
  </si>
  <si>
    <t>Story 3 description</t>
  </si>
  <si>
    <t>+ Do something 1 (done at date 4)
=&gt; Do something 5</t>
  </si>
  <si>
    <t>Story 4 description</t>
  </si>
  <si>
    <t>+ Do something 1 (done at date 3)
+ Do something 1 (done at date 4)</t>
  </si>
  <si>
    <t>+ Do something 1 (done at date 1)
=&gt; Do something 2</t>
  </si>
  <si>
    <t>+ Do something 1 (done at date 3)
=&gt; Do something 5</t>
  </si>
  <si>
    <t>Points</t>
  </si>
  <si>
    <t>Scrum Effort Estimations (points) using Fobonacci serie</t>
  </si>
  <si>
    <t>Visual only</t>
  </si>
  <si>
    <t>ScrumProjectsPlan V0.1.2
Copyright 2017, Hassan AFIF, All rights reserved.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</si>
</sst>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23" x14ac:knownFonts="1"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sz val="26"/>
      <color theme="1"/>
      <name val="Arial"/>
      <family val="2"/>
    </font>
    <font>
      <i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  <font>
      <i/>
      <sz val="10"/>
      <color theme="1" tint="0.249977111117893"/>
      <name val="Arial"/>
      <family val="2"/>
    </font>
    <font>
      <sz val="10"/>
      <color theme="1" tint="0.34998626667073579"/>
      <name val="Arial"/>
      <family val="2"/>
    </font>
    <font>
      <i/>
      <u/>
      <sz val="10"/>
      <color theme="1"/>
      <name val="Arial"/>
      <family val="2"/>
    </font>
    <font>
      <b/>
      <sz val="26"/>
      <color theme="1"/>
      <name val="Arial"/>
      <family val="2"/>
    </font>
    <font>
      <b/>
      <sz val="10"/>
      <color rgb="FFFFFFCC"/>
      <name val="Arial"/>
      <family val="2"/>
    </font>
    <font>
      <i/>
      <strike/>
      <sz val="10"/>
      <color theme="2" tint="-0.249977111117893"/>
      <name val="Arial"/>
      <family val="2"/>
    </font>
    <font>
      <strike/>
      <sz val="10"/>
      <color theme="0" tint="-0.249977111117893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theme="1"/>
      <name val="Arial"/>
      <family val="2"/>
    </font>
    <font>
      <b/>
      <sz val="18"/>
      <color theme="1"/>
      <name val="Wingdings 3"/>
      <family val="1"/>
      <charset val="2"/>
    </font>
    <font>
      <b/>
      <sz val="11"/>
      <color theme="1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FE1FF"/>
        <bgColor indexed="64"/>
      </patternFill>
    </fill>
    <fill>
      <patternFill patternType="solid">
        <fgColor rgb="FFFFAFFF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rgb="FFAFFFAF"/>
        <bgColor indexed="64"/>
      </patternFill>
    </fill>
    <fill>
      <patternFill patternType="solid">
        <fgColor rgb="FFDADAE6"/>
        <bgColor indexed="64"/>
      </patternFill>
    </fill>
    <fill>
      <patternFill patternType="solid">
        <fgColor rgb="FFBABAD0"/>
        <bgColor indexed="64"/>
      </patternFill>
    </fill>
    <fill>
      <patternFill patternType="solid">
        <fgColor rgb="FF75CAFF"/>
        <bgColor indexed="64"/>
      </patternFill>
    </fill>
    <fill>
      <patternFill patternType="solid">
        <fgColor rgb="FFFF71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FFFF65"/>
        <bgColor indexed="64"/>
      </patternFill>
    </fill>
    <fill>
      <patternFill patternType="solid">
        <fgColor rgb="FF5DFF5D"/>
        <bgColor indexed="64"/>
      </patternFill>
    </fill>
    <fill>
      <patternFill patternType="solid">
        <fgColor rgb="FF9292B4"/>
        <bgColor indexed="64"/>
      </patternFill>
    </fill>
    <fill>
      <patternFill patternType="solid">
        <fgColor rgb="FF05A0FF"/>
        <bgColor indexed="64"/>
      </patternFill>
    </fill>
    <fill>
      <patternFill patternType="solid">
        <fgColor rgb="FFFF0DFF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rgb="FF63638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7D"/>
        <bgColor indexed="64"/>
      </patternFill>
    </fill>
    <fill>
      <patternFill patternType="gray0625"/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5">
    <xf numFmtId="0" fontId="0" fillId="0" borderId="0" xfId="0"/>
    <xf numFmtId="0" fontId="0" fillId="2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9" fontId="0" fillId="3" borderId="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37" borderId="1" xfId="0" applyFill="1" applyBorder="1"/>
    <xf numFmtId="0" fontId="0" fillId="38" borderId="1" xfId="0" applyFill="1" applyBorder="1"/>
    <xf numFmtId="0" fontId="0" fillId="37" borderId="1" xfId="0" applyFill="1" applyBorder="1" applyAlignment="1">
      <alignment horizontal="center"/>
    </xf>
    <xf numFmtId="9" fontId="0" fillId="37" borderId="36" xfId="0" applyNumberFormat="1" applyFill="1" applyBorder="1" applyAlignment="1">
      <alignment horizontal="center" wrapText="1"/>
    </xf>
    <xf numFmtId="0" fontId="0" fillId="38" borderId="1" xfId="0" applyFill="1" applyBorder="1" applyAlignment="1">
      <alignment horizontal="center"/>
    </xf>
    <xf numFmtId="9" fontId="0" fillId="38" borderId="36" xfId="0" applyNumberFormat="1" applyFill="1" applyBorder="1" applyAlignment="1">
      <alignment horizontal="center" wrapText="1"/>
    </xf>
    <xf numFmtId="0" fontId="10" fillId="7" borderId="23" xfId="0" applyFont="1" applyFill="1" applyBorder="1" applyAlignment="1">
      <alignment horizontal="left" vertical="top"/>
    </xf>
    <xf numFmtId="0" fontId="0" fillId="7" borderId="17" xfId="0" applyFill="1" applyBorder="1" applyAlignment="1">
      <alignment horizontal="left" vertical="top"/>
    </xf>
    <xf numFmtId="0" fontId="0" fillId="7" borderId="20" xfId="0" applyFill="1" applyBorder="1" applyAlignment="1">
      <alignment horizontal="left" vertical="top"/>
    </xf>
    <xf numFmtId="0" fontId="0" fillId="38" borderId="1" xfId="0" applyFill="1" applyBorder="1" applyAlignment="1">
      <alignment horizontal="center" textRotation="9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left" vertical="center" textRotation="90" wrapText="1"/>
      <protection locked="0"/>
    </xf>
    <xf numFmtId="0" fontId="2" fillId="7" borderId="40" xfId="0" applyFont="1" applyFill="1" applyBorder="1" applyAlignment="1" applyProtection="1">
      <alignment horizontal="center" vertical="center" wrapText="1"/>
      <protection locked="0"/>
    </xf>
    <xf numFmtId="0" fontId="10" fillId="6" borderId="21" xfId="0" applyFont="1" applyFill="1" applyBorder="1" applyAlignment="1" applyProtection="1">
      <alignment horizontal="center" vertical="top"/>
      <protection locked="0"/>
    </xf>
    <xf numFmtId="0" fontId="10" fillId="6" borderId="22" xfId="0" applyFont="1" applyFill="1" applyBorder="1" applyAlignment="1" applyProtection="1">
      <alignment horizontal="left" vertical="top" wrapText="1"/>
      <protection locked="0"/>
    </xf>
    <xf numFmtId="49" fontId="10" fillId="6" borderId="22" xfId="0" applyNumberFormat="1" applyFont="1" applyFill="1" applyBorder="1" applyAlignment="1" applyProtection="1">
      <alignment horizontal="center" vertical="top"/>
      <protection locked="0"/>
    </xf>
    <xf numFmtId="164" fontId="10" fillId="6" borderId="34" xfId="0" applyNumberFormat="1" applyFont="1" applyFill="1" applyBorder="1" applyAlignment="1" applyProtection="1">
      <alignment horizontal="center" vertical="top"/>
      <protection locked="0"/>
    </xf>
    <xf numFmtId="164" fontId="10" fillId="6" borderId="22" xfId="0" applyNumberFormat="1" applyFont="1" applyFill="1" applyBorder="1" applyAlignment="1" applyProtection="1">
      <alignment horizontal="center" vertical="top"/>
      <protection locked="0"/>
    </xf>
    <xf numFmtId="0" fontId="10" fillId="6" borderId="22" xfId="0" applyFont="1" applyFill="1" applyBorder="1" applyAlignment="1" applyProtection="1">
      <alignment horizontal="center" vertical="top"/>
      <protection locked="0"/>
    </xf>
    <xf numFmtId="14" fontId="10" fillId="6" borderId="22" xfId="0" applyNumberFormat="1" applyFont="1" applyFill="1" applyBorder="1" applyAlignment="1" applyProtection="1">
      <alignment horizontal="center" vertical="top"/>
      <protection locked="0"/>
    </xf>
    <xf numFmtId="49" fontId="10" fillId="6" borderId="22" xfId="0" quotePrefix="1" applyNumberFormat="1" applyFont="1" applyFill="1" applyBorder="1" applyAlignment="1" applyProtection="1">
      <alignment vertical="top" wrapText="1"/>
      <protection locked="0"/>
    </xf>
    <xf numFmtId="0" fontId="0" fillId="6" borderId="15" xfId="0" applyFill="1" applyBorder="1" applyAlignment="1" applyProtection="1">
      <alignment horizontal="center" vertical="top"/>
      <protection locked="0"/>
    </xf>
    <xf numFmtId="0" fontId="0" fillId="6" borderId="16" xfId="0" applyFill="1" applyBorder="1" applyAlignment="1" applyProtection="1">
      <alignment horizontal="left" vertical="top" wrapText="1"/>
      <protection locked="0"/>
    </xf>
    <xf numFmtId="49" fontId="0" fillId="6" borderId="16" xfId="0" applyNumberFormat="1" applyFill="1" applyBorder="1" applyAlignment="1" applyProtection="1">
      <alignment horizontal="center" vertical="top"/>
      <protection locked="0"/>
    </xf>
    <xf numFmtId="164" fontId="10" fillId="6" borderId="35" xfId="0" applyNumberFormat="1" applyFont="1" applyFill="1" applyBorder="1" applyAlignment="1" applyProtection="1">
      <alignment horizontal="center" vertical="top"/>
      <protection locked="0"/>
    </xf>
    <xf numFmtId="164" fontId="0" fillId="6" borderId="16" xfId="0" applyNumberFormat="1" applyFill="1" applyBorder="1" applyAlignment="1" applyProtection="1">
      <alignment horizontal="center" vertical="top"/>
      <protection locked="0"/>
    </xf>
    <xf numFmtId="0" fontId="0" fillId="6" borderId="16" xfId="0" applyFill="1" applyBorder="1" applyAlignment="1" applyProtection="1">
      <alignment horizontal="center" vertical="top"/>
      <protection locked="0"/>
    </xf>
    <xf numFmtId="14" fontId="0" fillId="6" borderId="16" xfId="0" applyNumberFormat="1" applyFill="1" applyBorder="1" applyAlignment="1" applyProtection="1">
      <alignment horizontal="center" vertical="top"/>
      <protection locked="0"/>
    </xf>
    <xf numFmtId="49" fontId="0" fillId="6" borderId="16" xfId="0" quotePrefix="1" applyNumberFormat="1" applyFill="1" applyBorder="1" applyAlignment="1" applyProtection="1">
      <alignment vertical="top" wrapText="1"/>
      <protection locked="0"/>
    </xf>
    <xf numFmtId="164" fontId="0" fillId="6" borderId="16" xfId="0" applyNumberFormat="1" applyFont="1" applyFill="1" applyBorder="1" applyAlignment="1" applyProtection="1">
      <alignment horizontal="center" vertical="top"/>
      <protection locked="0"/>
    </xf>
    <xf numFmtId="49" fontId="0" fillId="6" borderId="16" xfId="0" applyNumberFormat="1" applyFill="1" applyBorder="1" applyAlignment="1" applyProtection="1">
      <alignment vertical="top" wrapText="1"/>
      <protection locked="0"/>
    </xf>
    <xf numFmtId="0" fontId="9" fillId="6" borderId="16" xfId="0" applyFont="1" applyFill="1" applyBorder="1" applyAlignment="1" applyProtection="1">
      <alignment horizontal="center" vertical="top"/>
      <protection locked="0"/>
    </xf>
    <xf numFmtId="0" fontId="10" fillId="6" borderId="16" xfId="0" applyFont="1" applyFill="1" applyBorder="1" applyAlignment="1" applyProtection="1">
      <alignment horizontal="center" vertical="top"/>
      <protection locked="0"/>
    </xf>
    <xf numFmtId="0" fontId="0" fillId="6" borderId="18" xfId="0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left" vertical="top" wrapText="1"/>
      <protection locked="0"/>
    </xf>
    <xf numFmtId="49" fontId="0" fillId="6" borderId="19" xfId="0" applyNumberFormat="1" applyFill="1" applyBorder="1" applyAlignment="1" applyProtection="1">
      <alignment horizontal="center" vertical="top"/>
      <protection locked="0"/>
    </xf>
    <xf numFmtId="164" fontId="0" fillId="6" borderId="19" xfId="0" applyNumberFormat="1" applyFont="1" applyFill="1" applyBorder="1" applyAlignment="1" applyProtection="1">
      <alignment horizontal="center" vertical="top"/>
      <protection locked="0"/>
    </xf>
    <xf numFmtId="164" fontId="0" fillId="6" borderId="19" xfId="0" applyNumberFormat="1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center" vertical="top"/>
      <protection locked="0"/>
    </xf>
    <xf numFmtId="14" fontId="0" fillId="6" borderId="19" xfId="0" applyNumberFormat="1" applyFill="1" applyBorder="1" applyAlignment="1" applyProtection="1">
      <alignment horizontal="center" vertical="top"/>
      <protection locked="0"/>
    </xf>
    <xf numFmtId="49" fontId="0" fillId="6" borderId="19" xfId="0" applyNumberFormat="1" applyFill="1" applyBorder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left" vertical="center" wrapText="1" indent="1"/>
      <protection locked="0"/>
    </xf>
    <xf numFmtId="0" fontId="4" fillId="39" borderId="0" xfId="0" applyFont="1" applyFill="1" applyAlignment="1" applyProtection="1">
      <alignment horizontal="left" vertical="center"/>
      <protection locked="0"/>
    </xf>
    <xf numFmtId="0" fontId="0" fillId="39" borderId="0" xfId="0" applyFill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" fillId="7" borderId="1" xfId="0" applyFont="1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/>
    </xf>
    <xf numFmtId="0" fontId="0" fillId="0" borderId="0" xfId="0" applyAlignment="1">
      <alignment horizontal="centerContinuous"/>
    </xf>
    <xf numFmtId="0" fontId="6" fillId="0" borderId="0" xfId="0" applyFont="1" applyAlignment="1">
      <alignment horizontal="left" wrapText="1"/>
    </xf>
    <xf numFmtId="0" fontId="2" fillId="40" borderId="24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right" vertical="center" wrapText="1"/>
      <protection locked="0"/>
    </xf>
    <xf numFmtId="0" fontId="2" fillId="41" borderId="0" xfId="0" applyFont="1" applyFill="1" applyAlignment="1" applyProtection="1">
      <alignment horizontal="center" vertical="center"/>
      <protection locked="0"/>
    </xf>
    <xf numFmtId="0" fontId="1" fillId="39" borderId="24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Protection="1">
      <protection locked="0"/>
    </xf>
    <xf numFmtId="0" fontId="2" fillId="0" borderId="10" xfId="0" applyFont="1" applyBorder="1" applyProtection="1">
      <protection locked="0"/>
    </xf>
    <xf numFmtId="0" fontId="2" fillId="0" borderId="9" xfId="0" applyFont="1" applyFill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Alignment="1" applyProtection="1">
      <protection locked="0"/>
    </xf>
    <xf numFmtId="0" fontId="13" fillId="0" borderId="0" xfId="0" applyFont="1" applyAlignment="1" applyProtection="1">
      <alignment vertical="top" wrapText="1"/>
      <protection locked="0"/>
    </xf>
    <xf numFmtId="0" fontId="0" fillId="0" borderId="6" xfId="0" applyBorder="1" applyProtection="1">
      <protection locked="0"/>
    </xf>
    <xf numFmtId="0" fontId="8" fillId="0" borderId="3" xfId="0" applyFont="1" applyFill="1" applyBorder="1" applyAlignment="1" applyProtection="1">
      <alignment vertical="center"/>
      <protection locked="0"/>
    </xf>
    <xf numFmtId="0" fontId="0" fillId="0" borderId="24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7" xfId="0" applyBorder="1" applyProtection="1">
      <protection locked="0"/>
    </xf>
    <xf numFmtId="0" fontId="8" fillId="0" borderId="4" xfId="0" applyFont="1" applyFill="1" applyBorder="1" applyAlignment="1" applyProtection="1">
      <alignment vertical="center"/>
      <protection locked="0"/>
    </xf>
    <xf numFmtId="0" fontId="0" fillId="0" borderId="33" xfId="0" applyBorder="1" applyProtection="1">
      <protection locked="0"/>
    </xf>
    <xf numFmtId="0" fontId="0" fillId="0" borderId="12" xfId="0" applyBorder="1" applyProtection="1"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0" fillId="0" borderId="8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quotePrefix="1" applyProtection="1">
      <protection locked="0"/>
    </xf>
    <xf numFmtId="0" fontId="2" fillId="0" borderId="9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0" fillId="13" borderId="6" xfId="0" applyFill="1" applyBorder="1" applyProtection="1">
      <protection locked="0"/>
    </xf>
    <xf numFmtId="0" fontId="0" fillId="18" borderId="6" xfId="0" applyFill="1" applyBorder="1" applyProtection="1">
      <protection locked="0"/>
    </xf>
    <xf numFmtId="0" fontId="0" fillId="25" borderId="6" xfId="0" applyFill="1" applyBorder="1" applyProtection="1">
      <protection locked="0"/>
    </xf>
    <xf numFmtId="0" fontId="0" fillId="31" borderId="6" xfId="0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9" borderId="7" xfId="0" applyFill="1" applyBorder="1" applyProtection="1">
      <protection locked="0"/>
    </xf>
    <xf numFmtId="0" fontId="0" fillId="26" borderId="7" xfId="0" applyFill="1" applyBorder="1" applyProtection="1">
      <protection locked="0"/>
    </xf>
    <xf numFmtId="0" fontId="0" fillId="32" borderId="7" xfId="0" applyFill="1" applyBorder="1" applyProtection="1">
      <protection locked="0"/>
    </xf>
    <xf numFmtId="0" fontId="0" fillId="15" borderId="7" xfId="0" applyFill="1" applyBorder="1" applyProtection="1">
      <protection locked="0"/>
    </xf>
    <xf numFmtId="0" fontId="0" fillId="20" borderId="7" xfId="0" applyFill="1" applyBorder="1" applyProtection="1">
      <protection locked="0"/>
    </xf>
    <xf numFmtId="0" fontId="0" fillId="27" borderId="7" xfId="0" applyFill="1" applyBorder="1" applyProtection="1">
      <protection locked="0"/>
    </xf>
    <xf numFmtId="0" fontId="0" fillId="33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2" fillId="0" borderId="0" xfId="0" quotePrefix="1" applyFont="1" applyAlignment="1" applyProtection="1">
      <alignment horizontal="center"/>
      <protection locked="0"/>
    </xf>
    <xf numFmtId="0" fontId="0" fillId="21" borderId="7" xfId="0" applyFill="1" applyBorder="1" applyProtection="1">
      <protection locked="0"/>
    </xf>
    <xf numFmtId="0" fontId="0" fillId="28" borderId="7" xfId="0" applyFill="1" applyBorder="1" applyProtection="1">
      <protection locked="0"/>
    </xf>
    <xf numFmtId="0" fontId="0" fillId="34" borderId="7" xfId="0" applyFill="1" applyBorder="1" applyProtection="1">
      <protection locked="0"/>
    </xf>
    <xf numFmtId="0" fontId="0" fillId="16" borderId="7" xfId="0" applyFill="1" applyBorder="1" applyProtection="1">
      <protection locked="0"/>
    </xf>
    <xf numFmtId="0" fontId="0" fillId="22" borderId="7" xfId="0" applyFill="1" applyBorder="1" applyProtection="1">
      <protection locked="0"/>
    </xf>
    <xf numFmtId="0" fontId="0" fillId="29" borderId="7" xfId="0" applyFill="1" applyBorder="1" applyProtection="1">
      <protection locked="0"/>
    </xf>
    <xf numFmtId="0" fontId="0" fillId="35" borderId="7" xfId="0" applyFill="1" applyBorder="1" applyProtection="1">
      <protection locked="0"/>
    </xf>
    <xf numFmtId="0" fontId="0" fillId="23" borderId="7" xfId="0" applyFill="1" applyBorder="1" applyProtection="1">
      <protection locked="0"/>
    </xf>
    <xf numFmtId="0" fontId="0" fillId="24" borderId="7" xfId="0" applyFill="1" applyBorder="1" applyProtection="1">
      <protection locked="0"/>
    </xf>
    <xf numFmtId="0" fontId="0" fillId="30" borderId="7" xfId="0" applyFill="1" applyBorder="1" applyProtection="1">
      <protection locked="0"/>
    </xf>
    <xf numFmtId="0" fontId="0" fillId="36" borderId="7" xfId="0" applyFill="1" applyBorder="1" applyProtection="1">
      <protection locked="0"/>
    </xf>
    <xf numFmtId="0" fontId="0" fillId="0" borderId="7" xfId="0" applyFill="1" applyBorder="1" applyProtection="1">
      <protection locked="0"/>
    </xf>
    <xf numFmtId="0" fontId="12" fillId="0" borderId="6" xfId="0" applyFont="1" applyBorder="1" applyProtection="1">
      <protection locked="0"/>
    </xf>
    <xf numFmtId="0" fontId="0" fillId="0" borderId="0" xfId="0" applyBorder="1" applyProtection="1">
      <protection locked="0"/>
    </xf>
    <xf numFmtId="0" fontId="17" fillId="0" borderId="7" xfId="0" applyFont="1" applyBorder="1" applyProtection="1">
      <protection locked="0"/>
    </xf>
    <xf numFmtId="0" fontId="16" fillId="0" borderId="7" xfId="0" applyFont="1" applyBorder="1" applyProtection="1">
      <protection locked="0"/>
    </xf>
    <xf numFmtId="0" fontId="11" fillId="0" borderId="7" xfId="0" applyFont="1" applyBorder="1" applyProtection="1">
      <protection locked="0"/>
    </xf>
    <xf numFmtId="0" fontId="10" fillId="0" borderId="7" xfId="0" applyFont="1" applyBorder="1" applyProtection="1">
      <protection locked="0"/>
    </xf>
    <xf numFmtId="0" fontId="11" fillId="0" borderId="8" xfId="0" applyFont="1" applyBorder="1" applyProtection="1">
      <protection locked="0"/>
    </xf>
    <xf numFmtId="0" fontId="0" fillId="0" borderId="43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10" fillId="0" borderId="24" xfId="0" applyFont="1" applyBorder="1" applyAlignment="1" applyProtection="1">
      <alignment horizontal="left"/>
      <protection locked="0"/>
    </xf>
    <xf numFmtId="0" fontId="0" fillId="0" borderId="28" xfId="0" applyBorder="1" applyProtection="1">
      <protection locked="0"/>
    </xf>
    <xf numFmtId="0" fontId="10" fillId="0" borderId="8" xfId="0" applyFont="1" applyBorder="1" applyAlignment="1" applyProtection="1">
      <alignment horizontal="left"/>
      <protection locked="0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31" xfId="0" applyBorder="1" applyProtection="1">
      <protection locked="0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right"/>
    </xf>
    <xf numFmtId="0" fontId="13" fillId="0" borderId="0" xfId="0" applyFont="1" applyBorder="1" applyAlignment="1" applyProtection="1">
      <alignment horizontal="left" vertical="top" wrapText="1"/>
      <protection locked="0"/>
    </xf>
    <xf numFmtId="0" fontId="13" fillId="0" borderId="11" xfId="0" applyFont="1" applyBorder="1" applyAlignment="1" applyProtection="1">
      <alignment horizontal="left" vertical="top" wrapText="1"/>
      <protection locked="0"/>
    </xf>
    <xf numFmtId="0" fontId="22" fillId="0" borderId="44" xfId="0" applyFont="1" applyBorder="1" applyAlignment="1" applyProtection="1">
      <alignment horizontal="left" vertical="top" wrapText="1"/>
      <protection locked="0"/>
    </xf>
    <xf numFmtId="0" fontId="0" fillId="13" borderId="6" xfId="0" applyFill="1" applyBorder="1"/>
    <xf numFmtId="0" fontId="0" fillId="14" borderId="7" xfId="0" applyFill="1" applyBorder="1"/>
    <xf numFmtId="0" fontId="0" fillId="15" borderId="7" xfId="0" applyFill="1" applyBorder="1"/>
    <xf numFmtId="0" fontId="0" fillId="12" borderId="7" xfId="0" applyFill="1" applyBorder="1"/>
    <xf numFmtId="0" fontId="0" fillId="16" borderId="7" xfId="0" applyFill="1" applyBorder="1"/>
    <xf numFmtId="0" fontId="0" fillId="17" borderId="7" xfId="0" applyFill="1" applyBorder="1"/>
    <xf numFmtId="0" fontId="0" fillId="0" borderId="7" xfId="0" applyFill="1" applyBorder="1"/>
    <xf numFmtId="0" fontId="0" fillId="0" borderId="8" xfId="0" applyBorder="1"/>
    <xf numFmtId="0" fontId="15" fillId="10" borderId="6" xfId="0" applyFont="1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6" fillId="12" borderId="7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2" fillId="7" borderId="41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45" xfId="0" applyBorder="1" applyAlignment="1" applyProtection="1">
      <alignment horizontal="left"/>
      <protection locked="0"/>
    </xf>
    <xf numFmtId="0" fontId="0" fillId="0" borderId="46" xfId="0" applyBorder="1" applyAlignment="1" applyProtection="1">
      <alignment horizontal="left"/>
      <protection locked="0"/>
    </xf>
    <xf numFmtId="0" fontId="0" fillId="0" borderId="47" xfId="0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48" xfId="0" applyBorder="1" applyProtection="1">
      <protection locked="0"/>
    </xf>
    <xf numFmtId="0" fontId="0" fillId="0" borderId="49" xfId="0" applyBorder="1" applyProtection="1">
      <protection locked="0"/>
    </xf>
    <xf numFmtId="0" fontId="2" fillId="7" borderId="1" xfId="0" applyFont="1" applyFill="1" applyBorder="1" applyAlignment="1" applyProtection="1">
      <alignment horizontal="left" vertical="center" wrapText="1"/>
      <protection locked="0"/>
    </xf>
    <xf numFmtId="0" fontId="0" fillId="38" borderId="13" xfId="0" applyFill="1" applyBorder="1"/>
    <xf numFmtId="0" fontId="0" fillId="0" borderId="0" xfId="0" applyAlignment="1" applyProtection="1">
      <alignment horizontal="right"/>
      <protection locked="0"/>
    </xf>
    <xf numFmtId="0" fontId="1" fillId="4" borderId="37" xfId="0" applyFont="1" applyFill="1" applyBorder="1" applyAlignment="1" applyProtection="1">
      <alignment horizontal="center" vertical="center"/>
      <protection locked="0"/>
    </xf>
    <xf numFmtId="0" fontId="1" fillId="4" borderId="38" xfId="0" applyFont="1" applyFill="1" applyBorder="1" applyAlignment="1" applyProtection="1">
      <alignment horizontal="center" vertical="center"/>
      <protection locked="0"/>
    </xf>
    <xf numFmtId="0" fontId="1" fillId="4" borderId="39" xfId="0" applyFont="1" applyFill="1" applyBorder="1" applyAlignment="1" applyProtection="1">
      <alignment horizontal="center" vertical="center"/>
      <protection locked="0"/>
    </xf>
    <xf numFmtId="9" fontId="5" fillId="3" borderId="37" xfId="0" applyNumberFormat="1" applyFont="1" applyFill="1" applyBorder="1" applyAlignment="1">
      <alignment horizontal="center" vertical="center"/>
    </xf>
    <xf numFmtId="9" fontId="5" fillId="3" borderId="38" xfId="0" applyNumberFormat="1" applyFont="1" applyFill="1" applyBorder="1" applyAlignment="1">
      <alignment horizontal="center" vertical="center"/>
    </xf>
    <xf numFmtId="9" fontId="5" fillId="3" borderId="39" xfId="0" applyNumberFormat="1" applyFont="1" applyFill="1" applyBorder="1" applyAlignment="1">
      <alignment horizontal="center" vertical="center"/>
    </xf>
    <xf numFmtId="0" fontId="14" fillId="0" borderId="0" xfId="0" applyFont="1" applyBorder="1" applyAlignment="1" applyProtection="1">
      <alignment horizontal="left" vertical="center"/>
      <protection locked="0"/>
    </xf>
    <xf numFmtId="0" fontId="0" fillId="0" borderId="6" xfId="0" applyFont="1" applyBorder="1" applyAlignment="1" applyProtection="1">
      <alignment horizontal="center" vertical="center" wrapText="1"/>
      <protection locked="0"/>
    </xf>
    <xf numFmtId="0" fontId="0" fillId="0" borderId="7" xfId="0" applyFont="1" applyBorder="1" applyAlignment="1" applyProtection="1">
      <alignment horizontal="center" vertical="center" wrapText="1"/>
      <protection locked="0"/>
    </xf>
    <xf numFmtId="0" fontId="3" fillId="39" borderId="0" xfId="0" applyFont="1" applyFill="1" applyAlignment="1" applyProtection="1">
      <alignment horizontal="right" vertical="center"/>
      <protection locked="0"/>
    </xf>
    <xf numFmtId="0" fontId="1" fillId="39" borderId="0" xfId="0" applyFont="1" applyFill="1" applyAlignment="1" applyProtection="1">
      <alignment horizontal="left" vertical="center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42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20" fillId="0" borderId="0" xfId="0" applyFont="1" applyFill="1" applyAlignment="1" applyProtection="1">
      <alignment horizontal="left" vertical="center"/>
      <protection locked="0"/>
    </xf>
  </cellXfs>
  <cellStyles count="1">
    <cellStyle name="Normal" xfId="0" builtinId="0"/>
  </cellStyles>
  <dxfs count="5800"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CC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</dxfs>
  <tableStyles count="0" defaultTableStyle="TableStyleMedium2" defaultPivotStyle="PivotStyleLight16"/>
  <colors>
    <mruColors>
      <color rgb="FFFFFF65"/>
      <color rgb="FFFFFF7D"/>
      <color rgb="FFFFFE00"/>
      <color rgb="FF63638F"/>
      <color rgb="FF00EE00"/>
      <color rgb="FFFE0000"/>
      <color rgb="FFFF0DFF"/>
      <color rgb="FF05A0FF"/>
      <color rgb="FF9292B4"/>
      <color rgb="FF5DFF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Stories Progress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ReleaseProgress!$C$7</c:f>
              <c:strCache>
                <c:ptCount val="1"/>
                <c:pt idx="0">
                  <c:v>Actual progress</c:v>
                </c:pt>
              </c:strCache>
            </c:strRef>
          </c:tx>
          <c:invertIfNegative val="0"/>
          <c:cat>
            <c:numRef>
              <c:f>ReleaseProgress!$D$5:$AB$5</c:f>
              <c:numCache>
                <c:formatCode>General</c:formatCode>
                <c:ptCount val="25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</c:numCache>
            </c:numRef>
          </c:cat>
          <c:val>
            <c:numRef>
              <c:f>ReleaseProgress!$D$7:$AB$7</c:f>
              <c:numCache>
                <c:formatCode>0%</c:formatCode>
                <c:ptCount val="25"/>
                <c:pt idx="0">
                  <c:v>0.21875</c:v>
                </c:pt>
                <c:pt idx="1">
                  <c:v>0.21875</c:v>
                </c:pt>
                <c:pt idx="2">
                  <c:v>0.21875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5434624"/>
        <c:axId val="115436160"/>
      </c:barChart>
      <c:lineChart>
        <c:grouping val="standard"/>
        <c:varyColors val="0"/>
        <c:ser>
          <c:idx val="0"/>
          <c:order val="0"/>
          <c:tx>
            <c:strRef>
              <c:f>ReleaseProgress!$C$6</c:f>
              <c:strCache>
                <c:ptCount val="1"/>
                <c:pt idx="0">
                  <c:v>Goal progress</c:v>
                </c:pt>
              </c:strCache>
            </c:strRef>
          </c:tx>
          <c:marker>
            <c:symbol val="none"/>
          </c:marker>
          <c:cat>
            <c:numRef>
              <c:f>ReleaseProgress!$D$5:$AP$5</c:f>
              <c:numCache>
                <c:formatCode>General</c:formatCode>
                <c:ptCount val="39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  <c:pt idx="25">
                  <c:v>201738</c:v>
                </c:pt>
                <c:pt idx="26">
                  <c:v>201739</c:v>
                </c:pt>
                <c:pt idx="27">
                  <c:v>201740</c:v>
                </c:pt>
                <c:pt idx="28">
                  <c:v>201741</c:v>
                </c:pt>
                <c:pt idx="29">
                  <c:v>201742</c:v>
                </c:pt>
                <c:pt idx="30">
                  <c:v>201743</c:v>
                </c:pt>
                <c:pt idx="31">
                  <c:v>201744</c:v>
                </c:pt>
                <c:pt idx="32">
                  <c:v>201745</c:v>
                </c:pt>
                <c:pt idx="33">
                  <c:v>201746</c:v>
                </c:pt>
                <c:pt idx="34">
                  <c:v>201747</c:v>
                </c:pt>
                <c:pt idx="35">
                  <c:v>201748</c:v>
                </c:pt>
                <c:pt idx="36">
                  <c:v>201749</c:v>
                </c:pt>
                <c:pt idx="37">
                  <c:v>201750</c:v>
                </c:pt>
                <c:pt idx="38">
                  <c:v>201751</c:v>
                </c:pt>
              </c:numCache>
            </c:numRef>
          </c:cat>
          <c:val>
            <c:numRef>
              <c:f>ReleaseProgress!$D$6:$AP$6</c:f>
              <c:numCache>
                <c:formatCode>0%</c:formatCode>
                <c:ptCount val="39"/>
                <c:pt idx="0">
                  <c:v>0.78125</c:v>
                </c:pt>
                <c:pt idx="1">
                  <c:v>0.84375</c:v>
                </c:pt>
                <c:pt idx="2">
                  <c:v>0.90625</c:v>
                </c:pt>
                <c:pt idx="3">
                  <c:v>0.90625</c:v>
                </c:pt>
                <c:pt idx="4">
                  <c:v>0.90625</c:v>
                </c:pt>
                <c:pt idx="5">
                  <c:v>0.96875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434624"/>
        <c:axId val="115436160"/>
      </c:lineChart>
      <c:catAx>
        <c:axId val="11543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15436160"/>
        <c:crosses val="autoZero"/>
        <c:auto val="1"/>
        <c:lblAlgn val="ctr"/>
        <c:lblOffset val="100"/>
        <c:noMultiLvlLbl val="0"/>
      </c:catAx>
      <c:valAx>
        <c:axId val="11543616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crossAx val="11543462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352986</xdr:colOff>
      <xdr:row>1</xdr:row>
      <xdr:rowOff>82924</xdr:rowOff>
    </xdr:from>
    <xdr:to>
      <xdr:col>17</xdr:col>
      <xdr:colOff>2381251</xdr:colOff>
      <xdr:row>3</xdr:row>
      <xdr:rowOff>100853</xdr:rowOff>
    </xdr:to>
    <xdr:sp macro="[0]!ResetData" textlink="">
      <xdr:nvSpPr>
        <xdr:cNvPr id="3" name="ZoneTexte 2"/>
        <xdr:cNvSpPr txBox="1"/>
      </xdr:nvSpPr>
      <xdr:spPr>
        <a:xfrm>
          <a:off x="11144251" y="239806"/>
          <a:ext cx="2028265" cy="331694"/>
        </a:xfrm>
        <a:prstGeom prst="rect">
          <a:avLst/>
        </a:prstGeom>
        <a:solidFill>
          <a:srgbClr val="C00000"/>
        </a:solidFill>
        <a:ln/>
        <a:scene3d>
          <a:camera prst="orthographicFront"/>
          <a:lightRig rig="glow" dir="tl">
            <a:rot lat="0" lon="0" rev="5400000"/>
          </a:lightRig>
        </a:scene3d>
        <a:sp3d>
          <a:bevelT prst="convex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R E S E T</a:t>
          </a:r>
          <a:r>
            <a:rPr lang="fr-FR" sz="1100" b="1" cap="none" spc="0" baseline="0">
              <a:ln>
                <a:noFill/>
              </a:ln>
              <a:solidFill>
                <a:srgbClr val="FFFF65"/>
              </a:solidFill>
              <a:effectLst/>
            </a:rPr>
            <a:t>   D A T A ...</a:t>
          </a:r>
          <a:endParaRPr lang="fr-FR" sz="1100" b="1" cap="none" spc="0">
            <a:ln>
              <a:noFill/>
            </a:ln>
            <a:solidFill>
              <a:srgbClr val="FFFF65"/>
            </a:solidFill>
            <a:effectLst/>
          </a:endParaRPr>
        </a:p>
      </xdr:txBody>
    </xdr:sp>
    <xdr:clientData/>
  </xdr:twoCellAnchor>
  <xdr:twoCellAnchor>
    <xdr:from>
      <xdr:col>17</xdr:col>
      <xdr:colOff>352985</xdr:colOff>
      <xdr:row>4</xdr:row>
      <xdr:rowOff>38100</xdr:rowOff>
    </xdr:from>
    <xdr:to>
      <xdr:col>17</xdr:col>
      <xdr:colOff>2958352</xdr:colOff>
      <xdr:row>6</xdr:row>
      <xdr:rowOff>76200</xdr:rowOff>
    </xdr:to>
    <xdr:sp macro="[0]!ResetFormatConditions" textlink="">
      <xdr:nvSpPr>
        <xdr:cNvPr id="4" name="ZoneTexte 3"/>
        <xdr:cNvSpPr txBox="1"/>
      </xdr:nvSpPr>
      <xdr:spPr>
        <a:xfrm>
          <a:off x="11917456" y="665629"/>
          <a:ext cx="2605367" cy="363071"/>
        </a:xfrm>
        <a:prstGeom prst="rect">
          <a:avLst/>
        </a:prstGeom>
        <a:ln/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 b="1" cap="none" spc="0">
              <a:ln>
                <a:noFill/>
              </a:ln>
              <a:solidFill>
                <a:schemeClr val="tx1"/>
              </a:solidFill>
              <a:effectLst/>
            </a:rPr>
            <a:t>UPDATE </a:t>
          </a:r>
          <a:r>
            <a:rPr lang="fr-FR" sz="1100" b="1" cap="none" spc="0" baseline="0">
              <a:ln>
                <a:noFill/>
              </a:ln>
              <a:solidFill>
                <a:schemeClr val="tx1"/>
              </a:solidFill>
              <a:effectLst/>
            </a:rPr>
            <a:t>ALL C</a:t>
          </a:r>
          <a:r>
            <a:rPr lang="fr-FR" sz="1100" b="1" cap="all" spc="0" baseline="0">
              <a:ln>
                <a:noFill/>
              </a:ln>
              <a:solidFill>
                <a:schemeClr val="tx1"/>
              </a:solidFill>
              <a:effectLst/>
            </a:rPr>
            <a:t>onditional format. ...</a:t>
          </a:r>
        </a:p>
      </xdr:txBody>
    </xdr:sp>
    <xdr:clientData/>
  </xdr:twoCellAnchor>
  <xdr:twoCellAnchor>
    <xdr:from>
      <xdr:col>8</xdr:col>
      <xdr:colOff>34740</xdr:colOff>
      <xdr:row>7</xdr:row>
      <xdr:rowOff>2241</xdr:rowOff>
    </xdr:from>
    <xdr:to>
      <xdr:col>9</xdr:col>
      <xdr:colOff>392206</xdr:colOff>
      <xdr:row>8</xdr:row>
      <xdr:rowOff>125506</xdr:rowOff>
    </xdr:to>
    <xdr:sp macro="[0]!ShowAllData" textlink="">
      <xdr:nvSpPr>
        <xdr:cNvPr id="5" name="ZoneTexte 4"/>
        <xdr:cNvSpPr txBox="1"/>
      </xdr:nvSpPr>
      <xdr:spPr>
        <a:xfrm>
          <a:off x="1256181" y="1111623"/>
          <a:ext cx="1153084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SHOW ALL DATA</a:t>
          </a:r>
        </a:p>
      </xdr:txBody>
    </xdr:sp>
    <xdr:clientData/>
  </xdr:twoCellAnchor>
  <xdr:twoCellAnchor>
    <xdr:from>
      <xdr:col>9</xdr:col>
      <xdr:colOff>1699947</xdr:colOff>
      <xdr:row>7</xdr:row>
      <xdr:rowOff>2241</xdr:rowOff>
    </xdr:from>
    <xdr:to>
      <xdr:col>10</xdr:col>
      <xdr:colOff>784426</xdr:colOff>
      <xdr:row>8</xdr:row>
      <xdr:rowOff>125506</xdr:rowOff>
    </xdr:to>
    <xdr:sp macro="[0]!AppendNewStory" textlink="">
      <xdr:nvSpPr>
        <xdr:cNvPr id="6" name="ZoneTexte 5"/>
        <xdr:cNvSpPr txBox="1"/>
      </xdr:nvSpPr>
      <xdr:spPr>
        <a:xfrm>
          <a:off x="3717006" y="1111623"/>
          <a:ext cx="1471332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APPEND NEW</a:t>
          </a:r>
          <a:r>
            <a:rPr lang="fr-FR" sz="1100" b="1" cap="none" spc="0" baseline="0">
              <a:ln>
                <a:noFill/>
              </a:ln>
              <a:solidFill>
                <a:srgbClr val="FFFF00"/>
              </a:solidFill>
              <a:effectLst/>
            </a:rPr>
            <a:t> STORY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10</xdr:col>
      <xdr:colOff>832610</xdr:colOff>
      <xdr:row>7</xdr:row>
      <xdr:rowOff>2241</xdr:rowOff>
    </xdr:from>
    <xdr:to>
      <xdr:col>10</xdr:col>
      <xdr:colOff>2252396</xdr:colOff>
      <xdr:row>8</xdr:row>
      <xdr:rowOff>125506</xdr:rowOff>
    </xdr:to>
    <xdr:sp macro="[0]!CopyAsNewStory" textlink="">
      <xdr:nvSpPr>
        <xdr:cNvPr id="7" name="ZoneTexte 6"/>
        <xdr:cNvSpPr txBox="1"/>
      </xdr:nvSpPr>
      <xdr:spPr>
        <a:xfrm>
          <a:off x="5236522" y="1111623"/>
          <a:ext cx="1419786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COPY AS NEW</a:t>
          </a:r>
          <a:r>
            <a:rPr lang="fr-FR" sz="1100" b="1" cap="none" spc="0" baseline="0">
              <a:ln>
                <a:noFill/>
              </a:ln>
              <a:solidFill>
                <a:srgbClr val="FFFF00"/>
              </a:solidFill>
              <a:effectLst/>
            </a:rPr>
            <a:t> STORY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0</xdr:col>
      <xdr:colOff>22410</xdr:colOff>
      <xdr:row>0</xdr:row>
      <xdr:rowOff>20170</xdr:rowOff>
    </xdr:from>
    <xdr:to>
      <xdr:col>7</xdr:col>
      <xdr:colOff>152399</xdr:colOff>
      <xdr:row>1</xdr:row>
      <xdr:rowOff>154642</xdr:rowOff>
    </xdr:to>
    <xdr:sp macro="[0]!GotoSetting" textlink="">
      <xdr:nvSpPr>
        <xdr:cNvPr id="8" name="ZoneTexte 7"/>
        <xdr:cNvSpPr txBox="1"/>
      </xdr:nvSpPr>
      <xdr:spPr>
        <a:xfrm>
          <a:off x="22410" y="20170"/>
          <a:ext cx="869577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SETTING</a:t>
          </a:r>
        </a:p>
      </xdr:txBody>
    </xdr:sp>
    <xdr:clientData/>
  </xdr:twoCellAnchor>
  <xdr:twoCellAnchor>
    <xdr:from>
      <xdr:col>18</xdr:col>
      <xdr:colOff>190500</xdr:colOff>
      <xdr:row>1</xdr:row>
      <xdr:rowOff>82924</xdr:rowOff>
    </xdr:from>
    <xdr:to>
      <xdr:col>18</xdr:col>
      <xdr:colOff>1837763</xdr:colOff>
      <xdr:row>3</xdr:row>
      <xdr:rowOff>100853</xdr:rowOff>
    </xdr:to>
    <xdr:sp macro="[0]!TransfertAll" textlink="">
      <xdr:nvSpPr>
        <xdr:cNvPr id="10" name="ZoneTexte 9"/>
        <xdr:cNvSpPr txBox="1"/>
      </xdr:nvSpPr>
      <xdr:spPr>
        <a:xfrm>
          <a:off x="15721853" y="239806"/>
          <a:ext cx="1647263" cy="331694"/>
        </a:xfrm>
        <a:prstGeom prst="rect">
          <a:avLst/>
        </a:prstGeom>
        <a:solidFill>
          <a:srgbClr val="C00000"/>
        </a:solidFill>
        <a:ln/>
        <a:scene3d>
          <a:camera prst="orthographicFront"/>
          <a:lightRig rig="glow" dir="tl">
            <a:rot lat="0" lon="0" rev="5400000"/>
          </a:lightRig>
        </a:scene3d>
        <a:sp3d>
          <a:bevelT prst="convex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&lt; MIGRATE FROM</a:t>
          </a:r>
          <a:r>
            <a:rPr lang="fr-FR" sz="1100" b="1" cap="none" spc="0" baseline="0">
              <a:ln>
                <a:noFill/>
              </a:ln>
              <a:solidFill>
                <a:srgbClr val="FFFF65"/>
              </a:solidFill>
              <a:effectLst/>
            </a:rPr>
            <a:t> ...</a:t>
          </a:r>
          <a:endParaRPr lang="fr-FR" sz="1100" b="1" cap="none" spc="0">
            <a:ln>
              <a:noFill/>
            </a:ln>
            <a:solidFill>
              <a:srgbClr val="FFFF65"/>
            </a:solidFill>
            <a:effectLst/>
          </a:endParaRPr>
        </a:p>
      </xdr:txBody>
    </xdr:sp>
    <xdr:clientData/>
  </xdr:twoCellAnchor>
  <xdr:twoCellAnchor>
    <xdr:from>
      <xdr:col>18</xdr:col>
      <xdr:colOff>190500</xdr:colOff>
      <xdr:row>4</xdr:row>
      <xdr:rowOff>38100</xdr:rowOff>
    </xdr:from>
    <xdr:to>
      <xdr:col>18</xdr:col>
      <xdr:colOff>1837763</xdr:colOff>
      <xdr:row>6</xdr:row>
      <xdr:rowOff>62753</xdr:rowOff>
    </xdr:to>
    <xdr:sp macro="[0]!GotoNextRelease" textlink="">
      <xdr:nvSpPr>
        <xdr:cNvPr id="11" name="ZoneTexte 10"/>
        <xdr:cNvSpPr txBox="1"/>
      </xdr:nvSpPr>
      <xdr:spPr>
        <a:xfrm>
          <a:off x="15721853" y="665629"/>
          <a:ext cx="1647263" cy="349624"/>
        </a:xfrm>
        <a:prstGeom prst="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iblet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r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GOTO NEXT RELEASE &gt;</a:t>
          </a:r>
        </a:p>
      </xdr:txBody>
    </xdr:sp>
    <xdr:clientData/>
  </xdr:twoCellAnchor>
  <xdr:twoCellAnchor>
    <xdr:from>
      <xdr:col>17</xdr:col>
      <xdr:colOff>3107615</xdr:colOff>
      <xdr:row>4</xdr:row>
      <xdr:rowOff>38100</xdr:rowOff>
    </xdr:from>
    <xdr:to>
      <xdr:col>18</xdr:col>
      <xdr:colOff>47960</xdr:colOff>
      <xdr:row>6</xdr:row>
      <xdr:rowOff>62753</xdr:rowOff>
    </xdr:to>
    <xdr:sp macro="[0]!Snapshot" textlink="">
      <xdr:nvSpPr>
        <xdr:cNvPr id="12" name="ZoneTexte 11"/>
        <xdr:cNvSpPr txBox="1"/>
      </xdr:nvSpPr>
      <xdr:spPr>
        <a:xfrm>
          <a:off x="14672086" y="665629"/>
          <a:ext cx="907227" cy="349624"/>
        </a:xfrm>
        <a:prstGeom prst="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iblet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SNAPSHOT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1476374</xdr:colOff>
      <xdr:row>8</xdr:row>
      <xdr:rowOff>130968</xdr:rowOff>
    </xdr:from>
    <xdr:to>
      <xdr:col>13</xdr:col>
      <xdr:colOff>761999</xdr:colOff>
      <xdr:row>35</xdr:row>
      <xdr:rowOff>47624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23534</xdr:colOff>
      <xdr:row>0</xdr:row>
      <xdr:rowOff>22972</xdr:rowOff>
    </xdr:from>
    <xdr:to>
      <xdr:col>1</xdr:col>
      <xdr:colOff>22412</xdr:colOff>
      <xdr:row>0</xdr:row>
      <xdr:rowOff>315447</xdr:rowOff>
    </xdr:to>
    <xdr:sp macro="[0]!BackToDataSheet" textlink="">
      <xdr:nvSpPr>
        <xdr:cNvPr id="2" name="ZoneTexte 1"/>
        <xdr:cNvSpPr txBox="1"/>
      </xdr:nvSpPr>
      <xdr:spPr>
        <a:xfrm>
          <a:off x="23534" y="22972"/>
          <a:ext cx="850525" cy="292475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B A C K</a:t>
          </a:r>
        </a:p>
      </xdr:txBody>
    </xdr:sp>
    <xdr:clientData/>
  </xdr:twoCellAnchor>
  <xdr:twoCellAnchor>
    <xdr:from>
      <xdr:col>4</xdr:col>
      <xdr:colOff>23533</xdr:colOff>
      <xdr:row>0</xdr:row>
      <xdr:rowOff>22972</xdr:rowOff>
    </xdr:from>
    <xdr:to>
      <xdr:col>5</xdr:col>
      <xdr:colOff>889746</xdr:colOff>
      <xdr:row>0</xdr:row>
      <xdr:rowOff>315447</xdr:rowOff>
    </xdr:to>
    <xdr:sp macro="[0]!toggleProtection" textlink="">
      <xdr:nvSpPr>
        <xdr:cNvPr id="3" name="ZoneTexte 2" title="DISABLE PROTECTION"/>
        <xdr:cNvSpPr txBox="1"/>
      </xdr:nvSpPr>
      <xdr:spPr>
        <a:xfrm>
          <a:off x="8506386" y="22972"/>
          <a:ext cx="1628213" cy="29247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DISABLE PROTECTION</a:t>
          </a:r>
        </a:p>
      </xdr:txBody>
    </xdr:sp>
    <xdr:clientData/>
  </xdr:twoCellAnchor>
  <xdr:twoCellAnchor>
    <xdr:from>
      <xdr:col>6</xdr:col>
      <xdr:colOff>7846</xdr:colOff>
      <xdr:row>0</xdr:row>
      <xdr:rowOff>18490</xdr:rowOff>
    </xdr:from>
    <xdr:to>
      <xdr:col>8</xdr:col>
      <xdr:colOff>112059</xdr:colOff>
      <xdr:row>0</xdr:row>
      <xdr:rowOff>310965</xdr:rowOff>
    </xdr:to>
    <xdr:sp macro="[0]!toggleCopyPaste" textlink="">
      <xdr:nvSpPr>
        <xdr:cNvPr id="4" name="ZoneTexte 3" title="DISABLE PROTECTION"/>
        <xdr:cNvSpPr txBox="1"/>
      </xdr:nvSpPr>
      <xdr:spPr>
        <a:xfrm>
          <a:off x="10193993" y="18490"/>
          <a:ext cx="1628213" cy="29247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ALLOW COPY/PASTE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S1009"/>
  <sheetViews>
    <sheetView showGridLines="0" tabSelected="1" zoomScale="85" zoomScaleNormal="85" workbookViewId="0">
      <pane xSplit="8" ySplit="10" topLeftCell="I11" activePane="bottomRight" state="frozen"/>
      <selection activeCell="A2" sqref="A2:E2"/>
      <selection pane="topRight" activeCell="A2" sqref="A2:E2"/>
      <selection pane="bottomLeft" activeCell="A2" sqref="A2:E2"/>
      <selection pane="bottomRight"/>
    </sheetView>
  </sheetViews>
  <sheetFormatPr baseColWidth="10" defaultRowHeight="12.75" x14ac:dyDescent="0.2"/>
  <cols>
    <col min="1" max="1" width="1" customWidth="1"/>
    <col min="2" max="5" width="11.42578125" hidden="1" customWidth="1"/>
    <col min="6" max="6" width="9.42578125" customWidth="1"/>
    <col min="7" max="7" width="0.7109375" customWidth="1"/>
    <col min="8" max="8" width="7.140625" customWidth="1"/>
    <col min="9" max="9" width="11.85546875" customWidth="1"/>
    <col min="10" max="10" width="35.85546875" customWidth="1"/>
    <col min="11" max="11" width="34.140625" style="5" customWidth="1"/>
    <col min="12" max="12" width="5.5703125" style="5" customWidth="1"/>
    <col min="13" max="13" width="11.5703125" style="5" customWidth="1"/>
    <col min="14" max="14" width="15" customWidth="1"/>
    <col min="15" max="15" width="14.28515625" customWidth="1"/>
    <col min="16" max="16" width="12.42578125" bestFit="1" customWidth="1"/>
    <col min="17" max="17" width="14.42578125" customWidth="1"/>
    <col min="18" max="18" width="59.5703125" customWidth="1"/>
    <col min="19" max="19" width="28.42578125" style="6" customWidth="1"/>
  </cols>
  <sheetData>
    <row r="1" spans="1:19" x14ac:dyDescent="0.2">
      <c r="A1" s="48"/>
      <c r="B1" s="48"/>
      <c r="C1" s="48"/>
      <c r="D1" s="48"/>
      <c r="E1" s="48"/>
      <c r="F1" s="48"/>
      <c r="G1" s="48"/>
      <c r="H1" s="48"/>
      <c r="I1" s="48"/>
      <c r="J1" s="48"/>
      <c r="K1" s="49"/>
      <c r="L1" s="49"/>
      <c r="M1" s="49"/>
    </row>
    <row r="2" spans="1:19" ht="12.75" customHeight="1" x14ac:dyDescent="0.2">
      <c r="A2" s="48"/>
      <c r="B2" s="48"/>
      <c r="C2" s="48"/>
      <c r="D2" s="48"/>
      <c r="E2" s="48"/>
      <c r="F2" s="48"/>
      <c r="G2" s="48"/>
      <c r="H2" s="166" t="s">
        <v>1056</v>
      </c>
      <c r="I2" s="166" t="s">
        <v>1056</v>
      </c>
      <c r="J2" s="166" t="s">
        <v>1056</v>
      </c>
      <c r="K2" s="166" t="s">
        <v>1056</v>
      </c>
      <c r="L2" s="49"/>
      <c r="M2" s="49"/>
      <c r="N2" s="7" t="str">
        <f ca="1">INDIRECT("Not_started")</f>
        <v>Not started</v>
      </c>
      <c r="O2" s="9">
        <f t="shared" ref="O2:O8" ca="1" si="0">COUNTIF($P$11:$P$1009,N2)</f>
        <v>7</v>
      </c>
      <c r="P2" s="10">
        <f t="shared" ref="P2:P8" ca="1" si="1">IFERROR(O2/SUM($O$2:$O$8),"--")</f>
        <v>0.20588235294117646</v>
      </c>
      <c r="Q2" s="160" t="s">
        <v>1061</v>
      </c>
    </row>
    <row r="3" spans="1:19" ht="12.75" customHeight="1" x14ac:dyDescent="0.2">
      <c r="A3" s="48"/>
      <c r="B3" s="48"/>
      <c r="C3" s="48"/>
      <c r="D3" s="48"/>
      <c r="E3" s="48"/>
      <c r="F3" s="48"/>
      <c r="G3" s="48"/>
      <c r="H3" s="166" t="s">
        <v>1056</v>
      </c>
      <c r="I3" s="166" t="s">
        <v>1056</v>
      </c>
      <c r="J3" s="166" t="s">
        <v>1056</v>
      </c>
      <c r="K3" s="166" t="s">
        <v>1056</v>
      </c>
      <c r="L3" s="49"/>
      <c r="M3" s="49"/>
      <c r="N3" s="7" t="str">
        <f ca="1">INDIRECT("In_progress")</f>
        <v>In progress</v>
      </c>
      <c r="O3" s="9">
        <f t="shared" ca="1" si="0"/>
        <v>16</v>
      </c>
      <c r="P3" s="10">
        <f t="shared" ca="1" si="1"/>
        <v>0.47058823529411764</v>
      </c>
      <c r="Q3" s="161" t="s">
        <v>1061</v>
      </c>
    </row>
    <row r="4" spans="1:19" ht="12.75" customHeight="1" thickBot="1" x14ac:dyDescent="0.25">
      <c r="A4" s="48"/>
      <c r="B4" s="48"/>
      <c r="C4" s="48"/>
      <c r="D4" s="48"/>
      <c r="E4" s="48"/>
      <c r="F4" s="48"/>
      <c r="G4" s="48"/>
      <c r="H4" s="166" t="s">
        <v>1056</v>
      </c>
      <c r="I4" s="166" t="s">
        <v>1056</v>
      </c>
      <c r="J4" s="166" t="s">
        <v>1056</v>
      </c>
      <c r="K4" s="166" t="s">
        <v>1056</v>
      </c>
      <c r="L4" s="49"/>
      <c r="M4" s="49"/>
      <c r="N4" s="8" t="str">
        <f ca="1">INDIRECT("Closed")</f>
        <v>Closed</v>
      </c>
      <c r="O4" s="11">
        <f t="shared" ca="1" si="0"/>
        <v>6</v>
      </c>
      <c r="P4" s="12">
        <f t="shared" ca="1" si="1"/>
        <v>0.17647058823529413</v>
      </c>
      <c r="Q4" s="162" t="s">
        <v>1061</v>
      </c>
    </row>
    <row r="5" spans="1:19" ht="12.75" customHeight="1" x14ac:dyDescent="0.2">
      <c r="A5" s="48"/>
      <c r="B5" s="48"/>
      <c r="C5" s="48"/>
      <c r="D5" s="48"/>
      <c r="E5" s="48"/>
      <c r="F5" s="167" t="s">
        <v>1044</v>
      </c>
      <c r="G5" s="48"/>
      <c r="H5" s="166" t="s">
        <v>1056</v>
      </c>
      <c r="I5" s="166" t="s">
        <v>1056</v>
      </c>
      <c r="J5" s="166" t="s">
        <v>1056</v>
      </c>
      <c r="K5" s="166" t="s">
        <v>1056</v>
      </c>
      <c r="L5" s="49"/>
      <c r="M5" s="49"/>
      <c r="N5" s="8" t="str">
        <f ca="1">INDIRECT("Applied")</f>
        <v>Applied</v>
      </c>
      <c r="O5" s="11">
        <f t="shared" ca="1" si="0"/>
        <v>3</v>
      </c>
      <c r="P5" s="12">
        <f ca="1">IFERROR(O5/SUM($O$2:$O$8),"--")</f>
        <v>8.8235294117647065E-2</v>
      </c>
      <c r="Q5" s="163">
        <f ca="1">IFERROR((O4+O5)/(O2+O3+O4+O5),"--")</f>
        <v>0.28125</v>
      </c>
    </row>
    <row r="6" spans="1:19" ht="13.5" customHeight="1" x14ac:dyDescent="0.2">
      <c r="A6" s="48"/>
      <c r="B6" s="48"/>
      <c r="C6" s="48"/>
      <c r="D6" s="48"/>
      <c r="E6" s="48"/>
      <c r="F6" s="168" t="s">
        <v>1044</v>
      </c>
      <c r="G6" s="48"/>
      <c r="H6" s="166" t="s">
        <v>1056</v>
      </c>
      <c r="I6" s="166" t="s">
        <v>1056</v>
      </c>
      <c r="J6" s="166" t="s">
        <v>1056</v>
      </c>
      <c r="K6" s="166" t="s">
        <v>1056</v>
      </c>
      <c r="L6" s="49"/>
      <c r="M6" s="49"/>
      <c r="N6" s="7" t="str">
        <f ca="1">INDIRECT("Canceled")</f>
        <v>Canceled</v>
      </c>
      <c r="O6" s="9">
        <f t="shared" ca="1" si="0"/>
        <v>1</v>
      </c>
      <c r="P6" s="10">
        <f ca="1">IFERROR(O6/SUM($O$2:$O$8),"--")</f>
        <v>2.9411764705882353E-2</v>
      </c>
      <c r="Q6" s="164"/>
    </row>
    <row r="7" spans="1:19" ht="12.75" customHeight="1" x14ac:dyDescent="0.2">
      <c r="A7" s="48"/>
      <c r="B7" s="48"/>
      <c r="C7" s="48"/>
      <c r="D7" s="48"/>
      <c r="E7" s="48"/>
      <c r="F7" s="168" t="s">
        <v>1044</v>
      </c>
      <c r="G7" s="48"/>
      <c r="H7" s="166" t="s">
        <v>1056</v>
      </c>
      <c r="I7" s="166" t="s">
        <v>1056</v>
      </c>
      <c r="J7" s="166" t="s">
        <v>1056</v>
      </c>
      <c r="K7" s="166" t="s">
        <v>1056</v>
      </c>
      <c r="L7" s="49"/>
      <c r="M7" s="49"/>
      <c r="N7" s="7" t="str">
        <f ca="1">INDIRECT("Suspended")</f>
        <v>Suspended</v>
      </c>
      <c r="O7" s="9">
        <f t="shared" ca="1" si="0"/>
        <v>1</v>
      </c>
      <c r="P7" s="10">
        <f ca="1">IFERROR(O7/SUM($O$2:$O$8),"--")</f>
        <v>2.9411764705882353E-2</v>
      </c>
      <c r="Q7" s="164"/>
    </row>
    <row r="8" spans="1:19" ht="14.25" customHeight="1" thickBot="1" x14ac:dyDescent="0.25">
      <c r="A8" s="48"/>
      <c r="B8" s="48"/>
      <c r="C8" s="48"/>
      <c r="D8" s="48"/>
      <c r="E8" s="48"/>
      <c r="F8" s="57">
        <f ca="1">IF(WEEKNUM(TODAY())&lt;10,VALUE(CONCATENATE(YEAR(TODAY()),"0",WEEKNUM(TODAY()))),VALUE(CONCATENATE(YEAR(TODAY()),WEEKNUM(TODAY()))))</f>
        <v>201715</v>
      </c>
      <c r="G8" s="48"/>
      <c r="H8" s="166" t="s">
        <v>1056</v>
      </c>
      <c r="I8" s="166" t="s">
        <v>1056</v>
      </c>
      <c r="J8" s="166" t="s">
        <v>1056</v>
      </c>
      <c r="K8" s="166" t="s">
        <v>1056</v>
      </c>
      <c r="L8" s="159"/>
      <c r="M8" s="49"/>
      <c r="N8" s="158" t="str">
        <f ca="1">INDIRECT("N_A")</f>
        <v>N/A</v>
      </c>
      <c r="O8" s="11">
        <f t="shared" ca="1" si="0"/>
        <v>0</v>
      </c>
      <c r="P8" s="12">
        <f t="shared" ca="1" si="1"/>
        <v>0</v>
      </c>
      <c r="Q8" s="165"/>
    </row>
    <row r="9" spans="1:19" ht="14.25" customHeight="1" x14ac:dyDescent="0.2">
      <c r="A9" s="48"/>
      <c r="B9" s="48"/>
      <c r="C9" s="48"/>
      <c r="D9" s="48"/>
      <c r="E9" s="48"/>
      <c r="F9" s="48"/>
      <c r="G9" s="48"/>
      <c r="H9" s="48"/>
      <c r="I9" s="48"/>
      <c r="J9" s="48"/>
      <c r="K9" s="49"/>
      <c r="L9" s="159"/>
      <c r="M9" s="49"/>
    </row>
    <row r="10" spans="1:19" ht="44.25" customHeight="1" x14ac:dyDescent="0.2">
      <c r="B10" s="1" t="s">
        <v>1047</v>
      </c>
      <c r="C10" s="1" t="s">
        <v>1048</v>
      </c>
      <c r="D10" s="1" t="s">
        <v>1049</v>
      </c>
      <c r="E10" s="1" t="s">
        <v>1050</v>
      </c>
      <c r="F10" s="50" t="s">
        <v>1026</v>
      </c>
      <c r="H10" s="55" t="s">
        <v>0</v>
      </c>
      <c r="I10" s="17" t="s">
        <v>1027</v>
      </c>
      <c r="J10" s="17" t="s">
        <v>1007</v>
      </c>
      <c r="K10" s="17" t="s">
        <v>1023</v>
      </c>
      <c r="L10" s="18" t="s">
        <v>1010</v>
      </c>
      <c r="M10" s="157" t="s">
        <v>1127</v>
      </c>
      <c r="N10" s="17" t="s">
        <v>101</v>
      </c>
      <c r="O10" s="17" t="s">
        <v>102</v>
      </c>
      <c r="P10" s="17" t="s">
        <v>103</v>
      </c>
      <c r="Q10" s="17" t="s">
        <v>104</v>
      </c>
      <c r="R10" s="19" t="s">
        <v>1016</v>
      </c>
      <c r="S10" s="148" t="s">
        <v>1025</v>
      </c>
    </row>
    <row r="11" spans="1:19" x14ac:dyDescent="0.2">
      <c r="B11" s="2">
        <f>IF(N11="","",IF(WEEKNUM(N11)&lt;10,VALUE(CONCATENATE(YEAR(N11),"0",WEEKNUM(N11))),VALUE(CONCATENATE(YEAR(N11),WEEKNUM(N11)))))</f>
        <v>201713</v>
      </c>
      <c r="C11" s="2">
        <f>IF(Q11="","",IF(WEEKNUM(Q11)&lt;10,VALUE(CONCATENATE(YEAR(Q11),"0",WEEKNUM(Q11))),VALUE(CONCATENATE(YEAR(Q11),WEEKNUM(Q11)))))</f>
        <v>201713</v>
      </c>
      <c r="D11" s="2" t="str">
        <f t="shared" ref="D11:D74" si="2">IF(OR(P11=Not_started,P11=In_progress),"N",IF(OR(P11=N_A,P11=Suspended,P11=Canceled),"","Y"))</f>
        <v>Y</v>
      </c>
      <c r="E11" s="2">
        <f t="shared" ref="E11:E74" si="3">IF(OR(P11=Not_started,P11=In_progress,P11=Applied,P11=Closed),1,0)</f>
        <v>1</v>
      </c>
      <c r="F11" s="2">
        <f>IF(O11="",B11,IF(WEEKNUM(O11)&lt;10,VALUE(CONCATENATE(YEAR(O11),"0",WEEKNUM(O11))),VALUE(CONCATENATE(YEAR(O11),WEEKNUM(O11)))))</f>
        <v>201713</v>
      </c>
      <c r="H11" s="56" t="s">
        <v>1</v>
      </c>
      <c r="I11" s="20" t="s">
        <v>1111</v>
      </c>
      <c r="J11" s="21" t="s">
        <v>1117</v>
      </c>
      <c r="K11" s="21" t="s">
        <v>1063</v>
      </c>
      <c r="L11" s="22"/>
      <c r="M11" s="22">
        <v>5</v>
      </c>
      <c r="N11" s="23">
        <v>42825</v>
      </c>
      <c r="O11" s="24"/>
      <c r="P11" s="25" t="s">
        <v>1041</v>
      </c>
      <c r="Q11" s="26">
        <v>42825</v>
      </c>
      <c r="R11" s="27" t="s">
        <v>1118</v>
      </c>
      <c r="S11" s="13" t="str">
        <f t="shared" ref="S11:S74" si="4">IF(ISERROR(VLOOKUP(K11,LB_PROJECTS,2,FALSE)),"",VLOOKUP(K11,LB_PROJECTS,2,FALSE))</f>
        <v>Team 1</v>
      </c>
    </row>
    <row r="12" spans="1:19" ht="38.25" x14ac:dyDescent="0.2">
      <c r="B12" s="2">
        <f t="shared" ref="B12:B75" si="5">IF(N12="","",IF(WEEKNUM(N12)&lt;10,VALUE(CONCATENATE(YEAR(N12),"0",WEEKNUM(N12))),VALUE(CONCATENATE(YEAR(N12),WEEKNUM(N12)))))</f>
        <v>201713</v>
      </c>
      <c r="C12" s="2" t="str">
        <f t="shared" ref="C12:C75" si="6">IF(Q12="","",IF(WEEKNUM(Q12)&lt;10,VALUE(CONCATENATE(YEAR(Q12),"0",WEEKNUM(Q12))),VALUE(CONCATENATE(YEAR(Q12),WEEKNUM(Q12)))))</f>
        <v/>
      </c>
      <c r="D12" s="2" t="str">
        <f t="shared" si="2"/>
        <v>N</v>
      </c>
      <c r="E12" s="2">
        <f t="shared" si="3"/>
        <v>1</v>
      </c>
      <c r="F12" s="2">
        <f>IF(O12="",B12,IF(WEEKNUM(O12)&lt;10,VALUE(CONCATENATE(YEAR(O12),"0",WEEKNUM(O12))),VALUE(CONCATENATE(YEAR(O12),WEEKNUM(O12)))))</f>
        <v>201713</v>
      </c>
      <c r="H12" s="56" t="s">
        <v>2</v>
      </c>
      <c r="I12" s="28" t="s">
        <v>1111</v>
      </c>
      <c r="J12" s="29" t="s">
        <v>1119</v>
      </c>
      <c r="K12" s="29" t="s">
        <v>1063</v>
      </c>
      <c r="L12" s="30" t="s">
        <v>1011</v>
      </c>
      <c r="M12" s="30">
        <v>8</v>
      </c>
      <c r="N12" s="31">
        <v>42824</v>
      </c>
      <c r="O12" s="32"/>
      <c r="P12" s="33" t="s">
        <v>1040</v>
      </c>
      <c r="Q12" s="34"/>
      <c r="R12" s="35" t="s">
        <v>1120</v>
      </c>
      <c r="S12" s="14" t="str">
        <f t="shared" si="4"/>
        <v>Team 1</v>
      </c>
    </row>
    <row r="13" spans="1:19" ht="25.5" x14ac:dyDescent="0.2">
      <c r="B13" s="2">
        <f t="shared" si="5"/>
        <v>201719</v>
      </c>
      <c r="C13" s="2" t="str">
        <f t="shared" si="6"/>
        <v/>
      </c>
      <c r="D13" s="2" t="str">
        <f t="shared" si="2"/>
        <v>Y</v>
      </c>
      <c r="E13" s="2">
        <f t="shared" si="3"/>
        <v>0</v>
      </c>
      <c r="F13" s="2">
        <f>IF(O13="",B13,IF(WEEKNUM(O13)&lt;10,VALUE(CONCATENATE(YEAR(O13),"0",WEEKNUM(O13))),VALUE(CONCATENATE(YEAR(O13),WEEKNUM(O13)))))</f>
        <v>201719</v>
      </c>
      <c r="H13" s="56" t="s">
        <v>3</v>
      </c>
      <c r="I13" s="28" t="s">
        <v>1112</v>
      </c>
      <c r="J13" s="29" t="s">
        <v>1121</v>
      </c>
      <c r="K13" s="29" t="s">
        <v>1065</v>
      </c>
      <c r="L13" s="30"/>
      <c r="M13" s="30">
        <v>2</v>
      </c>
      <c r="N13" s="36">
        <v>42867</v>
      </c>
      <c r="O13" s="32"/>
      <c r="P13" s="33"/>
      <c r="Q13" s="34"/>
      <c r="R13" s="37" t="s">
        <v>1122</v>
      </c>
      <c r="S13" s="14" t="str">
        <f t="shared" si="4"/>
        <v>Team 2</v>
      </c>
    </row>
    <row r="14" spans="1:19" ht="38.25" x14ac:dyDescent="0.2">
      <c r="B14" s="2">
        <f t="shared" si="5"/>
        <v>201713</v>
      </c>
      <c r="C14" s="2" t="str">
        <f t="shared" si="6"/>
        <v/>
      </c>
      <c r="D14" s="2" t="str">
        <f t="shared" si="2"/>
        <v/>
      </c>
      <c r="E14" s="2">
        <f t="shared" si="3"/>
        <v>0</v>
      </c>
      <c r="F14" s="2">
        <f t="shared" ref="F14:F77" si="7">IF(O14="",B14,IF(WEEKNUM(O14)&lt;10,VALUE(CONCATENATE(YEAR(O14),"0",WEEKNUM(O14))),VALUE(CONCATENATE(YEAR(O14),WEEKNUM(O14)))))</f>
        <v>201713</v>
      </c>
      <c r="H14" s="56" t="s">
        <v>4</v>
      </c>
      <c r="I14" s="28" t="s">
        <v>1112</v>
      </c>
      <c r="J14" s="29" t="s">
        <v>1123</v>
      </c>
      <c r="K14" s="29" t="s">
        <v>1065</v>
      </c>
      <c r="L14" s="30"/>
      <c r="M14" s="30">
        <v>40</v>
      </c>
      <c r="N14" s="36">
        <v>42824</v>
      </c>
      <c r="O14" s="32"/>
      <c r="P14" s="33" t="s">
        <v>1042</v>
      </c>
      <c r="Q14" s="34"/>
      <c r="R14" s="37" t="s">
        <v>1120</v>
      </c>
      <c r="S14" s="14" t="str">
        <f t="shared" si="4"/>
        <v>Team 2</v>
      </c>
    </row>
    <row r="15" spans="1:19" ht="25.5" x14ac:dyDescent="0.2">
      <c r="B15" s="2">
        <f t="shared" si="5"/>
        <v>201713</v>
      </c>
      <c r="C15" s="2">
        <f t="shared" si="6"/>
        <v>201713</v>
      </c>
      <c r="D15" s="2" t="str">
        <f t="shared" si="2"/>
        <v>Y</v>
      </c>
      <c r="E15" s="2">
        <f t="shared" si="3"/>
        <v>1</v>
      </c>
      <c r="F15" s="2">
        <f t="shared" si="7"/>
        <v>201713</v>
      </c>
      <c r="H15" s="56" t="s">
        <v>5</v>
      </c>
      <c r="I15" s="28" t="s">
        <v>1112</v>
      </c>
      <c r="J15" s="29" t="s">
        <v>1123</v>
      </c>
      <c r="K15" s="29" t="s">
        <v>1065</v>
      </c>
      <c r="L15" s="30"/>
      <c r="M15" s="30">
        <v>13</v>
      </c>
      <c r="N15" s="36">
        <v>42824</v>
      </c>
      <c r="O15" s="32"/>
      <c r="P15" s="33" t="s">
        <v>1043</v>
      </c>
      <c r="Q15" s="34">
        <v>42824</v>
      </c>
      <c r="R15" s="37" t="s">
        <v>1124</v>
      </c>
      <c r="S15" s="14" t="str">
        <f t="shared" si="4"/>
        <v>Team 2</v>
      </c>
    </row>
    <row r="16" spans="1:19" ht="25.5" x14ac:dyDescent="0.2">
      <c r="B16" s="2">
        <f t="shared" si="5"/>
        <v>201713</v>
      </c>
      <c r="C16" s="2" t="str">
        <f t="shared" si="6"/>
        <v/>
      </c>
      <c r="D16" s="2" t="str">
        <f t="shared" si="2"/>
        <v>N</v>
      </c>
      <c r="E16" s="2">
        <f t="shared" si="3"/>
        <v>1</v>
      </c>
      <c r="F16" s="2">
        <f t="shared" si="7"/>
        <v>201714</v>
      </c>
      <c r="H16" s="56" t="s">
        <v>6</v>
      </c>
      <c r="I16" s="28" t="s">
        <v>1113</v>
      </c>
      <c r="J16" s="29" t="s">
        <v>1117</v>
      </c>
      <c r="K16" s="29" t="s">
        <v>1067</v>
      </c>
      <c r="L16" s="30"/>
      <c r="M16" s="30">
        <v>0.5</v>
      </c>
      <c r="N16" s="36">
        <v>42821</v>
      </c>
      <c r="O16" s="32">
        <v>42830</v>
      </c>
      <c r="P16" s="33" t="s">
        <v>1040</v>
      </c>
      <c r="Q16" s="34"/>
      <c r="R16" s="37" t="s">
        <v>1125</v>
      </c>
      <c r="S16" s="14" t="str">
        <f t="shared" si="4"/>
        <v>Team 3</v>
      </c>
    </row>
    <row r="17" spans="2:19" ht="25.5" x14ac:dyDescent="0.2">
      <c r="B17" s="2">
        <f t="shared" si="5"/>
        <v>201719</v>
      </c>
      <c r="C17" s="2" t="str">
        <f t="shared" si="6"/>
        <v/>
      </c>
      <c r="D17" s="2" t="str">
        <f t="shared" si="2"/>
        <v>N</v>
      </c>
      <c r="E17" s="2">
        <f t="shared" si="3"/>
        <v>1</v>
      </c>
      <c r="F17" s="2">
        <f t="shared" si="7"/>
        <v>201719</v>
      </c>
      <c r="H17" s="56" t="s">
        <v>7</v>
      </c>
      <c r="I17" s="28" t="s">
        <v>1113</v>
      </c>
      <c r="J17" s="29" t="s">
        <v>1117</v>
      </c>
      <c r="K17" s="29" t="s">
        <v>1069</v>
      </c>
      <c r="L17" s="30"/>
      <c r="M17" s="30">
        <v>20</v>
      </c>
      <c r="N17" s="36">
        <v>42867</v>
      </c>
      <c r="O17" s="32"/>
      <c r="P17" s="33" t="s">
        <v>1039</v>
      </c>
      <c r="Q17" s="34"/>
      <c r="R17" s="37" t="s">
        <v>1125</v>
      </c>
      <c r="S17" s="14" t="str">
        <f t="shared" si="4"/>
        <v>Team 1</v>
      </c>
    </row>
    <row r="18" spans="2:19" ht="25.5" x14ac:dyDescent="0.2">
      <c r="B18" s="2">
        <f t="shared" si="5"/>
        <v>201713</v>
      </c>
      <c r="C18" s="2" t="str">
        <f t="shared" si="6"/>
        <v/>
      </c>
      <c r="D18" s="2" t="str">
        <f t="shared" si="2"/>
        <v>N</v>
      </c>
      <c r="E18" s="2">
        <f t="shared" si="3"/>
        <v>1</v>
      </c>
      <c r="F18" s="2">
        <f t="shared" si="7"/>
        <v>201713</v>
      </c>
      <c r="H18" s="56" t="s">
        <v>8</v>
      </c>
      <c r="I18" s="28" t="s">
        <v>1113</v>
      </c>
      <c r="J18" s="29" t="s">
        <v>1117</v>
      </c>
      <c r="K18" s="29" t="s">
        <v>1063</v>
      </c>
      <c r="L18" s="30"/>
      <c r="M18" s="30">
        <v>2</v>
      </c>
      <c r="N18" s="36">
        <v>42825</v>
      </c>
      <c r="O18" s="32"/>
      <c r="P18" s="33" t="s">
        <v>1040</v>
      </c>
      <c r="Q18" s="34"/>
      <c r="R18" s="37" t="s">
        <v>1125</v>
      </c>
      <c r="S18" s="14" t="str">
        <f t="shared" si="4"/>
        <v>Team 1</v>
      </c>
    </row>
    <row r="19" spans="2:19" ht="25.5" x14ac:dyDescent="0.2">
      <c r="B19" s="2">
        <f t="shared" si="5"/>
        <v>201713</v>
      </c>
      <c r="C19" s="2">
        <f t="shared" si="6"/>
        <v>201713</v>
      </c>
      <c r="D19" s="2" t="str">
        <f t="shared" si="2"/>
        <v>Y</v>
      </c>
      <c r="E19" s="2">
        <f t="shared" si="3"/>
        <v>1</v>
      </c>
      <c r="F19" s="2">
        <f t="shared" si="7"/>
        <v>201713</v>
      </c>
      <c r="H19" s="56" t="s">
        <v>9</v>
      </c>
      <c r="I19" s="28" t="s">
        <v>1111</v>
      </c>
      <c r="J19" s="29" t="s">
        <v>1119</v>
      </c>
      <c r="K19" s="29" t="s">
        <v>1063</v>
      </c>
      <c r="L19" s="30" t="s">
        <v>1011</v>
      </c>
      <c r="M19" s="30">
        <v>5</v>
      </c>
      <c r="N19" s="36">
        <v>42824</v>
      </c>
      <c r="O19" s="32"/>
      <c r="P19" s="33" t="s">
        <v>1041</v>
      </c>
      <c r="Q19" s="34">
        <v>42824</v>
      </c>
      <c r="R19" s="37" t="s">
        <v>1124</v>
      </c>
      <c r="S19" s="14" t="str">
        <f t="shared" si="4"/>
        <v>Team 1</v>
      </c>
    </row>
    <row r="20" spans="2:19" ht="25.5" x14ac:dyDescent="0.2">
      <c r="B20" s="2">
        <f t="shared" si="5"/>
        <v>201713</v>
      </c>
      <c r="C20" s="2" t="str">
        <f t="shared" si="6"/>
        <v/>
      </c>
      <c r="D20" s="2" t="str">
        <f t="shared" si="2"/>
        <v>N</v>
      </c>
      <c r="E20" s="2">
        <f t="shared" si="3"/>
        <v>1</v>
      </c>
      <c r="F20" s="2">
        <f t="shared" si="7"/>
        <v>201713</v>
      </c>
      <c r="H20" s="56" t="s">
        <v>10</v>
      </c>
      <c r="I20" s="28" t="s">
        <v>1112</v>
      </c>
      <c r="J20" s="29" t="s">
        <v>1123</v>
      </c>
      <c r="K20" s="29" t="s">
        <v>1067</v>
      </c>
      <c r="L20" s="30"/>
      <c r="M20" s="30">
        <v>40</v>
      </c>
      <c r="N20" s="36">
        <v>42824</v>
      </c>
      <c r="O20" s="32"/>
      <c r="P20" s="33" t="s">
        <v>1040</v>
      </c>
      <c r="Q20" s="34"/>
      <c r="R20" s="37" t="s">
        <v>1126</v>
      </c>
      <c r="S20" s="14" t="str">
        <f t="shared" si="4"/>
        <v>Team 3</v>
      </c>
    </row>
    <row r="21" spans="2:19" ht="38.25" x14ac:dyDescent="0.2">
      <c r="B21" s="2">
        <f t="shared" si="5"/>
        <v>201715</v>
      </c>
      <c r="C21" s="2" t="str">
        <f t="shared" si="6"/>
        <v/>
      </c>
      <c r="D21" s="2" t="str">
        <f t="shared" si="2"/>
        <v>N</v>
      </c>
      <c r="E21" s="2">
        <f t="shared" si="3"/>
        <v>1</v>
      </c>
      <c r="F21" s="2">
        <f t="shared" si="7"/>
        <v>201715</v>
      </c>
      <c r="H21" s="56" t="s">
        <v>11</v>
      </c>
      <c r="I21" s="28" t="s">
        <v>1112</v>
      </c>
      <c r="J21" s="29" t="s">
        <v>1123</v>
      </c>
      <c r="K21" s="29" t="s">
        <v>1065</v>
      </c>
      <c r="L21" s="30"/>
      <c r="M21" s="30">
        <v>100</v>
      </c>
      <c r="N21" s="36">
        <v>42838</v>
      </c>
      <c r="O21" s="32"/>
      <c r="P21" s="33" t="s">
        <v>1039</v>
      </c>
      <c r="Q21" s="34"/>
      <c r="R21" s="37" t="s">
        <v>1120</v>
      </c>
      <c r="S21" s="14" t="str">
        <f t="shared" si="4"/>
        <v>Team 2</v>
      </c>
    </row>
    <row r="22" spans="2:19" ht="38.25" x14ac:dyDescent="0.2">
      <c r="B22" s="2">
        <f t="shared" si="5"/>
        <v>201716</v>
      </c>
      <c r="C22" s="2" t="str">
        <f t="shared" si="6"/>
        <v/>
      </c>
      <c r="D22" s="2" t="str">
        <f t="shared" si="2"/>
        <v>Y</v>
      </c>
      <c r="E22" s="2">
        <f t="shared" si="3"/>
        <v>0</v>
      </c>
      <c r="F22" s="2">
        <f t="shared" si="7"/>
        <v>201716</v>
      </c>
      <c r="H22" s="56" t="s">
        <v>12</v>
      </c>
      <c r="I22" s="28" t="s">
        <v>1112</v>
      </c>
      <c r="J22" s="29" t="s">
        <v>1123</v>
      </c>
      <c r="K22" s="29" t="s">
        <v>1065</v>
      </c>
      <c r="L22" s="30"/>
      <c r="M22" s="30">
        <v>5</v>
      </c>
      <c r="N22" s="36">
        <v>42842</v>
      </c>
      <c r="O22" s="32"/>
      <c r="P22" s="33"/>
      <c r="Q22" s="34"/>
      <c r="R22" s="37" t="s">
        <v>1120</v>
      </c>
      <c r="S22" s="14" t="str">
        <f t="shared" si="4"/>
        <v>Team 2</v>
      </c>
    </row>
    <row r="23" spans="2:19" ht="38.25" x14ac:dyDescent="0.2">
      <c r="B23" s="2">
        <f t="shared" si="5"/>
        <v>201715</v>
      </c>
      <c r="C23" s="2" t="str">
        <f t="shared" si="6"/>
        <v/>
      </c>
      <c r="D23" s="2" t="str">
        <f t="shared" si="2"/>
        <v>N</v>
      </c>
      <c r="E23" s="2">
        <f t="shared" si="3"/>
        <v>1</v>
      </c>
      <c r="F23" s="2">
        <f t="shared" si="7"/>
        <v>201715</v>
      </c>
      <c r="H23" s="56" t="s">
        <v>14</v>
      </c>
      <c r="I23" s="28" t="s">
        <v>1112</v>
      </c>
      <c r="J23" s="29" t="s">
        <v>1123</v>
      </c>
      <c r="K23" s="29" t="s">
        <v>1065</v>
      </c>
      <c r="L23" s="30"/>
      <c r="M23" s="30">
        <v>20</v>
      </c>
      <c r="N23" s="36">
        <v>42837</v>
      </c>
      <c r="O23" s="32"/>
      <c r="P23" s="33" t="s">
        <v>1039</v>
      </c>
      <c r="Q23" s="34"/>
      <c r="R23" s="37" t="s">
        <v>1120</v>
      </c>
      <c r="S23" s="14" t="str">
        <f t="shared" si="4"/>
        <v>Team 2</v>
      </c>
    </row>
    <row r="24" spans="2:19" ht="25.5" x14ac:dyDescent="0.2">
      <c r="B24" s="2">
        <f t="shared" si="5"/>
        <v>201713</v>
      </c>
      <c r="C24" s="2" t="str">
        <f t="shared" si="6"/>
        <v/>
      </c>
      <c r="D24" s="2" t="str">
        <f t="shared" si="2"/>
        <v>N</v>
      </c>
      <c r="E24" s="2">
        <f t="shared" si="3"/>
        <v>1</v>
      </c>
      <c r="F24" s="2">
        <f t="shared" si="7"/>
        <v>201713</v>
      </c>
      <c r="H24" s="56" t="s">
        <v>15</v>
      </c>
      <c r="I24" s="28" t="s">
        <v>1113</v>
      </c>
      <c r="J24" s="29" t="s">
        <v>1117</v>
      </c>
      <c r="K24" s="29" t="s">
        <v>1063</v>
      </c>
      <c r="L24" s="30"/>
      <c r="M24" s="30">
        <v>8</v>
      </c>
      <c r="N24" s="36">
        <v>42825</v>
      </c>
      <c r="O24" s="36"/>
      <c r="P24" s="33" t="s">
        <v>1040</v>
      </c>
      <c r="Q24" s="34"/>
      <c r="R24" s="37" t="s">
        <v>1125</v>
      </c>
      <c r="S24" s="14" t="str">
        <f t="shared" si="4"/>
        <v>Team 1</v>
      </c>
    </row>
    <row r="25" spans="2:19" ht="25.5" x14ac:dyDescent="0.2">
      <c r="B25" s="2">
        <f t="shared" si="5"/>
        <v>201713</v>
      </c>
      <c r="C25" s="2" t="str">
        <f t="shared" si="6"/>
        <v/>
      </c>
      <c r="D25" s="2" t="str">
        <f t="shared" si="2"/>
        <v>N</v>
      </c>
      <c r="E25" s="2">
        <f t="shared" si="3"/>
        <v>1</v>
      </c>
      <c r="F25" s="2">
        <f t="shared" si="7"/>
        <v>201713</v>
      </c>
      <c r="H25" s="56" t="s">
        <v>16</v>
      </c>
      <c r="I25" s="28" t="s">
        <v>1113</v>
      </c>
      <c r="J25" s="29" t="s">
        <v>1117</v>
      </c>
      <c r="K25" s="29" t="s">
        <v>1063</v>
      </c>
      <c r="L25" s="30"/>
      <c r="M25" s="30">
        <v>20</v>
      </c>
      <c r="N25" s="36">
        <v>42825</v>
      </c>
      <c r="O25" s="32"/>
      <c r="P25" s="33" t="s">
        <v>1040</v>
      </c>
      <c r="Q25" s="34"/>
      <c r="R25" s="37" t="s">
        <v>1125</v>
      </c>
      <c r="S25" s="14" t="str">
        <f t="shared" si="4"/>
        <v>Team 1</v>
      </c>
    </row>
    <row r="26" spans="2:19" x14ac:dyDescent="0.2">
      <c r="B26" s="2">
        <f t="shared" si="5"/>
        <v>201713</v>
      </c>
      <c r="C26" s="2">
        <f t="shared" si="6"/>
        <v>201713</v>
      </c>
      <c r="D26" s="2" t="str">
        <f t="shared" si="2"/>
        <v>Y</v>
      </c>
      <c r="E26" s="2">
        <f t="shared" si="3"/>
        <v>1</v>
      </c>
      <c r="F26" s="2">
        <f t="shared" si="7"/>
        <v>201713</v>
      </c>
      <c r="H26" s="56" t="s">
        <v>17</v>
      </c>
      <c r="I26" s="28" t="s">
        <v>1113</v>
      </c>
      <c r="J26" s="29" t="s">
        <v>1117</v>
      </c>
      <c r="K26" s="29" t="s">
        <v>1067</v>
      </c>
      <c r="L26" s="30"/>
      <c r="M26" s="30">
        <v>20</v>
      </c>
      <c r="N26" s="36">
        <v>42825</v>
      </c>
      <c r="O26" s="32"/>
      <c r="P26" s="33" t="s">
        <v>1041</v>
      </c>
      <c r="Q26" s="34">
        <v>42825</v>
      </c>
      <c r="R26" s="37" t="s">
        <v>1118</v>
      </c>
      <c r="S26" s="14" t="str">
        <f t="shared" si="4"/>
        <v>Team 3</v>
      </c>
    </row>
    <row r="27" spans="2:19" x14ac:dyDescent="0.2">
      <c r="B27" s="2">
        <f t="shared" si="5"/>
        <v>201713</v>
      </c>
      <c r="C27" s="2">
        <f t="shared" si="6"/>
        <v>201713</v>
      </c>
      <c r="D27" s="2" t="str">
        <f t="shared" si="2"/>
        <v>Y</v>
      </c>
      <c r="E27" s="2">
        <f t="shared" si="3"/>
        <v>1</v>
      </c>
      <c r="F27" s="2">
        <f t="shared" si="7"/>
        <v>201713</v>
      </c>
      <c r="H27" s="56" t="s">
        <v>18</v>
      </c>
      <c r="I27" s="28" t="s">
        <v>1113</v>
      </c>
      <c r="J27" s="29" t="s">
        <v>1117</v>
      </c>
      <c r="K27" s="29" t="s">
        <v>1063</v>
      </c>
      <c r="L27" s="30"/>
      <c r="M27" s="30">
        <v>40</v>
      </c>
      <c r="N27" s="36">
        <v>42825</v>
      </c>
      <c r="O27" s="32"/>
      <c r="P27" s="33" t="s">
        <v>1041</v>
      </c>
      <c r="Q27" s="34">
        <v>42825</v>
      </c>
      <c r="R27" s="37" t="s">
        <v>1118</v>
      </c>
      <c r="S27" s="14" t="str">
        <f t="shared" si="4"/>
        <v>Team 1</v>
      </c>
    </row>
    <row r="28" spans="2:19" ht="25.5" x14ac:dyDescent="0.2">
      <c r="B28" s="2">
        <f t="shared" si="5"/>
        <v>201714</v>
      </c>
      <c r="C28" s="2" t="str">
        <f t="shared" si="6"/>
        <v/>
      </c>
      <c r="D28" s="2" t="str">
        <f t="shared" si="2"/>
        <v>N</v>
      </c>
      <c r="E28" s="2">
        <f t="shared" si="3"/>
        <v>1</v>
      </c>
      <c r="F28" s="2">
        <f t="shared" si="7"/>
        <v>201714</v>
      </c>
      <c r="H28" s="56" t="s">
        <v>19</v>
      </c>
      <c r="I28" s="28" t="s">
        <v>1113</v>
      </c>
      <c r="J28" s="29" t="s">
        <v>1117</v>
      </c>
      <c r="K28" s="29" t="s">
        <v>1063</v>
      </c>
      <c r="L28" s="30"/>
      <c r="M28" s="30">
        <v>8</v>
      </c>
      <c r="N28" s="36">
        <v>42828</v>
      </c>
      <c r="O28" s="32"/>
      <c r="P28" s="33" t="s">
        <v>1039</v>
      </c>
      <c r="Q28" s="34"/>
      <c r="R28" s="37" t="s">
        <v>1125</v>
      </c>
      <c r="S28" s="14" t="str">
        <f t="shared" si="4"/>
        <v>Team 1</v>
      </c>
    </row>
    <row r="29" spans="2:19" ht="25.5" x14ac:dyDescent="0.2">
      <c r="B29" s="2">
        <f t="shared" si="5"/>
        <v>201713</v>
      </c>
      <c r="C29" s="2" t="str">
        <f t="shared" si="6"/>
        <v/>
      </c>
      <c r="D29" s="2" t="str">
        <f t="shared" si="2"/>
        <v>N</v>
      </c>
      <c r="E29" s="2">
        <f t="shared" si="3"/>
        <v>1</v>
      </c>
      <c r="F29" s="2">
        <f t="shared" si="7"/>
        <v>201713</v>
      </c>
      <c r="H29" s="56" t="s">
        <v>20</v>
      </c>
      <c r="I29" s="28" t="s">
        <v>1111</v>
      </c>
      <c r="J29" s="29" t="s">
        <v>1117</v>
      </c>
      <c r="K29" s="29" t="s">
        <v>1063</v>
      </c>
      <c r="L29" s="30"/>
      <c r="M29" s="30">
        <v>20</v>
      </c>
      <c r="N29" s="36">
        <v>42825</v>
      </c>
      <c r="O29" s="32"/>
      <c r="P29" s="33" t="s">
        <v>1040</v>
      </c>
      <c r="Q29" s="34"/>
      <c r="R29" s="37" t="s">
        <v>1125</v>
      </c>
      <c r="S29" s="14" t="str">
        <f t="shared" si="4"/>
        <v>Team 1</v>
      </c>
    </row>
    <row r="30" spans="2:19" ht="25.5" x14ac:dyDescent="0.2">
      <c r="B30" s="2">
        <f t="shared" si="5"/>
        <v>201714</v>
      </c>
      <c r="C30" s="2" t="str">
        <f t="shared" si="6"/>
        <v/>
      </c>
      <c r="D30" s="2" t="str">
        <f t="shared" si="2"/>
        <v>N</v>
      </c>
      <c r="E30" s="2">
        <f t="shared" si="3"/>
        <v>1</v>
      </c>
      <c r="F30" s="2">
        <f t="shared" si="7"/>
        <v>201714</v>
      </c>
      <c r="H30" s="56" t="s">
        <v>21</v>
      </c>
      <c r="I30" s="28" t="s">
        <v>1111</v>
      </c>
      <c r="J30" s="29" t="s">
        <v>1117</v>
      </c>
      <c r="K30" s="29" t="s">
        <v>1067</v>
      </c>
      <c r="L30" s="30"/>
      <c r="M30" s="30">
        <v>20</v>
      </c>
      <c r="N30" s="36">
        <v>42832</v>
      </c>
      <c r="O30" s="32"/>
      <c r="P30" s="33" t="s">
        <v>1039</v>
      </c>
      <c r="Q30" s="34"/>
      <c r="R30" s="37" t="s">
        <v>1125</v>
      </c>
      <c r="S30" s="14" t="str">
        <f t="shared" si="4"/>
        <v>Team 3</v>
      </c>
    </row>
    <row r="31" spans="2:19" ht="25.5" x14ac:dyDescent="0.2">
      <c r="B31" s="2">
        <f t="shared" si="5"/>
        <v>201713</v>
      </c>
      <c r="C31" s="2" t="str">
        <f t="shared" si="6"/>
        <v/>
      </c>
      <c r="D31" s="2" t="str">
        <f t="shared" si="2"/>
        <v>N</v>
      </c>
      <c r="E31" s="2">
        <f t="shared" si="3"/>
        <v>1</v>
      </c>
      <c r="F31" s="2">
        <f t="shared" si="7"/>
        <v>201713</v>
      </c>
      <c r="H31" s="56" t="s">
        <v>22</v>
      </c>
      <c r="I31" s="28" t="s">
        <v>1111</v>
      </c>
      <c r="J31" s="29" t="s">
        <v>1117</v>
      </c>
      <c r="K31" s="29" t="s">
        <v>1063</v>
      </c>
      <c r="L31" s="30"/>
      <c r="M31" s="30">
        <v>100</v>
      </c>
      <c r="N31" s="36">
        <v>42825</v>
      </c>
      <c r="O31" s="32"/>
      <c r="P31" s="33" t="s">
        <v>1040</v>
      </c>
      <c r="Q31" s="34"/>
      <c r="R31" s="37" t="s">
        <v>1125</v>
      </c>
      <c r="S31" s="14" t="str">
        <f t="shared" si="4"/>
        <v>Team 1</v>
      </c>
    </row>
    <row r="32" spans="2:19" x14ac:dyDescent="0.2">
      <c r="B32" s="2">
        <f t="shared" si="5"/>
        <v>201713</v>
      </c>
      <c r="C32" s="2">
        <f t="shared" si="6"/>
        <v>201713</v>
      </c>
      <c r="D32" s="2" t="str">
        <f t="shared" si="2"/>
        <v/>
      </c>
      <c r="E32" s="2">
        <f t="shared" si="3"/>
        <v>0</v>
      </c>
      <c r="F32" s="2">
        <f t="shared" si="7"/>
        <v>201713</v>
      </c>
      <c r="H32" s="56" t="s">
        <v>23</v>
      </c>
      <c r="I32" s="28" t="s">
        <v>1111</v>
      </c>
      <c r="J32" s="29" t="s">
        <v>1117</v>
      </c>
      <c r="K32" s="29" t="s">
        <v>1063</v>
      </c>
      <c r="L32" s="30"/>
      <c r="M32" s="30">
        <v>100</v>
      </c>
      <c r="N32" s="36">
        <v>42825</v>
      </c>
      <c r="O32" s="32"/>
      <c r="P32" s="33" t="s">
        <v>1051</v>
      </c>
      <c r="Q32" s="34">
        <v>42825</v>
      </c>
      <c r="R32" s="37" t="s">
        <v>1118</v>
      </c>
      <c r="S32" s="14" t="str">
        <f t="shared" si="4"/>
        <v>Team 1</v>
      </c>
    </row>
    <row r="33" spans="2:19" ht="25.5" x14ac:dyDescent="0.2">
      <c r="B33" s="2">
        <f t="shared" si="5"/>
        <v>201713</v>
      </c>
      <c r="C33" s="2" t="str">
        <f t="shared" si="6"/>
        <v/>
      </c>
      <c r="D33" s="2" t="str">
        <f t="shared" si="2"/>
        <v>N</v>
      </c>
      <c r="E33" s="2">
        <f t="shared" si="3"/>
        <v>1</v>
      </c>
      <c r="F33" s="2">
        <f t="shared" si="7"/>
        <v>201713</v>
      </c>
      <c r="H33" s="56" t="s">
        <v>24</v>
      </c>
      <c r="I33" s="28" t="s">
        <v>1113</v>
      </c>
      <c r="J33" s="29" t="s">
        <v>1117</v>
      </c>
      <c r="K33" s="29" t="s">
        <v>1063</v>
      </c>
      <c r="L33" s="30"/>
      <c r="M33" s="30">
        <v>5</v>
      </c>
      <c r="N33" s="36">
        <v>42825</v>
      </c>
      <c r="O33" s="32"/>
      <c r="P33" s="33" t="s">
        <v>1040</v>
      </c>
      <c r="Q33" s="34"/>
      <c r="R33" s="37" t="s">
        <v>1125</v>
      </c>
      <c r="S33" s="14" t="str">
        <f t="shared" si="4"/>
        <v>Team 1</v>
      </c>
    </row>
    <row r="34" spans="2:19" ht="25.5" x14ac:dyDescent="0.2">
      <c r="B34" s="2">
        <f t="shared" si="5"/>
        <v>201713</v>
      </c>
      <c r="C34" s="2" t="str">
        <f t="shared" si="6"/>
        <v/>
      </c>
      <c r="D34" s="2" t="str">
        <f t="shared" si="2"/>
        <v>N</v>
      </c>
      <c r="E34" s="2">
        <f t="shared" si="3"/>
        <v>1</v>
      </c>
      <c r="F34" s="2">
        <f t="shared" si="7"/>
        <v>201713</v>
      </c>
      <c r="H34" s="56" t="s">
        <v>25</v>
      </c>
      <c r="I34" s="28" t="s">
        <v>1113</v>
      </c>
      <c r="J34" s="29" t="s">
        <v>1117</v>
      </c>
      <c r="K34" s="29" t="s">
        <v>1067</v>
      </c>
      <c r="L34" s="30"/>
      <c r="M34" s="30">
        <v>5</v>
      </c>
      <c r="N34" s="36">
        <v>42825</v>
      </c>
      <c r="O34" s="32"/>
      <c r="P34" s="33" t="s">
        <v>1040</v>
      </c>
      <c r="Q34" s="34"/>
      <c r="R34" s="37" t="s">
        <v>1125</v>
      </c>
      <c r="S34" s="14" t="str">
        <f t="shared" si="4"/>
        <v>Team 3</v>
      </c>
    </row>
    <row r="35" spans="2:19" ht="25.5" x14ac:dyDescent="0.2">
      <c r="B35" s="2">
        <f t="shared" si="5"/>
        <v>201713</v>
      </c>
      <c r="C35" s="2" t="str">
        <f t="shared" si="6"/>
        <v/>
      </c>
      <c r="D35" s="2" t="str">
        <f t="shared" si="2"/>
        <v>N</v>
      </c>
      <c r="E35" s="2">
        <f t="shared" si="3"/>
        <v>1</v>
      </c>
      <c r="F35" s="2">
        <f t="shared" si="7"/>
        <v>201713</v>
      </c>
      <c r="H35" s="56" t="s">
        <v>26</v>
      </c>
      <c r="I35" s="28" t="s">
        <v>1113</v>
      </c>
      <c r="J35" s="29" t="s">
        <v>1117</v>
      </c>
      <c r="K35" s="29" t="s">
        <v>1063</v>
      </c>
      <c r="L35" s="30"/>
      <c r="M35" s="30">
        <v>20</v>
      </c>
      <c r="N35" s="36">
        <v>42825</v>
      </c>
      <c r="O35" s="32"/>
      <c r="P35" s="33" t="s">
        <v>1039</v>
      </c>
      <c r="Q35" s="34"/>
      <c r="R35" s="37" t="s">
        <v>1125</v>
      </c>
      <c r="S35" s="14" t="str">
        <f t="shared" si="4"/>
        <v>Team 1</v>
      </c>
    </row>
    <row r="36" spans="2:19" x14ac:dyDescent="0.2">
      <c r="B36" s="2">
        <f t="shared" si="5"/>
        <v>201713</v>
      </c>
      <c r="C36" s="2">
        <f t="shared" si="6"/>
        <v>201713</v>
      </c>
      <c r="D36" s="2" t="str">
        <f t="shared" si="2"/>
        <v>Y</v>
      </c>
      <c r="E36" s="2">
        <f t="shared" si="3"/>
        <v>1</v>
      </c>
      <c r="F36" s="2">
        <f t="shared" si="7"/>
        <v>201713</v>
      </c>
      <c r="H36" s="56" t="s">
        <v>27</v>
      </c>
      <c r="I36" s="28" t="s">
        <v>1113</v>
      </c>
      <c r="J36" s="29" t="s">
        <v>1117</v>
      </c>
      <c r="K36" s="29" t="s">
        <v>1063</v>
      </c>
      <c r="L36" s="30"/>
      <c r="M36" s="30">
        <v>40</v>
      </c>
      <c r="N36" s="36">
        <v>42825</v>
      </c>
      <c r="O36" s="32"/>
      <c r="P36" s="33" t="s">
        <v>1041</v>
      </c>
      <c r="Q36" s="34">
        <v>42825</v>
      </c>
      <c r="R36" s="37" t="s">
        <v>1118</v>
      </c>
      <c r="S36" s="14" t="str">
        <f t="shared" si="4"/>
        <v>Team 1</v>
      </c>
    </row>
    <row r="37" spans="2:19" ht="25.5" x14ac:dyDescent="0.2">
      <c r="B37" s="2">
        <f t="shared" si="5"/>
        <v>201713</v>
      </c>
      <c r="C37" s="2" t="str">
        <f t="shared" si="6"/>
        <v/>
      </c>
      <c r="D37" s="2" t="str">
        <f t="shared" si="2"/>
        <v>N</v>
      </c>
      <c r="E37" s="2">
        <f t="shared" si="3"/>
        <v>1</v>
      </c>
      <c r="F37" s="2">
        <f t="shared" si="7"/>
        <v>201713</v>
      </c>
      <c r="H37" s="56" t="s">
        <v>28</v>
      </c>
      <c r="I37" s="28" t="s">
        <v>1113</v>
      </c>
      <c r="J37" s="29" t="s">
        <v>1117</v>
      </c>
      <c r="K37" s="29" t="s">
        <v>1063</v>
      </c>
      <c r="L37" s="30"/>
      <c r="M37" s="30">
        <v>2</v>
      </c>
      <c r="N37" s="36">
        <v>42825</v>
      </c>
      <c r="O37" s="32"/>
      <c r="P37" s="33" t="s">
        <v>1040</v>
      </c>
      <c r="Q37" s="34"/>
      <c r="R37" s="37" t="s">
        <v>1125</v>
      </c>
      <c r="S37" s="14" t="str">
        <f t="shared" si="4"/>
        <v>Team 1</v>
      </c>
    </row>
    <row r="38" spans="2:19" ht="25.5" x14ac:dyDescent="0.2">
      <c r="B38" s="2">
        <f t="shared" si="5"/>
        <v>201713</v>
      </c>
      <c r="C38" s="2" t="str">
        <f t="shared" si="6"/>
        <v/>
      </c>
      <c r="D38" s="2" t="str">
        <f t="shared" si="2"/>
        <v>N</v>
      </c>
      <c r="E38" s="2">
        <f t="shared" si="3"/>
        <v>1</v>
      </c>
      <c r="F38" s="2">
        <f t="shared" si="7"/>
        <v>201713</v>
      </c>
      <c r="H38" s="56" t="s">
        <v>29</v>
      </c>
      <c r="I38" s="28" t="s">
        <v>1111</v>
      </c>
      <c r="J38" s="29" t="s">
        <v>1117</v>
      </c>
      <c r="K38" s="29" t="s">
        <v>1063</v>
      </c>
      <c r="L38" s="30"/>
      <c r="M38" s="30">
        <v>8</v>
      </c>
      <c r="N38" s="36">
        <v>42825</v>
      </c>
      <c r="O38" s="32"/>
      <c r="P38" s="33" t="s">
        <v>1040</v>
      </c>
      <c r="Q38" s="34"/>
      <c r="R38" s="37" t="s">
        <v>1125</v>
      </c>
      <c r="S38" s="14" t="str">
        <f t="shared" si="4"/>
        <v>Team 1</v>
      </c>
    </row>
    <row r="39" spans="2:19" ht="38.25" x14ac:dyDescent="0.2">
      <c r="B39" s="2">
        <f t="shared" si="5"/>
        <v>201713</v>
      </c>
      <c r="C39" s="2" t="str">
        <f t="shared" si="6"/>
        <v/>
      </c>
      <c r="D39" s="2" t="str">
        <f t="shared" si="2"/>
        <v>N</v>
      </c>
      <c r="E39" s="2">
        <f t="shared" si="3"/>
        <v>1</v>
      </c>
      <c r="F39" s="2">
        <f t="shared" si="7"/>
        <v>201713</v>
      </c>
      <c r="H39" s="56" t="s">
        <v>30</v>
      </c>
      <c r="I39" s="28" t="s">
        <v>1112</v>
      </c>
      <c r="J39" s="29" t="s">
        <v>1123</v>
      </c>
      <c r="K39" s="29" t="s">
        <v>1065</v>
      </c>
      <c r="L39" s="30"/>
      <c r="M39" s="30">
        <v>13</v>
      </c>
      <c r="N39" s="36">
        <v>42824</v>
      </c>
      <c r="O39" s="32"/>
      <c r="P39" s="33" t="s">
        <v>1040</v>
      </c>
      <c r="Q39" s="34"/>
      <c r="R39" s="37" t="s">
        <v>1120</v>
      </c>
      <c r="S39" s="14" t="str">
        <f t="shared" si="4"/>
        <v>Team 2</v>
      </c>
    </row>
    <row r="40" spans="2:19" x14ac:dyDescent="0.2">
      <c r="B40" s="2">
        <f t="shared" si="5"/>
        <v>201713</v>
      </c>
      <c r="C40" s="2">
        <f t="shared" si="6"/>
        <v>201713</v>
      </c>
      <c r="D40" s="2" t="str">
        <f t="shared" si="2"/>
        <v>Y</v>
      </c>
      <c r="E40" s="2">
        <f t="shared" si="3"/>
        <v>1</v>
      </c>
      <c r="F40" s="2">
        <f t="shared" si="7"/>
        <v>201713</v>
      </c>
      <c r="H40" s="56" t="s">
        <v>31</v>
      </c>
      <c r="I40" s="28" t="s">
        <v>1113</v>
      </c>
      <c r="J40" s="29" t="s">
        <v>1117</v>
      </c>
      <c r="K40" s="29" t="s">
        <v>1063</v>
      </c>
      <c r="L40" s="30"/>
      <c r="M40" s="30">
        <v>20</v>
      </c>
      <c r="N40" s="36">
        <v>42825</v>
      </c>
      <c r="O40" s="32"/>
      <c r="P40" s="33" t="s">
        <v>1041</v>
      </c>
      <c r="Q40" s="34">
        <v>42825</v>
      </c>
      <c r="R40" s="37" t="s">
        <v>1118</v>
      </c>
      <c r="S40" s="14" t="str">
        <f t="shared" si="4"/>
        <v>Team 1</v>
      </c>
    </row>
    <row r="41" spans="2:19" ht="25.5" x14ac:dyDescent="0.2">
      <c r="B41" s="2">
        <f t="shared" si="5"/>
        <v>201713</v>
      </c>
      <c r="C41" s="2" t="str">
        <f t="shared" si="6"/>
        <v/>
      </c>
      <c r="D41" s="2" t="str">
        <f t="shared" si="2"/>
        <v>N</v>
      </c>
      <c r="E41" s="2">
        <f t="shared" si="3"/>
        <v>1</v>
      </c>
      <c r="F41" s="2">
        <f t="shared" si="7"/>
        <v>201713</v>
      </c>
      <c r="H41" s="56" t="s">
        <v>32</v>
      </c>
      <c r="I41" s="28" t="s">
        <v>1113</v>
      </c>
      <c r="J41" s="29" t="s">
        <v>1117</v>
      </c>
      <c r="K41" s="29" t="s">
        <v>1063</v>
      </c>
      <c r="L41" s="30"/>
      <c r="M41" s="30">
        <v>40</v>
      </c>
      <c r="N41" s="36">
        <v>42825</v>
      </c>
      <c r="O41" s="32"/>
      <c r="P41" s="33" t="s">
        <v>1040</v>
      </c>
      <c r="Q41" s="34"/>
      <c r="R41" s="37" t="s">
        <v>1125</v>
      </c>
      <c r="S41" s="14" t="str">
        <f t="shared" si="4"/>
        <v>Team 1</v>
      </c>
    </row>
    <row r="42" spans="2:19" ht="38.25" x14ac:dyDescent="0.2">
      <c r="B42" s="2">
        <f t="shared" si="5"/>
        <v>201718</v>
      </c>
      <c r="C42" s="2" t="str">
        <f t="shared" si="6"/>
        <v/>
      </c>
      <c r="D42" s="2" t="str">
        <f t="shared" si="2"/>
        <v>Y</v>
      </c>
      <c r="E42" s="2">
        <f t="shared" si="3"/>
        <v>1</v>
      </c>
      <c r="F42" s="2">
        <f t="shared" si="7"/>
        <v>201718</v>
      </c>
      <c r="H42" s="56" t="s">
        <v>33</v>
      </c>
      <c r="I42" s="28" t="s">
        <v>1112</v>
      </c>
      <c r="J42" s="29" t="s">
        <v>1123</v>
      </c>
      <c r="K42" s="29" t="s">
        <v>1065</v>
      </c>
      <c r="L42" s="30"/>
      <c r="M42" s="30">
        <v>100</v>
      </c>
      <c r="N42" s="36">
        <v>42855</v>
      </c>
      <c r="O42" s="32"/>
      <c r="P42" s="33" t="s">
        <v>1043</v>
      </c>
      <c r="Q42" s="34"/>
      <c r="R42" s="35" t="s">
        <v>1120</v>
      </c>
      <c r="S42" s="14" t="str">
        <f t="shared" si="4"/>
        <v>Team 2</v>
      </c>
    </row>
    <row r="43" spans="2:19" ht="25.5" x14ac:dyDescent="0.2">
      <c r="B43" s="2">
        <f t="shared" si="5"/>
        <v>201713</v>
      </c>
      <c r="C43" s="2" t="str">
        <f t="shared" si="6"/>
        <v/>
      </c>
      <c r="D43" s="2" t="str">
        <f t="shared" si="2"/>
        <v>N</v>
      </c>
      <c r="E43" s="2">
        <f t="shared" si="3"/>
        <v>1</v>
      </c>
      <c r="F43" s="2">
        <f t="shared" si="7"/>
        <v>201713</v>
      </c>
      <c r="H43" s="56" t="s">
        <v>34</v>
      </c>
      <c r="I43" s="28" t="s">
        <v>1113</v>
      </c>
      <c r="J43" s="29" t="s">
        <v>1117</v>
      </c>
      <c r="K43" s="29" t="s">
        <v>1063</v>
      </c>
      <c r="L43" s="30"/>
      <c r="M43" s="30">
        <v>20</v>
      </c>
      <c r="N43" s="36">
        <v>42825</v>
      </c>
      <c r="O43" s="32"/>
      <c r="P43" s="33" t="s">
        <v>1039</v>
      </c>
      <c r="Q43" s="34"/>
      <c r="R43" s="35" t="s">
        <v>1125</v>
      </c>
      <c r="S43" s="14" t="str">
        <f t="shared" si="4"/>
        <v>Team 1</v>
      </c>
    </row>
    <row r="44" spans="2:19" ht="25.5" x14ac:dyDescent="0.2">
      <c r="B44" s="2">
        <f t="shared" si="5"/>
        <v>201719</v>
      </c>
      <c r="C44" s="2" t="str">
        <f t="shared" si="6"/>
        <v/>
      </c>
      <c r="D44" s="2" t="str">
        <f t="shared" si="2"/>
        <v>Y</v>
      </c>
      <c r="E44" s="2">
        <f t="shared" si="3"/>
        <v>0</v>
      </c>
      <c r="F44" s="2">
        <f t="shared" si="7"/>
        <v>201719</v>
      </c>
      <c r="H44" s="56" t="s">
        <v>35</v>
      </c>
      <c r="I44" s="28" t="s">
        <v>1112</v>
      </c>
      <c r="J44" s="29" t="s">
        <v>1121</v>
      </c>
      <c r="K44" s="29" t="s">
        <v>1065</v>
      </c>
      <c r="L44" s="30"/>
      <c r="M44" s="30">
        <v>2</v>
      </c>
      <c r="N44" s="36">
        <v>42867</v>
      </c>
      <c r="O44" s="32"/>
      <c r="P44" s="33"/>
      <c r="Q44" s="34"/>
      <c r="R44" s="35" t="s">
        <v>1122</v>
      </c>
      <c r="S44" s="14" t="str">
        <f t="shared" si="4"/>
        <v>Team 2</v>
      </c>
    </row>
    <row r="45" spans="2:19" ht="25.5" x14ac:dyDescent="0.2">
      <c r="B45" s="2">
        <f t="shared" si="5"/>
        <v>201713</v>
      </c>
      <c r="C45" s="2" t="str">
        <f t="shared" si="6"/>
        <v/>
      </c>
      <c r="D45" s="2" t="str">
        <f t="shared" si="2"/>
        <v>N</v>
      </c>
      <c r="E45" s="2">
        <f t="shared" si="3"/>
        <v>1</v>
      </c>
      <c r="F45" s="2">
        <f t="shared" si="7"/>
        <v>201713</v>
      </c>
      <c r="H45" s="56" t="s">
        <v>36</v>
      </c>
      <c r="I45" s="28" t="s">
        <v>1111</v>
      </c>
      <c r="J45" s="29" t="s">
        <v>1117</v>
      </c>
      <c r="K45" s="29" t="s">
        <v>1063</v>
      </c>
      <c r="L45" s="30"/>
      <c r="M45" s="30">
        <v>8</v>
      </c>
      <c r="N45" s="36">
        <v>42825</v>
      </c>
      <c r="O45" s="32"/>
      <c r="P45" s="33" t="s">
        <v>1040</v>
      </c>
      <c r="Q45" s="34"/>
      <c r="R45" s="35" t="s">
        <v>1125</v>
      </c>
      <c r="S45" s="14" t="str">
        <f t="shared" si="4"/>
        <v>Team 1</v>
      </c>
    </row>
    <row r="46" spans="2:19" ht="25.5" x14ac:dyDescent="0.2">
      <c r="B46" s="2">
        <f t="shared" si="5"/>
        <v>201713</v>
      </c>
      <c r="C46" s="2" t="str">
        <f t="shared" si="6"/>
        <v/>
      </c>
      <c r="D46" s="2" t="str">
        <f t="shared" si="2"/>
        <v>N</v>
      </c>
      <c r="E46" s="2">
        <f t="shared" si="3"/>
        <v>1</v>
      </c>
      <c r="F46" s="2">
        <f t="shared" si="7"/>
        <v>201713</v>
      </c>
      <c r="H46" s="56" t="s">
        <v>37</v>
      </c>
      <c r="I46" s="28" t="s">
        <v>1113</v>
      </c>
      <c r="J46" s="29" t="s">
        <v>1117</v>
      </c>
      <c r="K46" s="29" t="s">
        <v>1063</v>
      </c>
      <c r="L46" s="30"/>
      <c r="M46" s="30">
        <v>2</v>
      </c>
      <c r="N46" s="36">
        <v>42825</v>
      </c>
      <c r="O46" s="32"/>
      <c r="P46" s="33" t="s">
        <v>1040</v>
      </c>
      <c r="Q46" s="34"/>
      <c r="R46" s="35" t="s">
        <v>1125</v>
      </c>
      <c r="S46" s="14" t="str">
        <f t="shared" si="4"/>
        <v>Team 1</v>
      </c>
    </row>
    <row r="47" spans="2:19" ht="38.25" x14ac:dyDescent="0.2">
      <c r="B47" s="2">
        <f t="shared" si="5"/>
        <v>201718</v>
      </c>
      <c r="C47" s="2" t="str">
        <f t="shared" si="6"/>
        <v/>
      </c>
      <c r="D47" s="2" t="str">
        <f t="shared" si="2"/>
        <v>Y</v>
      </c>
      <c r="E47" s="2">
        <f t="shared" si="3"/>
        <v>1</v>
      </c>
      <c r="F47" s="2">
        <f t="shared" si="7"/>
        <v>201718</v>
      </c>
      <c r="H47" s="56" t="s">
        <v>38</v>
      </c>
      <c r="I47" s="28" t="s">
        <v>1112</v>
      </c>
      <c r="J47" s="29" t="s">
        <v>1123</v>
      </c>
      <c r="K47" s="29" t="s">
        <v>1065</v>
      </c>
      <c r="L47" s="30"/>
      <c r="M47" s="30">
        <v>100</v>
      </c>
      <c r="N47" s="36">
        <v>42855</v>
      </c>
      <c r="O47" s="32"/>
      <c r="P47" s="33" t="s">
        <v>1043</v>
      </c>
      <c r="Q47" s="34"/>
      <c r="R47" s="35" t="s">
        <v>1120</v>
      </c>
      <c r="S47" s="14" t="str">
        <f t="shared" si="4"/>
        <v>Team 2</v>
      </c>
    </row>
    <row r="48" spans="2:19" x14ac:dyDescent="0.2">
      <c r="B48" s="2" t="str">
        <f t="shared" si="5"/>
        <v/>
      </c>
      <c r="C48" s="2" t="str">
        <f t="shared" si="6"/>
        <v/>
      </c>
      <c r="D48" s="2" t="str">
        <f t="shared" si="2"/>
        <v>Y</v>
      </c>
      <c r="E48" s="2">
        <f t="shared" si="3"/>
        <v>0</v>
      </c>
      <c r="F48" s="2" t="str">
        <f t="shared" si="7"/>
        <v/>
      </c>
      <c r="H48" s="56" t="s">
        <v>51</v>
      </c>
      <c r="I48" s="28"/>
      <c r="J48" s="29"/>
      <c r="K48" s="29"/>
      <c r="L48" s="30"/>
      <c r="M48" s="30"/>
      <c r="N48" s="36"/>
      <c r="O48" s="32"/>
      <c r="P48" s="33"/>
      <c r="Q48" s="34"/>
      <c r="R48" s="37"/>
      <c r="S48" s="14" t="str">
        <f t="shared" si="4"/>
        <v/>
      </c>
    </row>
    <row r="49" spans="2:19" x14ac:dyDescent="0.2">
      <c r="B49" s="2" t="str">
        <f t="shared" si="5"/>
        <v/>
      </c>
      <c r="C49" s="2" t="str">
        <f t="shared" si="6"/>
        <v/>
      </c>
      <c r="D49" s="2" t="str">
        <f t="shared" si="2"/>
        <v>Y</v>
      </c>
      <c r="E49" s="2">
        <f t="shared" si="3"/>
        <v>0</v>
      </c>
      <c r="F49" s="2" t="str">
        <f t="shared" si="7"/>
        <v/>
      </c>
      <c r="H49" s="56" t="s">
        <v>39</v>
      </c>
      <c r="I49" s="28"/>
      <c r="J49" s="29"/>
      <c r="K49" s="29"/>
      <c r="L49" s="30"/>
      <c r="M49" s="30"/>
      <c r="N49" s="36"/>
      <c r="O49" s="32"/>
      <c r="P49" s="33"/>
      <c r="Q49" s="34"/>
      <c r="R49" s="37"/>
      <c r="S49" s="14" t="str">
        <f t="shared" si="4"/>
        <v/>
      </c>
    </row>
    <row r="50" spans="2:19" x14ac:dyDescent="0.2">
      <c r="B50" s="2" t="str">
        <f t="shared" si="5"/>
        <v/>
      </c>
      <c r="C50" s="2" t="str">
        <f t="shared" si="6"/>
        <v/>
      </c>
      <c r="D50" s="2" t="str">
        <f t="shared" si="2"/>
        <v>Y</v>
      </c>
      <c r="E50" s="2">
        <f t="shared" si="3"/>
        <v>0</v>
      </c>
      <c r="F50" s="2" t="str">
        <f t="shared" si="7"/>
        <v/>
      </c>
      <c r="H50" s="56" t="s">
        <v>40</v>
      </c>
      <c r="I50" s="28"/>
      <c r="J50" s="29"/>
      <c r="K50" s="29"/>
      <c r="L50" s="30"/>
      <c r="M50" s="30"/>
      <c r="N50" s="36"/>
      <c r="O50" s="32"/>
      <c r="P50" s="33"/>
      <c r="Q50" s="34"/>
      <c r="R50" s="37"/>
      <c r="S50" s="14" t="str">
        <f t="shared" si="4"/>
        <v/>
      </c>
    </row>
    <row r="51" spans="2:19" x14ac:dyDescent="0.2">
      <c r="B51" s="2" t="str">
        <f t="shared" si="5"/>
        <v/>
      </c>
      <c r="C51" s="2" t="str">
        <f t="shared" si="6"/>
        <v/>
      </c>
      <c r="D51" s="2" t="str">
        <f t="shared" si="2"/>
        <v>Y</v>
      </c>
      <c r="E51" s="2">
        <f t="shared" si="3"/>
        <v>0</v>
      </c>
      <c r="F51" s="2" t="str">
        <f t="shared" si="7"/>
        <v/>
      </c>
      <c r="H51" s="56" t="s">
        <v>41</v>
      </c>
      <c r="I51" s="28"/>
      <c r="J51" s="29"/>
      <c r="K51" s="29"/>
      <c r="L51" s="30"/>
      <c r="M51" s="30"/>
      <c r="N51" s="36"/>
      <c r="O51" s="32"/>
      <c r="P51" s="33"/>
      <c r="Q51" s="34"/>
      <c r="R51" s="37"/>
      <c r="S51" s="14" t="str">
        <f t="shared" si="4"/>
        <v/>
      </c>
    </row>
    <row r="52" spans="2:19" x14ac:dyDescent="0.2">
      <c r="B52" s="2" t="str">
        <f t="shared" si="5"/>
        <v/>
      </c>
      <c r="C52" s="2" t="str">
        <f t="shared" si="6"/>
        <v/>
      </c>
      <c r="D52" s="2" t="str">
        <f t="shared" si="2"/>
        <v>Y</v>
      </c>
      <c r="E52" s="2">
        <f t="shared" si="3"/>
        <v>0</v>
      </c>
      <c r="F52" s="2" t="str">
        <f t="shared" si="7"/>
        <v/>
      </c>
      <c r="H52" s="56" t="s">
        <v>42</v>
      </c>
      <c r="I52" s="28"/>
      <c r="J52" s="29"/>
      <c r="K52" s="29"/>
      <c r="L52" s="30"/>
      <c r="M52" s="30"/>
      <c r="N52" s="36"/>
      <c r="O52" s="32"/>
      <c r="P52" s="33"/>
      <c r="Q52" s="34"/>
      <c r="R52" s="35"/>
      <c r="S52" s="14" t="str">
        <f t="shared" si="4"/>
        <v/>
      </c>
    </row>
    <row r="53" spans="2:19" x14ac:dyDescent="0.2">
      <c r="B53" s="2" t="str">
        <f t="shared" si="5"/>
        <v/>
      </c>
      <c r="C53" s="2" t="str">
        <f t="shared" si="6"/>
        <v/>
      </c>
      <c r="D53" s="2" t="str">
        <f t="shared" si="2"/>
        <v>Y</v>
      </c>
      <c r="E53" s="2">
        <f t="shared" si="3"/>
        <v>0</v>
      </c>
      <c r="F53" s="2" t="str">
        <f t="shared" si="7"/>
        <v/>
      </c>
      <c r="H53" s="56" t="s">
        <v>43</v>
      </c>
      <c r="I53" s="28"/>
      <c r="J53" s="29"/>
      <c r="K53" s="29"/>
      <c r="L53" s="30"/>
      <c r="M53" s="30"/>
      <c r="N53" s="36"/>
      <c r="O53" s="32"/>
      <c r="P53" s="33"/>
      <c r="Q53" s="34"/>
      <c r="R53" s="37"/>
      <c r="S53" s="14" t="str">
        <f t="shared" si="4"/>
        <v/>
      </c>
    </row>
    <row r="54" spans="2:19" x14ac:dyDescent="0.2">
      <c r="B54" s="2" t="str">
        <f t="shared" si="5"/>
        <v/>
      </c>
      <c r="C54" s="2" t="str">
        <f t="shared" si="6"/>
        <v/>
      </c>
      <c r="D54" s="2" t="str">
        <f t="shared" si="2"/>
        <v>Y</v>
      </c>
      <c r="E54" s="2">
        <f t="shared" si="3"/>
        <v>0</v>
      </c>
      <c r="F54" s="2" t="str">
        <f t="shared" si="7"/>
        <v/>
      </c>
      <c r="H54" s="56" t="s">
        <v>44</v>
      </c>
      <c r="I54" s="28"/>
      <c r="J54" s="29"/>
      <c r="K54" s="29"/>
      <c r="L54" s="30"/>
      <c r="M54" s="30"/>
      <c r="N54" s="36"/>
      <c r="O54" s="32"/>
      <c r="P54" s="38"/>
      <c r="Q54" s="34"/>
      <c r="R54" s="35"/>
      <c r="S54" s="14" t="str">
        <f t="shared" si="4"/>
        <v/>
      </c>
    </row>
    <row r="55" spans="2:19" x14ac:dyDescent="0.2">
      <c r="B55" s="2" t="str">
        <f t="shared" si="5"/>
        <v/>
      </c>
      <c r="C55" s="2" t="str">
        <f t="shared" si="6"/>
        <v/>
      </c>
      <c r="D55" s="2" t="str">
        <f t="shared" si="2"/>
        <v>Y</v>
      </c>
      <c r="E55" s="2">
        <f t="shared" si="3"/>
        <v>0</v>
      </c>
      <c r="F55" s="2" t="str">
        <f t="shared" si="7"/>
        <v/>
      </c>
      <c r="H55" s="56" t="s">
        <v>45</v>
      </c>
      <c r="I55" s="28"/>
      <c r="J55" s="29"/>
      <c r="K55" s="29"/>
      <c r="L55" s="30"/>
      <c r="M55" s="30"/>
      <c r="N55" s="36"/>
      <c r="O55" s="32"/>
      <c r="P55" s="33"/>
      <c r="Q55" s="34"/>
      <c r="R55" s="37"/>
      <c r="S55" s="14" t="str">
        <f t="shared" si="4"/>
        <v/>
      </c>
    </row>
    <row r="56" spans="2:19" x14ac:dyDescent="0.2">
      <c r="B56" s="2" t="str">
        <f t="shared" si="5"/>
        <v/>
      </c>
      <c r="C56" s="2" t="str">
        <f t="shared" si="6"/>
        <v/>
      </c>
      <c r="D56" s="2" t="str">
        <f t="shared" si="2"/>
        <v>Y</v>
      </c>
      <c r="E56" s="2">
        <f t="shared" si="3"/>
        <v>0</v>
      </c>
      <c r="F56" s="2" t="str">
        <f t="shared" si="7"/>
        <v/>
      </c>
      <c r="H56" s="56" t="s">
        <v>46</v>
      </c>
      <c r="I56" s="28"/>
      <c r="J56" s="29"/>
      <c r="K56" s="29"/>
      <c r="L56" s="30"/>
      <c r="M56" s="30"/>
      <c r="N56" s="36"/>
      <c r="O56" s="32"/>
      <c r="P56" s="33"/>
      <c r="Q56" s="34"/>
      <c r="R56" s="37"/>
      <c r="S56" s="14" t="str">
        <f t="shared" si="4"/>
        <v/>
      </c>
    </row>
    <row r="57" spans="2:19" x14ac:dyDescent="0.2">
      <c r="B57" s="2" t="str">
        <f t="shared" si="5"/>
        <v/>
      </c>
      <c r="C57" s="2" t="str">
        <f t="shared" si="6"/>
        <v/>
      </c>
      <c r="D57" s="2" t="str">
        <f t="shared" si="2"/>
        <v>Y</v>
      </c>
      <c r="E57" s="2">
        <f t="shared" si="3"/>
        <v>0</v>
      </c>
      <c r="F57" s="2" t="str">
        <f t="shared" si="7"/>
        <v/>
      </c>
      <c r="H57" s="56" t="s">
        <v>47</v>
      </c>
      <c r="I57" s="28"/>
      <c r="J57" s="29"/>
      <c r="K57" s="29"/>
      <c r="L57" s="30"/>
      <c r="M57" s="30"/>
      <c r="N57" s="36"/>
      <c r="O57" s="32"/>
      <c r="P57" s="33"/>
      <c r="Q57" s="34"/>
      <c r="R57" s="37"/>
      <c r="S57" s="14" t="str">
        <f t="shared" si="4"/>
        <v/>
      </c>
    </row>
    <row r="58" spans="2:19" x14ac:dyDescent="0.2">
      <c r="B58" s="2" t="str">
        <f t="shared" si="5"/>
        <v/>
      </c>
      <c r="C58" s="2" t="str">
        <f t="shared" si="6"/>
        <v/>
      </c>
      <c r="D58" s="2" t="str">
        <f t="shared" si="2"/>
        <v>Y</v>
      </c>
      <c r="E58" s="2">
        <f t="shared" si="3"/>
        <v>0</v>
      </c>
      <c r="F58" s="2" t="str">
        <f t="shared" si="7"/>
        <v/>
      </c>
      <c r="H58" s="56" t="s">
        <v>48</v>
      </c>
      <c r="I58" s="28"/>
      <c r="J58" s="29"/>
      <c r="K58" s="29"/>
      <c r="L58" s="30"/>
      <c r="M58" s="30"/>
      <c r="N58" s="36"/>
      <c r="O58" s="32"/>
      <c r="P58" s="33"/>
      <c r="Q58" s="34"/>
      <c r="R58" s="37"/>
      <c r="S58" s="14" t="str">
        <f t="shared" si="4"/>
        <v/>
      </c>
    </row>
    <row r="59" spans="2:19" x14ac:dyDescent="0.2">
      <c r="B59" s="2" t="str">
        <f t="shared" si="5"/>
        <v/>
      </c>
      <c r="C59" s="2" t="str">
        <f t="shared" si="6"/>
        <v/>
      </c>
      <c r="D59" s="2" t="str">
        <f t="shared" si="2"/>
        <v>Y</v>
      </c>
      <c r="E59" s="2">
        <f t="shared" si="3"/>
        <v>0</v>
      </c>
      <c r="F59" s="2" t="str">
        <f t="shared" si="7"/>
        <v/>
      </c>
      <c r="H59" s="56" t="s">
        <v>49</v>
      </c>
      <c r="I59" s="28"/>
      <c r="J59" s="29"/>
      <c r="K59" s="29"/>
      <c r="L59" s="30"/>
      <c r="M59" s="30"/>
      <c r="N59" s="36"/>
      <c r="O59" s="32"/>
      <c r="P59" s="33"/>
      <c r="Q59" s="34"/>
      <c r="R59" s="37"/>
      <c r="S59" s="14" t="str">
        <f t="shared" si="4"/>
        <v/>
      </c>
    </row>
    <row r="60" spans="2:19" x14ac:dyDescent="0.2">
      <c r="B60" s="2" t="str">
        <f t="shared" si="5"/>
        <v/>
      </c>
      <c r="C60" s="2" t="str">
        <f t="shared" si="6"/>
        <v/>
      </c>
      <c r="D60" s="2" t="str">
        <f t="shared" si="2"/>
        <v>Y</v>
      </c>
      <c r="E60" s="2">
        <f t="shared" si="3"/>
        <v>0</v>
      </c>
      <c r="F60" s="2" t="str">
        <f t="shared" si="7"/>
        <v/>
      </c>
      <c r="H60" s="56" t="s">
        <v>50</v>
      </c>
      <c r="I60" s="28"/>
      <c r="J60" s="29"/>
      <c r="K60" s="29"/>
      <c r="L60" s="30"/>
      <c r="M60" s="30"/>
      <c r="N60" s="36"/>
      <c r="O60" s="32"/>
      <c r="P60" s="33"/>
      <c r="Q60" s="34"/>
      <c r="R60" s="37"/>
      <c r="S60" s="14" t="str">
        <f t="shared" si="4"/>
        <v/>
      </c>
    </row>
    <row r="61" spans="2:19" x14ac:dyDescent="0.2">
      <c r="B61" s="2" t="str">
        <f t="shared" si="5"/>
        <v/>
      </c>
      <c r="C61" s="2" t="str">
        <f t="shared" si="6"/>
        <v/>
      </c>
      <c r="D61" s="2" t="str">
        <f t="shared" si="2"/>
        <v>Y</v>
      </c>
      <c r="E61" s="2">
        <f t="shared" si="3"/>
        <v>0</v>
      </c>
      <c r="F61" s="2" t="str">
        <f t="shared" si="7"/>
        <v/>
      </c>
      <c r="H61" s="56" t="s">
        <v>52</v>
      </c>
      <c r="I61" s="28"/>
      <c r="J61" s="29"/>
      <c r="K61" s="29"/>
      <c r="L61" s="30"/>
      <c r="M61" s="30"/>
      <c r="N61" s="36"/>
      <c r="O61" s="32"/>
      <c r="P61" s="33"/>
      <c r="Q61" s="34"/>
      <c r="R61" s="37"/>
      <c r="S61" s="14" t="str">
        <f t="shared" si="4"/>
        <v/>
      </c>
    </row>
    <row r="62" spans="2:19" x14ac:dyDescent="0.2">
      <c r="B62" s="2" t="str">
        <f t="shared" si="5"/>
        <v/>
      </c>
      <c r="C62" s="2" t="str">
        <f t="shared" si="6"/>
        <v/>
      </c>
      <c r="D62" s="2" t="str">
        <f t="shared" si="2"/>
        <v>Y</v>
      </c>
      <c r="E62" s="2">
        <f t="shared" si="3"/>
        <v>0</v>
      </c>
      <c r="F62" s="2" t="str">
        <f t="shared" si="7"/>
        <v/>
      </c>
      <c r="H62" s="56" t="s">
        <v>53</v>
      </c>
      <c r="I62" s="28"/>
      <c r="J62" s="29"/>
      <c r="K62" s="29"/>
      <c r="L62" s="30"/>
      <c r="M62" s="30"/>
      <c r="N62" s="36"/>
      <c r="O62" s="32"/>
      <c r="P62" s="33"/>
      <c r="Q62" s="34"/>
      <c r="R62" s="37"/>
      <c r="S62" s="14" t="str">
        <f t="shared" si="4"/>
        <v/>
      </c>
    </row>
    <row r="63" spans="2:19" x14ac:dyDescent="0.2">
      <c r="B63" s="2" t="str">
        <f t="shared" si="5"/>
        <v/>
      </c>
      <c r="C63" s="2" t="str">
        <f t="shared" si="6"/>
        <v/>
      </c>
      <c r="D63" s="2" t="str">
        <f t="shared" si="2"/>
        <v>Y</v>
      </c>
      <c r="E63" s="2">
        <f t="shared" si="3"/>
        <v>0</v>
      </c>
      <c r="F63" s="2" t="str">
        <f t="shared" si="7"/>
        <v/>
      </c>
      <c r="H63" s="56" t="s">
        <v>54</v>
      </c>
      <c r="I63" s="28"/>
      <c r="J63" s="29"/>
      <c r="K63" s="29"/>
      <c r="L63" s="30"/>
      <c r="M63" s="30"/>
      <c r="N63" s="36"/>
      <c r="O63" s="32"/>
      <c r="P63" s="33"/>
      <c r="Q63" s="34"/>
      <c r="R63" s="37"/>
      <c r="S63" s="14" t="str">
        <f t="shared" si="4"/>
        <v/>
      </c>
    </row>
    <row r="64" spans="2:19" x14ac:dyDescent="0.2">
      <c r="B64" s="2" t="str">
        <f t="shared" si="5"/>
        <v/>
      </c>
      <c r="C64" s="2" t="str">
        <f t="shared" si="6"/>
        <v/>
      </c>
      <c r="D64" s="2" t="str">
        <f t="shared" si="2"/>
        <v>Y</v>
      </c>
      <c r="E64" s="2">
        <f t="shared" si="3"/>
        <v>0</v>
      </c>
      <c r="F64" s="2" t="str">
        <f t="shared" si="7"/>
        <v/>
      </c>
      <c r="H64" s="56" t="s">
        <v>55</v>
      </c>
      <c r="I64" s="28"/>
      <c r="J64" s="29"/>
      <c r="K64" s="29"/>
      <c r="L64" s="30"/>
      <c r="M64" s="30"/>
      <c r="N64" s="36"/>
      <c r="O64" s="32"/>
      <c r="P64" s="33"/>
      <c r="Q64" s="34"/>
      <c r="R64" s="37"/>
      <c r="S64" s="14" t="str">
        <f t="shared" si="4"/>
        <v/>
      </c>
    </row>
    <row r="65" spans="2:19" x14ac:dyDescent="0.2">
      <c r="B65" s="2" t="str">
        <f t="shared" si="5"/>
        <v/>
      </c>
      <c r="C65" s="2" t="str">
        <f t="shared" si="6"/>
        <v/>
      </c>
      <c r="D65" s="2" t="str">
        <f t="shared" si="2"/>
        <v>Y</v>
      </c>
      <c r="E65" s="2">
        <f t="shared" si="3"/>
        <v>0</v>
      </c>
      <c r="F65" s="2" t="str">
        <f t="shared" si="7"/>
        <v/>
      </c>
      <c r="H65" s="56" t="s">
        <v>56</v>
      </c>
      <c r="I65" s="28"/>
      <c r="J65" s="29"/>
      <c r="K65" s="29"/>
      <c r="L65" s="30"/>
      <c r="M65" s="30"/>
      <c r="N65" s="36"/>
      <c r="O65" s="32"/>
      <c r="P65" s="33"/>
      <c r="Q65" s="34"/>
      <c r="R65" s="37"/>
      <c r="S65" s="14" t="str">
        <f t="shared" si="4"/>
        <v/>
      </c>
    </row>
    <row r="66" spans="2:19" x14ac:dyDescent="0.2">
      <c r="B66" s="2" t="str">
        <f t="shared" si="5"/>
        <v/>
      </c>
      <c r="C66" s="2" t="str">
        <f t="shared" si="6"/>
        <v/>
      </c>
      <c r="D66" s="2" t="str">
        <f t="shared" si="2"/>
        <v>Y</v>
      </c>
      <c r="E66" s="2">
        <f t="shared" si="3"/>
        <v>0</v>
      </c>
      <c r="F66" s="2" t="str">
        <f t="shared" si="7"/>
        <v/>
      </c>
      <c r="H66" s="56" t="s">
        <v>57</v>
      </c>
      <c r="I66" s="28"/>
      <c r="J66" s="29"/>
      <c r="K66" s="29"/>
      <c r="L66" s="30"/>
      <c r="M66" s="30"/>
      <c r="N66" s="36"/>
      <c r="O66" s="32"/>
      <c r="P66" s="33"/>
      <c r="Q66" s="34"/>
      <c r="R66" s="37"/>
      <c r="S66" s="14" t="str">
        <f t="shared" si="4"/>
        <v/>
      </c>
    </row>
    <row r="67" spans="2:19" x14ac:dyDescent="0.2">
      <c r="B67" s="2" t="str">
        <f t="shared" si="5"/>
        <v/>
      </c>
      <c r="C67" s="2" t="str">
        <f t="shared" si="6"/>
        <v/>
      </c>
      <c r="D67" s="2" t="str">
        <f t="shared" si="2"/>
        <v>Y</v>
      </c>
      <c r="E67" s="2">
        <f t="shared" si="3"/>
        <v>0</v>
      </c>
      <c r="F67" s="2" t="str">
        <f t="shared" si="7"/>
        <v/>
      </c>
      <c r="H67" s="56" t="s">
        <v>58</v>
      </c>
      <c r="I67" s="28"/>
      <c r="J67" s="29"/>
      <c r="K67" s="29"/>
      <c r="L67" s="30"/>
      <c r="M67" s="30"/>
      <c r="N67" s="36"/>
      <c r="O67" s="32"/>
      <c r="P67" s="33"/>
      <c r="Q67" s="34"/>
      <c r="R67" s="37"/>
      <c r="S67" s="14" t="str">
        <f t="shared" si="4"/>
        <v/>
      </c>
    </row>
    <row r="68" spans="2:19" x14ac:dyDescent="0.2">
      <c r="B68" s="2" t="str">
        <f t="shared" si="5"/>
        <v/>
      </c>
      <c r="C68" s="2" t="str">
        <f t="shared" si="6"/>
        <v/>
      </c>
      <c r="D68" s="2" t="str">
        <f t="shared" si="2"/>
        <v>Y</v>
      </c>
      <c r="E68" s="2">
        <f t="shared" si="3"/>
        <v>0</v>
      </c>
      <c r="F68" s="2" t="str">
        <f t="shared" si="7"/>
        <v/>
      </c>
      <c r="H68" s="56" t="s">
        <v>59</v>
      </c>
      <c r="I68" s="28"/>
      <c r="J68" s="29"/>
      <c r="K68" s="29"/>
      <c r="L68" s="30"/>
      <c r="M68" s="30"/>
      <c r="N68" s="36"/>
      <c r="O68" s="32"/>
      <c r="P68" s="33"/>
      <c r="Q68" s="34"/>
      <c r="R68" s="37"/>
      <c r="S68" s="14" t="str">
        <f t="shared" si="4"/>
        <v/>
      </c>
    </row>
    <row r="69" spans="2:19" x14ac:dyDescent="0.2">
      <c r="B69" s="2" t="str">
        <f t="shared" si="5"/>
        <v/>
      </c>
      <c r="C69" s="2" t="str">
        <f t="shared" si="6"/>
        <v/>
      </c>
      <c r="D69" s="2" t="str">
        <f t="shared" si="2"/>
        <v>Y</v>
      </c>
      <c r="E69" s="2">
        <f t="shared" si="3"/>
        <v>0</v>
      </c>
      <c r="F69" s="2" t="str">
        <f t="shared" si="7"/>
        <v/>
      </c>
      <c r="H69" s="56" t="s">
        <v>60</v>
      </c>
      <c r="I69" s="28"/>
      <c r="J69" s="29"/>
      <c r="K69" s="29"/>
      <c r="L69" s="30"/>
      <c r="M69" s="30"/>
      <c r="N69" s="36"/>
      <c r="O69" s="32"/>
      <c r="P69" s="33"/>
      <c r="Q69" s="34"/>
      <c r="R69" s="37"/>
      <c r="S69" s="14" t="str">
        <f t="shared" si="4"/>
        <v/>
      </c>
    </row>
    <row r="70" spans="2:19" x14ac:dyDescent="0.2">
      <c r="B70" s="2" t="str">
        <f t="shared" si="5"/>
        <v/>
      </c>
      <c r="C70" s="2" t="str">
        <f t="shared" si="6"/>
        <v/>
      </c>
      <c r="D70" s="2" t="str">
        <f t="shared" si="2"/>
        <v>Y</v>
      </c>
      <c r="E70" s="2">
        <f t="shared" si="3"/>
        <v>0</v>
      </c>
      <c r="F70" s="2" t="str">
        <f t="shared" si="7"/>
        <v/>
      </c>
      <c r="H70" s="56" t="s">
        <v>61</v>
      </c>
      <c r="I70" s="28"/>
      <c r="J70" s="29"/>
      <c r="K70" s="29"/>
      <c r="L70" s="30"/>
      <c r="M70" s="30"/>
      <c r="N70" s="36"/>
      <c r="O70" s="32"/>
      <c r="P70" s="33"/>
      <c r="Q70" s="34"/>
      <c r="R70" s="37"/>
      <c r="S70" s="14" t="str">
        <f t="shared" si="4"/>
        <v/>
      </c>
    </row>
    <row r="71" spans="2:19" x14ac:dyDescent="0.2">
      <c r="B71" s="2" t="str">
        <f t="shared" si="5"/>
        <v/>
      </c>
      <c r="C71" s="2" t="str">
        <f t="shared" si="6"/>
        <v/>
      </c>
      <c r="D71" s="2" t="str">
        <f t="shared" si="2"/>
        <v>Y</v>
      </c>
      <c r="E71" s="2">
        <f t="shared" si="3"/>
        <v>0</v>
      </c>
      <c r="F71" s="2" t="str">
        <f t="shared" si="7"/>
        <v/>
      </c>
      <c r="H71" s="56" t="s">
        <v>62</v>
      </c>
      <c r="I71" s="28"/>
      <c r="J71" s="29"/>
      <c r="K71" s="29"/>
      <c r="L71" s="30"/>
      <c r="M71" s="30"/>
      <c r="N71" s="36"/>
      <c r="O71" s="32"/>
      <c r="P71" s="33"/>
      <c r="Q71" s="34"/>
      <c r="R71" s="37"/>
      <c r="S71" s="14" t="str">
        <f t="shared" si="4"/>
        <v/>
      </c>
    </row>
    <row r="72" spans="2:19" x14ac:dyDescent="0.2">
      <c r="B72" s="2" t="str">
        <f t="shared" si="5"/>
        <v/>
      </c>
      <c r="C72" s="2" t="str">
        <f t="shared" si="6"/>
        <v/>
      </c>
      <c r="D72" s="2" t="str">
        <f t="shared" si="2"/>
        <v>Y</v>
      </c>
      <c r="E72" s="2">
        <f t="shared" si="3"/>
        <v>0</v>
      </c>
      <c r="F72" s="2" t="str">
        <f t="shared" si="7"/>
        <v/>
      </c>
      <c r="H72" s="56" t="s">
        <v>63</v>
      </c>
      <c r="I72" s="28"/>
      <c r="J72" s="29"/>
      <c r="K72" s="29"/>
      <c r="L72" s="30"/>
      <c r="M72" s="30"/>
      <c r="N72" s="36"/>
      <c r="O72" s="32"/>
      <c r="P72" s="33"/>
      <c r="Q72" s="34"/>
      <c r="R72" s="37"/>
      <c r="S72" s="14" t="str">
        <f t="shared" si="4"/>
        <v/>
      </c>
    </row>
    <row r="73" spans="2:19" x14ac:dyDescent="0.2">
      <c r="B73" s="2" t="str">
        <f t="shared" si="5"/>
        <v/>
      </c>
      <c r="C73" s="2" t="str">
        <f t="shared" si="6"/>
        <v/>
      </c>
      <c r="D73" s="2" t="str">
        <f t="shared" si="2"/>
        <v>Y</v>
      </c>
      <c r="E73" s="2">
        <f t="shared" si="3"/>
        <v>0</v>
      </c>
      <c r="F73" s="2" t="str">
        <f t="shared" si="7"/>
        <v/>
      </c>
      <c r="H73" s="56" t="s">
        <v>64</v>
      </c>
      <c r="I73" s="28"/>
      <c r="J73" s="29"/>
      <c r="K73" s="29"/>
      <c r="L73" s="30"/>
      <c r="M73" s="30"/>
      <c r="N73" s="36"/>
      <c r="O73" s="32"/>
      <c r="P73" s="33"/>
      <c r="Q73" s="34"/>
      <c r="R73" s="37"/>
      <c r="S73" s="14" t="str">
        <f t="shared" si="4"/>
        <v/>
      </c>
    </row>
    <row r="74" spans="2:19" x14ac:dyDescent="0.2">
      <c r="B74" s="2" t="str">
        <f t="shared" si="5"/>
        <v/>
      </c>
      <c r="C74" s="2" t="str">
        <f t="shared" si="6"/>
        <v/>
      </c>
      <c r="D74" s="2" t="str">
        <f t="shared" si="2"/>
        <v>Y</v>
      </c>
      <c r="E74" s="2">
        <f t="shared" si="3"/>
        <v>0</v>
      </c>
      <c r="F74" s="2" t="str">
        <f t="shared" si="7"/>
        <v/>
      </c>
      <c r="H74" s="56" t="s">
        <v>65</v>
      </c>
      <c r="I74" s="28"/>
      <c r="J74" s="29"/>
      <c r="K74" s="29"/>
      <c r="L74" s="30"/>
      <c r="M74" s="30"/>
      <c r="N74" s="36"/>
      <c r="O74" s="32"/>
      <c r="P74" s="33"/>
      <c r="Q74" s="34"/>
      <c r="R74" s="37"/>
      <c r="S74" s="14" t="str">
        <f t="shared" si="4"/>
        <v/>
      </c>
    </row>
    <row r="75" spans="2:19" x14ac:dyDescent="0.2">
      <c r="B75" s="2" t="str">
        <f t="shared" si="5"/>
        <v/>
      </c>
      <c r="C75" s="2" t="str">
        <f t="shared" si="6"/>
        <v/>
      </c>
      <c r="D75" s="2" t="str">
        <f t="shared" ref="D75:D138" si="8">IF(OR(P75=Not_started,P75=In_progress),"N",IF(OR(P75=N_A,P75=Suspended,P75=Canceled),"","Y"))</f>
        <v>Y</v>
      </c>
      <c r="E75" s="2">
        <f t="shared" ref="E75:E138" si="9">IF(OR(P75=Not_started,P75=In_progress,P75=Applied,P75=Closed),1,0)</f>
        <v>0</v>
      </c>
      <c r="F75" s="2" t="str">
        <f t="shared" si="7"/>
        <v/>
      </c>
      <c r="H75" s="56" t="s">
        <v>66</v>
      </c>
      <c r="I75" s="28"/>
      <c r="J75" s="29"/>
      <c r="K75" s="29"/>
      <c r="L75" s="30"/>
      <c r="M75" s="30"/>
      <c r="N75" s="36"/>
      <c r="O75" s="32"/>
      <c r="P75" s="33"/>
      <c r="Q75" s="34"/>
      <c r="R75" s="37"/>
      <c r="S75" s="14" t="str">
        <f t="shared" ref="S75:S138" si="10">IF(ISERROR(VLOOKUP(K75,LB_PROJECTS,2,FALSE)),"",VLOOKUP(K75,LB_PROJECTS,2,FALSE))</f>
        <v/>
      </c>
    </row>
    <row r="76" spans="2:19" x14ac:dyDescent="0.2">
      <c r="B76" s="2" t="str">
        <f t="shared" ref="B76:B139" si="11">IF(N76="","",IF(WEEKNUM(N76)&lt;10,VALUE(CONCATENATE(YEAR(N76),"0",WEEKNUM(N76))),VALUE(CONCATENATE(YEAR(N76),WEEKNUM(N76)))))</f>
        <v/>
      </c>
      <c r="C76" s="2" t="str">
        <f t="shared" ref="C76:C139" si="12">IF(Q76="","",IF(WEEKNUM(Q76)&lt;10,VALUE(CONCATENATE(YEAR(Q76),"0",WEEKNUM(Q76))),VALUE(CONCATENATE(YEAR(Q76),WEEKNUM(Q76)))))</f>
        <v/>
      </c>
      <c r="D76" s="2" t="str">
        <f t="shared" si="8"/>
        <v>Y</v>
      </c>
      <c r="E76" s="2">
        <f t="shared" si="9"/>
        <v>0</v>
      </c>
      <c r="F76" s="2" t="str">
        <f t="shared" si="7"/>
        <v/>
      </c>
      <c r="H76" s="56" t="s">
        <v>67</v>
      </c>
      <c r="I76" s="28"/>
      <c r="J76" s="29"/>
      <c r="K76" s="29"/>
      <c r="L76" s="30"/>
      <c r="M76" s="30"/>
      <c r="N76" s="36"/>
      <c r="O76" s="32"/>
      <c r="P76" s="33"/>
      <c r="Q76" s="34"/>
      <c r="R76" s="37"/>
      <c r="S76" s="14" t="str">
        <f t="shared" si="10"/>
        <v/>
      </c>
    </row>
    <row r="77" spans="2:19" x14ac:dyDescent="0.2">
      <c r="B77" s="2" t="str">
        <f t="shared" si="11"/>
        <v/>
      </c>
      <c r="C77" s="2" t="str">
        <f t="shared" si="12"/>
        <v/>
      </c>
      <c r="D77" s="2" t="str">
        <f t="shared" si="8"/>
        <v>Y</v>
      </c>
      <c r="E77" s="2">
        <f t="shared" si="9"/>
        <v>0</v>
      </c>
      <c r="F77" s="2" t="str">
        <f t="shared" si="7"/>
        <v/>
      </c>
      <c r="H77" s="56" t="s">
        <v>68</v>
      </c>
      <c r="I77" s="28"/>
      <c r="J77" s="29"/>
      <c r="K77" s="29"/>
      <c r="L77" s="30"/>
      <c r="M77" s="30"/>
      <c r="N77" s="36"/>
      <c r="O77" s="32"/>
      <c r="P77" s="33"/>
      <c r="Q77" s="34"/>
      <c r="R77" s="37"/>
      <c r="S77" s="14" t="str">
        <f t="shared" si="10"/>
        <v/>
      </c>
    </row>
    <row r="78" spans="2:19" x14ac:dyDescent="0.2">
      <c r="B78" s="2" t="str">
        <f t="shared" si="11"/>
        <v/>
      </c>
      <c r="C78" s="2" t="str">
        <f t="shared" si="12"/>
        <v/>
      </c>
      <c r="D78" s="2" t="str">
        <f t="shared" si="8"/>
        <v>Y</v>
      </c>
      <c r="E78" s="2">
        <f t="shared" si="9"/>
        <v>0</v>
      </c>
      <c r="F78" s="2" t="str">
        <f t="shared" ref="F78:F141" si="13">IF(O78="",B78,IF(WEEKNUM(O78)&lt;10,VALUE(CONCATENATE(YEAR(O78),"0",WEEKNUM(O78))),VALUE(CONCATENATE(YEAR(O78),WEEKNUM(O78)))))</f>
        <v/>
      </c>
      <c r="H78" s="56" t="s">
        <v>69</v>
      </c>
      <c r="I78" s="28"/>
      <c r="J78" s="29"/>
      <c r="K78" s="29"/>
      <c r="L78" s="30"/>
      <c r="M78" s="30"/>
      <c r="N78" s="36"/>
      <c r="O78" s="32"/>
      <c r="P78" s="33"/>
      <c r="Q78" s="34"/>
      <c r="R78" s="37"/>
      <c r="S78" s="14" t="str">
        <f t="shared" si="10"/>
        <v/>
      </c>
    </row>
    <row r="79" spans="2:19" x14ac:dyDescent="0.2">
      <c r="B79" s="2" t="str">
        <f t="shared" si="11"/>
        <v/>
      </c>
      <c r="C79" s="2" t="str">
        <f t="shared" si="12"/>
        <v/>
      </c>
      <c r="D79" s="2" t="str">
        <f t="shared" si="8"/>
        <v>Y</v>
      </c>
      <c r="E79" s="2">
        <f t="shared" si="9"/>
        <v>0</v>
      </c>
      <c r="F79" s="2" t="str">
        <f t="shared" si="13"/>
        <v/>
      </c>
      <c r="H79" s="56" t="s">
        <v>70</v>
      </c>
      <c r="I79" s="28"/>
      <c r="J79" s="29"/>
      <c r="K79" s="29"/>
      <c r="L79" s="30"/>
      <c r="M79" s="30"/>
      <c r="N79" s="36"/>
      <c r="O79" s="32"/>
      <c r="P79" s="33"/>
      <c r="Q79" s="34"/>
      <c r="R79" s="37"/>
      <c r="S79" s="14" t="str">
        <f t="shared" si="10"/>
        <v/>
      </c>
    </row>
    <row r="80" spans="2:19" x14ac:dyDescent="0.2">
      <c r="B80" s="2" t="str">
        <f t="shared" si="11"/>
        <v/>
      </c>
      <c r="C80" s="2" t="str">
        <f t="shared" si="12"/>
        <v/>
      </c>
      <c r="D80" s="2" t="str">
        <f t="shared" si="8"/>
        <v>Y</v>
      </c>
      <c r="E80" s="2">
        <f t="shared" si="9"/>
        <v>0</v>
      </c>
      <c r="F80" s="2" t="str">
        <f t="shared" si="13"/>
        <v/>
      </c>
      <c r="H80" s="56" t="s">
        <v>71</v>
      </c>
      <c r="I80" s="28"/>
      <c r="J80" s="29"/>
      <c r="K80" s="29"/>
      <c r="L80" s="30"/>
      <c r="M80" s="30"/>
      <c r="N80" s="36"/>
      <c r="O80" s="32"/>
      <c r="P80" s="33"/>
      <c r="Q80" s="34"/>
      <c r="R80" s="37"/>
      <c r="S80" s="14" t="str">
        <f t="shared" si="10"/>
        <v/>
      </c>
    </row>
    <row r="81" spans="2:19" x14ac:dyDescent="0.2">
      <c r="B81" s="2" t="str">
        <f t="shared" si="11"/>
        <v/>
      </c>
      <c r="C81" s="2" t="str">
        <f t="shared" si="12"/>
        <v/>
      </c>
      <c r="D81" s="2" t="str">
        <f t="shared" si="8"/>
        <v>Y</v>
      </c>
      <c r="E81" s="2">
        <f t="shared" si="9"/>
        <v>0</v>
      </c>
      <c r="F81" s="2" t="str">
        <f t="shared" si="13"/>
        <v/>
      </c>
      <c r="H81" s="56" t="s">
        <v>72</v>
      </c>
      <c r="I81" s="28"/>
      <c r="J81" s="29"/>
      <c r="K81" s="29"/>
      <c r="L81" s="30"/>
      <c r="M81" s="30"/>
      <c r="N81" s="36"/>
      <c r="O81" s="32"/>
      <c r="P81" s="33"/>
      <c r="Q81" s="34"/>
      <c r="R81" s="37"/>
      <c r="S81" s="14" t="str">
        <f t="shared" si="10"/>
        <v/>
      </c>
    </row>
    <row r="82" spans="2:19" x14ac:dyDescent="0.2">
      <c r="B82" s="2" t="str">
        <f t="shared" si="11"/>
        <v/>
      </c>
      <c r="C82" s="2" t="str">
        <f t="shared" si="12"/>
        <v/>
      </c>
      <c r="D82" s="2" t="str">
        <f t="shared" si="8"/>
        <v>Y</v>
      </c>
      <c r="E82" s="2">
        <f t="shared" si="9"/>
        <v>0</v>
      </c>
      <c r="F82" s="2" t="str">
        <f t="shared" si="13"/>
        <v/>
      </c>
      <c r="H82" s="56" t="s">
        <v>73</v>
      </c>
      <c r="I82" s="28"/>
      <c r="J82" s="29"/>
      <c r="K82" s="29"/>
      <c r="L82" s="30"/>
      <c r="M82" s="30"/>
      <c r="N82" s="36"/>
      <c r="O82" s="32"/>
      <c r="P82" s="33"/>
      <c r="Q82" s="34"/>
      <c r="R82" s="37"/>
      <c r="S82" s="14" t="str">
        <f t="shared" si="10"/>
        <v/>
      </c>
    </row>
    <row r="83" spans="2:19" x14ac:dyDescent="0.2">
      <c r="B83" s="2" t="str">
        <f t="shared" si="11"/>
        <v/>
      </c>
      <c r="C83" s="2" t="str">
        <f t="shared" si="12"/>
        <v/>
      </c>
      <c r="D83" s="2" t="str">
        <f t="shared" si="8"/>
        <v>Y</v>
      </c>
      <c r="E83" s="2">
        <f t="shared" si="9"/>
        <v>0</v>
      </c>
      <c r="F83" s="2" t="str">
        <f t="shared" si="13"/>
        <v/>
      </c>
      <c r="H83" s="56" t="s">
        <v>74</v>
      </c>
      <c r="I83" s="28"/>
      <c r="J83" s="29"/>
      <c r="K83" s="29"/>
      <c r="L83" s="30"/>
      <c r="M83" s="30"/>
      <c r="N83" s="36"/>
      <c r="O83" s="32"/>
      <c r="P83" s="33"/>
      <c r="Q83" s="34"/>
      <c r="R83" s="37"/>
      <c r="S83" s="14" t="str">
        <f t="shared" si="10"/>
        <v/>
      </c>
    </row>
    <row r="84" spans="2:19" x14ac:dyDescent="0.2">
      <c r="B84" s="2" t="str">
        <f t="shared" si="11"/>
        <v/>
      </c>
      <c r="C84" s="2" t="str">
        <f t="shared" si="12"/>
        <v/>
      </c>
      <c r="D84" s="2" t="str">
        <f t="shared" si="8"/>
        <v>Y</v>
      </c>
      <c r="E84" s="2">
        <f t="shared" si="9"/>
        <v>0</v>
      </c>
      <c r="F84" s="2" t="str">
        <f t="shared" si="13"/>
        <v/>
      </c>
      <c r="H84" s="56" t="s">
        <v>75</v>
      </c>
      <c r="I84" s="28"/>
      <c r="J84" s="29"/>
      <c r="K84" s="29"/>
      <c r="L84" s="30"/>
      <c r="M84" s="30"/>
      <c r="N84" s="36"/>
      <c r="O84" s="32"/>
      <c r="P84" s="33"/>
      <c r="Q84" s="34"/>
      <c r="R84" s="37"/>
      <c r="S84" s="14" t="str">
        <f t="shared" si="10"/>
        <v/>
      </c>
    </row>
    <row r="85" spans="2:19" x14ac:dyDescent="0.2">
      <c r="B85" s="2" t="str">
        <f t="shared" si="11"/>
        <v/>
      </c>
      <c r="C85" s="2" t="str">
        <f t="shared" si="12"/>
        <v/>
      </c>
      <c r="D85" s="2" t="str">
        <f t="shared" si="8"/>
        <v>Y</v>
      </c>
      <c r="E85" s="2">
        <f t="shared" si="9"/>
        <v>0</v>
      </c>
      <c r="F85" s="2" t="str">
        <f t="shared" si="13"/>
        <v/>
      </c>
      <c r="H85" s="56" t="s">
        <v>76</v>
      </c>
      <c r="I85" s="28"/>
      <c r="J85" s="29"/>
      <c r="K85" s="29"/>
      <c r="L85" s="30"/>
      <c r="M85" s="30"/>
      <c r="N85" s="36"/>
      <c r="O85" s="32"/>
      <c r="P85" s="33"/>
      <c r="Q85" s="34"/>
      <c r="R85" s="37"/>
      <c r="S85" s="14" t="str">
        <f t="shared" si="10"/>
        <v/>
      </c>
    </row>
    <row r="86" spans="2:19" x14ac:dyDescent="0.2">
      <c r="B86" s="2" t="str">
        <f t="shared" si="11"/>
        <v/>
      </c>
      <c r="C86" s="2" t="str">
        <f t="shared" si="12"/>
        <v/>
      </c>
      <c r="D86" s="2" t="str">
        <f t="shared" si="8"/>
        <v>Y</v>
      </c>
      <c r="E86" s="2">
        <f t="shared" si="9"/>
        <v>0</v>
      </c>
      <c r="F86" s="2" t="str">
        <f t="shared" si="13"/>
        <v/>
      </c>
      <c r="H86" s="56" t="s">
        <v>77</v>
      </c>
      <c r="I86" s="28"/>
      <c r="J86" s="29"/>
      <c r="K86" s="29"/>
      <c r="L86" s="30"/>
      <c r="M86" s="30"/>
      <c r="N86" s="36"/>
      <c r="O86" s="32"/>
      <c r="P86" s="33"/>
      <c r="Q86" s="34"/>
      <c r="R86" s="37"/>
      <c r="S86" s="14" t="str">
        <f t="shared" si="10"/>
        <v/>
      </c>
    </row>
    <row r="87" spans="2:19" x14ac:dyDescent="0.2">
      <c r="B87" s="2" t="str">
        <f t="shared" si="11"/>
        <v/>
      </c>
      <c r="C87" s="2" t="str">
        <f t="shared" si="12"/>
        <v/>
      </c>
      <c r="D87" s="2" t="str">
        <f t="shared" si="8"/>
        <v>Y</v>
      </c>
      <c r="E87" s="2">
        <f t="shared" si="9"/>
        <v>0</v>
      </c>
      <c r="F87" s="2" t="str">
        <f t="shared" si="13"/>
        <v/>
      </c>
      <c r="H87" s="56" t="s">
        <v>78</v>
      </c>
      <c r="I87" s="28"/>
      <c r="J87" s="29"/>
      <c r="K87" s="29"/>
      <c r="L87" s="30"/>
      <c r="M87" s="30"/>
      <c r="N87" s="36"/>
      <c r="O87" s="32"/>
      <c r="P87" s="33"/>
      <c r="Q87" s="34"/>
      <c r="R87" s="37"/>
      <c r="S87" s="14" t="str">
        <f t="shared" si="10"/>
        <v/>
      </c>
    </row>
    <row r="88" spans="2:19" x14ac:dyDescent="0.2">
      <c r="B88" s="2" t="str">
        <f t="shared" si="11"/>
        <v/>
      </c>
      <c r="C88" s="2" t="str">
        <f t="shared" si="12"/>
        <v/>
      </c>
      <c r="D88" s="2" t="str">
        <f t="shared" si="8"/>
        <v>Y</v>
      </c>
      <c r="E88" s="2">
        <f t="shared" si="9"/>
        <v>0</v>
      </c>
      <c r="F88" s="2" t="str">
        <f t="shared" si="13"/>
        <v/>
      </c>
      <c r="H88" s="56" t="s">
        <v>79</v>
      </c>
      <c r="I88" s="28"/>
      <c r="J88" s="29"/>
      <c r="K88" s="29"/>
      <c r="L88" s="30"/>
      <c r="M88" s="30"/>
      <c r="N88" s="36"/>
      <c r="O88" s="32"/>
      <c r="P88" s="33"/>
      <c r="Q88" s="34"/>
      <c r="R88" s="37"/>
      <c r="S88" s="14" t="str">
        <f t="shared" si="10"/>
        <v/>
      </c>
    </row>
    <row r="89" spans="2:19" x14ac:dyDescent="0.2">
      <c r="B89" s="2" t="str">
        <f t="shared" si="11"/>
        <v/>
      </c>
      <c r="C89" s="2" t="str">
        <f t="shared" si="12"/>
        <v/>
      </c>
      <c r="D89" s="2" t="str">
        <f t="shared" si="8"/>
        <v>Y</v>
      </c>
      <c r="E89" s="2">
        <f t="shared" si="9"/>
        <v>0</v>
      </c>
      <c r="F89" s="2" t="str">
        <f t="shared" si="13"/>
        <v/>
      </c>
      <c r="H89" s="56" t="s">
        <v>80</v>
      </c>
      <c r="I89" s="28"/>
      <c r="J89" s="29"/>
      <c r="K89" s="29"/>
      <c r="L89" s="30"/>
      <c r="M89" s="30"/>
      <c r="N89" s="36"/>
      <c r="O89" s="32"/>
      <c r="P89" s="33"/>
      <c r="Q89" s="34"/>
      <c r="R89" s="37"/>
      <c r="S89" s="14" t="str">
        <f t="shared" si="10"/>
        <v/>
      </c>
    </row>
    <row r="90" spans="2:19" x14ac:dyDescent="0.2">
      <c r="B90" s="2" t="str">
        <f t="shared" si="11"/>
        <v/>
      </c>
      <c r="C90" s="2" t="str">
        <f t="shared" si="12"/>
        <v/>
      </c>
      <c r="D90" s="2" t="str">
        <f t="shared" si="8"/>
        <v>Y</v>
      </c>
      <c r="E90" s="2">
        <f t="shared" si="9"/>
        <v>0</v>
      </c>
      <c r="F90" s="2" t="str">
        <f t="shared" si="13"/>
        <v/>
      </c>
      <c r="H90" s="56" t="s">
        <v>81</v>
      </c>
      <c r="I90" s="28"/>
      <c r="J90" s="29"/>
      <c r="K90" s="29"/>
      <c r="L90" s="30"/>
      <c r="M90" s="30"/>
      <c r="N90" s="36"/>
      <c r="O90" s="32"/>
      <c r="P90" s="33"/>
      <c r="Q90" s="34"/>
      <c r="R90" s="37"/>
      <c r="S90" s="14" t="str">
        <f t="shared" si="10"/>
        <v/>
      </c>
    </row>
    <row r="91" spans="2:19" x14ac:dyDescent="0.2">
      <c r="B91" s="2" t="str">
        <f t="shared" si="11"/>
        <v/>
      </c>
      <c r="C91" s="2" t="str">
        <f t="shared" si="12"/>
        <v/>
      </c>
      <c r="D91" s="2" t="str">
        <f t="shared" si="8"/>
        <v>Y</v>
      </c>
      <c r="E91" s="2">
        <f t="shared" si="9"/>
        <v>0</v>
      </c>
      <c r="F91" s="2" t="str">
        <f t="shared" si="13"/>
        <v/>
      </c>
      <c r="H91" s="56" t="s">
        <v>82</v>
      </c>
      <c r="I91" s="28"/>
      <c r="J91" s="29"/>
      <c r="K91" s="29"/>
      <c r="L91" s="30"/>
      <c r="M91" s="30"/>
      <c r="N91" s="36"/>
      <c r="O91" s="32"/>
      <c r="P91" s="33"/>
      <c r="Q91" s="34"/>
      <c r="R91" s="37"/>
      <c r="S91" s="14" t="str">
        <f t="shared" si="10"/>
        <v/>
      </c>
    </row>
    <row r="92" spans="2:19" x14ac:dyDescent="0.2">
      <c r="B92" s="2" t="str">
        <f t="shared" si="11"/>
        <v/>
      </c>
      <c r="C92" s="2" t="str">
        <f t="shared" si="12"/>
        <v/>
      </c>
      <c r="D92" s="2" t="str">
        <f t="shared" si="8"/>
        <v>Y</v>
      </c>
      <c r="E92" s="2">
        <f t="shared" si="9"/>
        <v>0</v>
      </c>
      <c r="F92" s="2" t="str">
        <f t="shared" si="13"/>
        <v/>
      </c>
      <c r="H92" s="56" t="s">
        <v>83</v>
      </c>
      <c r="I92" s="28"/>
      <c r="J92" s="29"/>
      <c r="K92" s="29"/>
      <c r="L92" s="30"/>
      <c r="M92" s="30"/>
      <c r="N92" s="36"/>
      <c r="O92" s="32"/>
      <c r="P92" s="33"/>
      <c r="Q92" s="34"/>
      <c r="R92" s="37"/>
      <c r="S92" s="14" t="str">
        <f t="shared" si="10"/>
        <v/>
      </c>
    </row>
    <row r="93" spans="2:19" x14ac:dyDescent="0.2">
      <c r="B93" s="2" t="str">
        <f t="shared" si="11"/>
        <v/>
      </c>
      <c r="C93" s="2" t="str">
        <f t="shared" si="12"/>
        <v/>
      </c>
      <c r="D93" s="2" t="str">
        <f t="shared" si="8"/>
        <v>Y</v>
      </c>
      <c r="E93" s="2">
        <f t="shared" si="9"/>
        <v>0</v>
      </c>
      <c r="F93" s="2" t="str">
        <f t="shared" si="13"/>
        <v/>
      </c>
      <c r="H93" s="56" t="s">
        <v>84</v>
      </c>
      <c r="I93" s="28"/>
      <c r="J93" s="29"/>
      <c r="K93" s="29"/>
      <c r="L93" s="30"/>
      <c r="M93" s="30"/>
      <c r="N93" s="36"/>
      <c r="O93" s="32"/>
      <c r="P93" s="39"/>
      <c r="Q93" s="34"/>
      <c r="R93" s="35"/>
      <c r="S93" s="14" t="str">
        <f t="shared" si="10"/>
        <v/>
      </c>
    </row>
    <row r="94" spans="2:19" x14ac:dyDescent="0.2">
      <c r="B94" s="2" t="str">
        <f t="shared" si="11"/>
        <v/>
      </c>
      <c r="C94" s="2" t="str">
        <f t="shared" si="12"/>
        <v/>
      </c>
      <c r="D94" s="2" t="str">
        <f t="shared" si="8"/>
        <v>Y</v>
      </c>
      <c r="E94" s="2">
        <f t="shared" si="9"/>
        <v>0</v>
      </c>
      <c r="F94" s="2" t="str">
        <f t="shared" si="13"/>
        <v/>
      </c>
      <c r="H94" s="56" t="s">
        <v>85</v>
      </c>
      <c r="I94" s="28"/>
      <c r="J94" s="29"/>
      <c r="K94" s="29"/>
      <c r="L94" s="30"/>
      <c r="M94" s="30"/>
      <c r="N94" s="36"/>
      <c r="O94" s="32"/>
      <c r="P94" s="33"/>
      <c r="Q94" s="34"/>
      <c r="R94" s="35"/>
      <c r="S94" s="14" t="str">
        <f t="shared" si="10"/>
        <v/>
      </c>
    </row>
    <row r="95" spans="2:19" x14ac:dyDescent="0.2">
      <c r="B95" s="2" t="str">
        <f t="shared" si="11"/>
        <v/>
      </c>
      <c r="C95" s="2" t="str">
        <f t="shared" si="12"/>
        <v/>
      </c>
      <c r="D95" s="2" t="str">
        <f t="shared" si="8"/>
        <v>Y</v>
      </c>
      <c r="E95" s="2">
        <f t="shared" si="9"/>
        <v>0</v>
      </c>
      <c r="F95" s="2" t="str">
        <f t="shared" si="13"/>
        <v/>
      </c>
      <c r="H95" s="56" t="s">
        <v>86</v>
      </c>
      <c r="I95" s="28"/>
      <c r="J95" s="29"/>
      <c r="K95" s="29"/>
      <c r="L95" s="30"/>
      <c r="M95" s="30"/>
      <c r="N95" s="36"/>
      <c r="O95" s="32"/>
      <c r="P95" s="33"/>
      <c r="Q95" s="34"/>
      <c r="R95" s="37"/>
      <c r="S95" s="14" t="str">
        <f t="shared" si="10"/>
        <v/>
      </c>
    </row>
    <row r="96" spans="2:19" x14ac:dyDescent="0.2">
      <c r="B96" s="2" t="str">
        <f t="shared" si="11"/>
        <v/>
      </c>
      <c r="C96" s="2" t="str">
        <f t="shared" si="12"/>
        <v/>
      </c>
      <c r="D96" s="2" t="str">
        <f t="shared" si="8"/>
        <v>Y</v>
      </c>
      <c r="E96" s="2">
        <f t="shared" si="9"/>
        <v>0</v>
      </c>
      <c r="F96" s="2" t="str">
        <f t="shared" si="13"/>
        <v/>
      </c>
      <c r="H96" s="56" t="s">
        <v>87</v>
      </c>
      <c r="I96" s="28"/>
      <c r="J96" s="29"/>
      <c r="K96" s="29"/>
      <c r="L96" s="30"/>
      <c r="M96" s="30"/>
      <c r="N96" s="36"/>
      <c r="O96" s="32"/>
      <c r="P96" s="33"/>
      <c r="Q96" s="34"/>
      <c r="R96" s="37"/>
      <c r="S96" s="14" t="str">
        <f t="shared" si="10"/>
        <v/>
      </c>
    </row>
    <row r="97" spans="2:19" x14ac:dyDescent="0.2">
      <c r="B97" s="2" t="str">
        <f t="shared" si="11"/>
        <v/>
      </c>
      <c r="C97" s="2" t="str">
        <f t="shared" si="12"/>
        <v/>
      </c>
      <c r="D97" s="2" t="str">
        <f t="shared" si="8"/>
        <v>Y</v>
      </c>
      <c r="E97" s="2">
        <f t="shared" si="9"/>
        <v>0</v>
      </c>
      <c r="F97" s="2" t="str">
        <f t="shared" si="13"/>
        <v/>
      </c>
      <c r="H97" s="56" t="s">
        <v>88</v>
      </c>
      <c r="I97" s="28"/>
      <c r="J97" s="29"/>
      <c r="K97" s="29"/>
      <c r="L97" s="30"/>
      <c r="M97" s="30"/>
      <c r="N97" s="36"/>
      <c r="O97" s="32"/>
      <c r="P97" s="33"/>
      <c r="Q97" s="34"/>
      <c r="R97" s="37"/>
      <c r="S97" s="14" t="str">
        <f t="shared" si="10"/>
        <v/>
      </c>
    </row>
    <row r="98" spans="2:19" x14ac:dyDescent="0.2">
      <c r="B98" s="2" t="str">
        <f t="shared" si="11"/>
        <v/>
      </c>
      <c r="C98" s="2" t="str">
        <f t="shared" si="12"/>
        <v/>
      </c>
      <c r="D98" s="2" t="str">
        <f t="shared" si="8"/>
        <v>Y</v>
      </c>
      <c r="E98" s="2">
        <f t="shared" si="9"/>
        <v>0</v>
      </c>
      <c r="F98" s="2" t="str">
        <f t="shared" si="13"/>
        <v/>
      </c>
      <c r="H98" s="56" t="s">
        <v>89</v>
      </c>
      <c r="I98" s="28"/>
      <c r="J98" s="29"/>
      <c r="K98" s="29"/>
      <c r="L98" s="30"/>
      <c r="M98" s="30"/>
      <c r="N98" s="36"/>
      <c r="O98" s="32"/>
      <c r="P98" s="33"/>
      <c r="Q98" s="34"/>
      <c r="R98" s="35"/>
      <c r="S98" s="14" t="str">
        <f t="shared" si="10"/>
        <v/>
      </c>
    </row>
    <row r="99" spans="2:19" x14ac:dyDescent="0.2">
      <c r="B99" s="2" t="str">
        <f t="shared" si="11"/>
        <v/>
      </c>
      <c r="C99" s="2" t="str">
        <f t="shared" si="12"/>
        <v/>
      </c>
      <c r="D99" s="2" t="str">
        <f t="shared" si="8"/>
        <v>Y</v>
      </c>
      <c r="E99" s="2">
        <f t="shared" si="9"/>
        <v>0</v>
      </c>
      <c r="F99" s="2" t="str">
        <f t="shared" si="13"/>
        <v/>
      </c>
      <c r="H99" s="56" t="s">
        <v>90</v>
      </c>
      <c r="I99" s="28"/>
      <c r="J99" s="29"/>
      <c r="K99" s="29"/>
      <c r="L99" s="30"/>
      <c r="M99" s="30"/>
      <c r="N99" s="36"/>
      <c r="O99" s="32"/>
      <c r="P99" s="33"/>
      <c r="Q99" s="34"/>
      <c r="R99" s="35"/>
      <c r="S99" s="14" t="str">
        <f t="shared" si="10"/>
        <v/>
      </c>
    </row>
    <row r="100" spans="2:19" x14ac:dyDescent="0.2">
      <c r="B100" s="2" t="str">
        <f t="shared" si="11"/>
        <v/>
      </c>
      <c r="C100" s="2" t="str">
        <f t="shared" si="12"/>
        <v/>
      </c>
      <c r="D100" s="2" t="str">
        <f t="shared" si="8"/>
        <v>Y</v>
      </c>
      <c r="E100" s="2">
        <f t="shared" si="9"/>
        <v>0</v>
      </c>
      <c r="F100" s="2" t="str">
        <f t="shared" si="13"/>
        <v/>
      </c>
      <c r="H100" s="56" t="s">
        <v>91</v>
      </c>
      <c r="I100" s="28"/>
      <c r="J100" s="29"/>
      <c r="K100" s="29"/>
      <c r="L100" s="30"/>
      <c r="M100" s="30"/>
      <c r="N100" s="36"/>
      <c r="O100" s="32"/>
      <c r="P100" s="33"/>
      <c r="Q100" s="34"/>
      <c r="R100" s="35"/>
      <c r="S100" s="14" t="str">
        <f t="shared" si="10"/>
        <v/>
      </c>
    </row>
    <row r="101" spans="2:19" x14ac:dyDescent="0.2">
      <c r="B101" s="2" t="str">
        <f t="shared" si="11"/>
        <v/>
      </c>
      <c r="C101" s="2" t="str">
        <f t="shared" si="12"/>
        <v/>
      </c>
      <c r="D101" s="2" t="str">
        <f t="shared" si="8"/>
        <v>Y</v>
      </c>
      <c r="E101" s="2">
        <f t="shared" si="9"/>
        <v>0</v>
      </c>
      <c r="F101" s="2" t="str">
        <f t="shared" si="13"/>
        <v/>
      </c>
      <c r="H101" s="56" t="s">
        <v>92</v>
      </c>
      <c r="I101" s="28"/>
      <c r="J101" s="29"/>
      <c r="K101" s="29"/>
      <c r="L101" s="30"/>
      <c r="M101" s="30"/>
      <c r="N101" s="36"/>
      <c r="O101" s="32"/>
      <c r="P101" s="33"/>
      <c r="Q101" s="34"/>
      <c r="R101" s="37"/>
      <c r="S101" s="14" t="str">
        <f t="shared" si="10"/>
        <v/>
      </c>
    </row>
    <row r="102" spans="2:19" x14ac:dyDescent="0.2">
      <c r="B102" s="2" t="str">
        <f t="shared" si="11"/>
        <v/>
      </c>
      <c r="C102" s="2" t="str">
        <f t="shared" si="12"/>
        <v/>
      </c>
      <c r="D102" s="2" t="str">
        <f t="shared" si="8"/>
        <v>Y</v>
      </c>
      <c r="E102" s="2">
        <f t="shared" si="9"/>
        <v>0</v>
      </c>
      <c r="F102" s="2" t="str">
        <f t="shared" si="13"/>
        <v/>
      </c>
      <c r="H102" s="56" t="s">
        <v>93</v>
      </c>
      <c r="I102" s="28"/>
      <c r="J102" s="29"/>
      <c r="K102" s="29"/>
      <c r="L102" s="30"/>
      <c r="M102" s="30"/>
      <c r="N102" s="36"/>
      <c r="O102" s="32"/>
      <c r="P102" s="33"/>
      <c r="Q102" s="34"/>
      <c r="R102" s="35"/>
      <c r="S102" s="14" t="str">
        <f t="shared" si="10"/>
        <v/>
      </c>
    </row>
    <row r="103" spans="2:19" x14ac:dyDescent="0.2">
      <c r="B103" s="2" t="str">
        <f t="shared" si="11"/>
        <v/>
      </c>
      <c r="C103" s="2" t="str">
        <f t="shared" si="12"/>
        <v/>
      </c>
      <c r="D103" s="2" t="str">
        <f t="shared" si="8"/>
        <v>Y</v>
      </c>
      <c r="E103" s="2">
        <f t="shared" si="9"/>
        <v>0</v>
      </c>
      <c r="F103" s="2" t="str">
        <f t="shared" si="13"/>
        <v/>
      </c>
      <c r="H103" s="56" t="s">
        <v>94</v>
      </c>
      <c r="I103" s="28"/>
      <c r="J103" s="29"/>
      <c r="K103" s="29"/>
      <c r="L103" s="30"/>
      <c r="M103" s="30"/>
      <c r="N103" s="36"/>
      <c r="O103" s="32"/>
      <c r="P103" s="33"/>
      <c r="Q103" s="34"/>
      <c r="R103" s="35"/>
      <c r="S103" s="14" t="str">
        <f t="shared" si="10"/>
        <v/>
      </c>
    </row>
    <row r="104" spans="2:19" x14ac:dyDescent="0.2">
      <c r="B104" s="2" t="str">
        <f t="shared" si="11"/>
        <v/>
      </c>
      <c r="C104" s="2" t="str">
        <f t="shared" si="12"/>
        <v/>
      </c>
      <c r="D104" s="2" t="str">
        <f t="shared" si="8"/>
        <v>Y</v>
      </c>
      <c r="E104" s="2">
        <f t="shared" si="9"/>
        <v>0</v>
      </c>
      <c r="F104" s="2" t="str">
        <f t="shared" si="13"/>
        <v/>
      </c>
      <c r="H104" s="56" t="s">
        <v>95</v>
      </c>
      <c r="I104" s="28"/>
      <c r="J104" s="29"/>
      <c r="K104" s="29"/>
      <c r="L104" s="30"/>
      <c r="M104" s="30"/>
      <c r="N104" s="36"/>
      <c r="O104" s="32"/>
      <c r="P104" s="33"/>
      <c r="Q104" s="34"/>
      <c r="R104" s="37"/>
      <c r="S104" s="14" t="str">
        <f t="shared" si="10"/>
        <v/>
      </c>
    </row>
    <row r="105" spans="2:19" x14ac:dyDescent="0.2">
      <c r="B105" s="2" t="str">
        <f t="shared" si="11"/>
        <v/>
      </c>
      <c r="C105" s="2" t="str">
        <f t="shared" si="12"/>
        <v/>
      </c>
      <c r="D105" s="2" t="str">
        <f t="shared" si="8"/>
        <v>Y</v>
      </c>
      <c r="E105" s="2">
        <f t="shared" si="9"/>
        <v>0</v>
      </c>
      <c r="F105" s="2" t="str">
        <f t="shared" si="13"/>
        <v/>
      </c>
      <c r="H105" s="56" t="s">
        <v>96</v>
      </c>
      <c r="I105" s="28"/>
      <c r="J105" s="29"/>
      <c r="K105" s="29"/>
      <c r="L105" s="30"/>
      <c r="M105" s="30"/>
      <c r="N105" s="36"/>
      <c r="O105" s="32"/>
      <c r="P105" s="33"/>
      <c r="Q105" s="34"/>
      <c r="R105" s="35"/>
      <c r="S105" s="14" t="str">
        <f t="shared" si="10"/>
        <v/>
      </c>
    </row>
    <row r="106" spans="2:19" x14ac:dyDescent="0.2">
      <c r="B106" s="2" t="str">
        <f t="shared" si="11"/>
        <v/>
      </c>
      <c r="C106" s="2" t="str">
        <f t="shared" si="12"/>
        <v/>
      </c>
      <c r="D106" s="2" t="str">
        <f t="shared" si="8"/>
        <v>Y</v>
      </c>
      <c r="E106" s="2">
        <f t="shared" si="9"/>
        <v>0</v>
      </c>
      <c r="F106" s="2" t="str">
        <f t="shared" si="13"/>
        <v/>
      </c>
      <c r="H106" s="56" t="s">
        <v>97</v>
      </c>
      <c r="I106" s="28"/>
      <c r="J106" s="29"/>
      <c r="K106" s="29"/>
      <c r="L106" s="30"/>
      <c r="M106" s="30"/>
      <c r="N106" s="36"/>
      <c r="O106" s="32"/>
      <c r="P106" s="33"/>
      <c r="Q106" s="34"/>
      <c r="R106" s="35"/>
      <c r="S106" s="14" t="str">
        <f t="shared" si="10"/>
        <v/>
      </c>
    </row>
    <row r="107" spans="2:19" x14ac:dyDescent="0.2">
      <c r="B107" s="2" t="str">
        <f t="shared" si="11"/>
        <v/>
      </c>
      <c r="C107" s="2" t="str">
        <f t="shared" si="12"/>
        <v/>
      </c>
      <c r="D107" s="2" t="str">
        <f t="shared" si="8"/>
        <v>Y</v>
      </c>
      <c r="E107" s="2">
        <f t="shared" si="9"/>
        <v>0</v>
      </c>
      <c r="F107" s="2" t="str">
        <f t="shared" si="13"/>
        <v/>
      </c>
      <c r="H107" s="56" t="s">
        <v>98</v>
      </c>
      <c r="I107" s="28"/>
      <c r="J107" s="29"/>
      <c r="K107" s="29"/>
      <c r="L107" s="30"/>
      <c r="M107" s="30"/>
      <c r="N107" s="36"/>
      <c r="O107" s="32"/>
      <c r="P107" s="33"/>
      <c r="Q107" s="34"/>
      <c r="R107" s="35"/>
      <c r="S107" s="14" t="str">
        <f t="shared" si="10"/>
        <v/>
      </c>
    </row>
    <row r="108" spans="2:19" x14ac:dyDescent="0.2">
      <c r="B108" s="2" t="str">
        <f t="shared" si="11"/>
        <v/>
      </c>
      <c r="C108" s="2" t="str">
        <f t="shared" si="12"/>
        <v/>
      </c>
      <c r="D108" s="2" t="str">
        <f t="shared" si="8"/>
        <v>Y</v>
      </c>
      <c r="E108" s="2">
        <f t="shared" si="9"/>
        <v>0</v>
      </c>
      <c r="F108" s="2" t="str">
        <f t="shared" si="13"/>
        <v/>
      </c>
      <c r="H108" s="56" t="s">
        <v>105</v>
      </c>
      <c r="I108" s="28"/>
      <c r="J108" s="29"/>
      <c r="K108" s="29"/>
      <c r="L108" s="30"/>
      <c r="M108" s="30"/>
      <c r="N108" s="36"/>
      <c r="O108" s="32"/>
      <c r="P108" s="33"/>
      <c r="Q108" s="34"/>
      <c r="R108" s="35"/>
      <c r="S108" s="14" t="str">
        <f t="shared" si="10"/>
        <v/>
      </c>
    </row>
    <row r="109" spans="2:19" x14ac:dyDescent="0.2">
      <c r="B109" s="2" t="str">
        <f t="shared" si="11"/>
        <v/>
      </c>
      <c r="C109" s="2" t="str">
        <f t="shared" si="12"/>
        <v/>
      </c>
      <c r="D109" s="2" t="str">
        <f t="shared" si="8"/>
        <v>Y</v>
      </c>
      <c r="E109" s="2">
        <f t="shared" si="9"/>
        <v>0</v>
      </c>
      <c r="F109" s="2" t="str">
        <f t="shared" si="13"/>
        <v/>
      </c>
      <c r="H109" s="56" t="s">
        <v>106</v>
      </c>
      <c r="I109" s="28"/>
      <c r="J109" s="29"/>
      <c r="K109" s="29"/>
      <c r="L109" s="30"/>
      <c r="M109" s="30"/>
      <c r="N109" s="36"/>
      <c r="O109" s="32"/>
      <c r="P109" s="33"/>
      <c r="Q109" s="34"/>
      <c r="R109" s="35"/>
      <c r="S109" s="14" t="str">
        <f t="shared" si="10"/>
        <v/>
      </c>
    </row>
    <row r="110" spans="2:19" x14ac:dyDescent="0.2">
      <c r="B110" s="2" t="str">
        <f t="shared" si="11"/>
        <v/>
      </c>
      <c r="C110" s="2" t="str">
        <f t="shared" si="12"/>
        <v/>
      </c>
      <c r="D110" s="2" t="str">
        <f t="shared" si="8"/>
        <v>Y</v>
      </c>
      <c r="E110" s="2">
        <f t="shared" si="9"/>
        <v>0</v>
      </c>
      <c r="F110" s="2" t="str">
        <f t="shared" si="13"/>
        <v/>
      </c>
      <c r="H110" s="56" t="s">
        <v>107</v>
      </c>
      <c r="I110" s="28"/>
      <c r="J110" s="29"/>
      <c r="K110" s="29"/>
      <c r="L110" s="30"/>
      <c r="M110" s="30"/>
      <c r="N110" s="36"/>
      <c r="O110" s="32"/>
      <c r="P110" s="33"/>
      <c r="Q110" s="34"/>
      <c r="R110" s="37"/>
      <c r="S110" s="14" t="str">
        <f t="shared" si="10"/>
        <v/>
      </c>
    </row>
    <row r="111" spans="2:19" x14ac:dyDescent="0.2">
      <c r="B111" s="2" t="str">
        <f t="shared" si="11"/>
        <v/>
      </c>
      <c r="C111" s="2" t="str">
        <f t="shared" si="12"/>
        <v/>
      </c>
      <c r="D111" s="2" t="str">
        <f t="shared" si="8"/>
        <v>Y</v>
      </c>
      <c r="E111" s="2">
        <f t="shared" si="9"/>
        <v>0</v>
      </c>
      <c r="F111" s="2" t="str">
        <f t="shared" si="13"/>
        <v/>
      </c>
      <c r="H111" s="56" t="s">
        <v>108</v>
      </c>
      <c r="I111" s="28"/>
      <c r="J111" s="29"/>
      <c r="K111" s="29"/>
      <c r="L111" s="30"/>
      <c r="M111" s="30"/>
      <c r="N111" s="36"/>
      <c r="O111" s="32"/>
      <c r="P111" s="33"/>
      <c r="Q111" s="34"/>
      <c r="R111" s="37"/>
      <c r="S111" s="14" t="str">
        <f t="shared" si="10"/>
        <v/>
      </c>
    </row>
    <row r="112" spans="2:19" x14ac:dyDescent="0.2">
      <c r="B112" s="2" t="str">
        <f t="shared" si="11"/>
        <v/>
      </c>
      <c r="C112" s="2" t="str">
        <f t="shared" si="12"/>
        <v/>
      </c>
      <c r="D112" s="2" t="str">
        <f t="shared" si="8"/>
        <v>Y</v>
      </c>
      <c r="E112" s="2">
        <f t="shared" si="9"/>
        <v>0</v>
      </c>
      <c r="F112" s="2" t="str">
        <f t="shared" si="13"/>
        <v/>
      </c>
      <c r="H112" s="56" t="s">
        <v>109</v>
      </c>
      <c r="I112" s="28"/>
      <c r="J112" s="29"/>
      <c r="K112" s="29"/>
      <c r="L112" s="30"/>
      <c r="M112" s="30"/>
      <c r="N112" s="36"/>
      <c r="O112" s="32"/>
      <c r="P112" s="33"/>
      <c r="Q112" s="34"/>
      <c r="R112" s="37"/>
      <c r="S112" s="14" t="str">
        <f t="shared" si="10"/>
        <v/>
      </c>
    </row>
    <row r="113" spans="2:19" x14ac:dyDescent="0.2">
      <c r="B113" s="2" t="str">
        <f t="shared" si="11"/>
        <v/>
      </c>
      <c r="C113" s="2" t="str">
        <f t="shared" si="12"/>
        <v/>
      </c>
      <c r="D113" s="2" t="str">
        <f t="shared" si="8"/>
        <v>Y</v>
      </c>
      <c r="E113" s="2">
        <f t="shared" si="9"/>
        <v>0</v>
      </c>
      <c r="F113" s="2" t="str">
        <f t="shared" si="13"/>
        <v/>
      </c>
      <c r="H113" s="56" t="s">
        <v>110</v>
      </c>
      <c r="I113" s="28"/>
      <c r="J113" s="29"/>
      <c r="K113" s="29"/>
      <c r="L113" s="30"/>
      <c r="M113" s="30"/>
      <c r="N113" s="36"/>
      <c r="O113" s="32"/>
      <c r="P113" s="33"/>
      <c r="Q113" s="34"/>
      <c r="R113" s="37"/>
      <c r="S113" s="14" t="str">
        <f t="shared" si="10"/>
        <v/>
      </c>
    </row>
    <row r="114" spans="2:19" x14ac:dyDescent="0.2">
      <c r="B114" s="2" t="str">
        <f t="shared" si="11"/>
        <v/>
      </c>
      <c r="C114" s="2" t="str">
        <f t="shared" si="12"/>
        <v/>
      </c>
      <c r="D114" s="2" t="str">
        <f t="shared" si="8"/>
        <v>Y</v>
      </c>
      <c r="E114" s="2">
        <f t="shared" si="9"/>
        <v>0</v>
      </c>
      <c r="F114" s="2" t="str">
        <f t="shared" si="13"/>
        <v/>
      </c>
      <c r="H114" s="56" t="s">
        <v>111</v>
      </c>
      <c r="I114" s="28"/>
      <c r="J114" s="29"/>
      <c r="K114" s="29"/>
      <c r="L114" s="30"/>
      <c r="M114" s="30"/>
      <c r="N114" s="36"/>
      <c r="O114" s="32"/>
      <c r="P114" s="33"/>
      <c r="Q114" s="34"/>
      <c r="R114" s="37"/>
      <c r="S114" s="14" t="str">
        <f t="shared" si="10"/>
        <v/>
      </c>
    </row>
    <row r="115" spans="2:19" x14ac:dyDescent="0.2">
      <c r="B115" s="2" t="str">
        <f t="shared" si="11"/>
        <v/>
      </c>
      <c r="C115" s="2" t="str">
        <f t="shared" si="12"/>
        <v/>
      </c>
      <c r="D115" s="2" t="str">
        <f t="shared" si="8"/>
        <v>Y</v>
      </c>
      <c r="E115" s="2">
        <f t="shared" si="9"/>
        <v>0</v>
      </c>
      <c r="F115" s="2" t="str">
        <f t="shared" si="13"/>
        <v/>
      </c>
      <c r="H115" s="56" t="s">
        <v>112</v>
      </c>
      <c r="I115" s="28"/>
      <c r="J115" s="29"/>
      <c r="K115" s="29"/>
      <c r="L115" s="30"/>
      <c r="M115" s="30"/>
      <c r="N115" s="36"/>
      <c r="O115" s="32"/>
      <c r="P115" s="33"/>
      <c r="Q115" s="34"/>
      <c r="R115" s="37"/>
      <c r="S115" s="14" t="str">
        <f t="shared" si="10"/>
        <v/>
      </c>
    </row>
    <row r="116" spans="2:19" x14ac:dyDescent="0.2">
      <c r="B116" s="2" t="str">
        <f t="shared" si="11"/>
        <v/>
      </c>
      <c r="C116" s="2" t="str">
        <f t="shared" si="12"/>
        <v/>
      </c>
      <c r="D116" s="2" t="str">
        <f t="shared" si="8"/>
        <v>Y</v>
      </c>
      <c r="E116" s="2">
        <f t="shared" si="9"/>
        <v>0</v>
      </c>
      <c r="F116" s="2" t="str">
        <f t="shared" si="13"/>
        <v/>
      </c>
      <c r="H116" s="56" t="s">
        <v>113</v>
      </c>
      <c r="I116" s="28"/>
      <c r="J116" s="29"/>
      <c r="K116" s="29"/>
      <c r="L116" s="30"/>
      <c r="M116" s="30"/>
      <c r="N116" s="36"/>
      <c r="O116" s="32"/>
      <c r="P116" s="33"/>
      <c r="Q116" s="34"/>
      <c r="R116" s="37"/>
      <c r="S116" s="14" t="str">
        <f t="shared" si="10"/>
        <v/>
      </c>
    </row>
    <row r="117" spans="2:19" x14ac:dyDescent="0.2">
      <c r="B117" s="2" t="str">
        <f t="shared" si="11"/>
        <v/>
      </c>
      <c r="C117" s="2" t="str">
        <f t="shared" si="12"/>
        <v/>
      </c>
      <c r="D117" s="2" t="str">
        <f t="shared" si="8"/>
        <v>Y</v>
      </c>
      <c r="E117" s="2">
        <f t="shared" si="9"/>
        <v>0</v>
      </c>
      <c r="F117" s="2" t="str">
        <f t="shared" si="13"/>
        <v/>
      </c>
      <c r="H117" s="56" t="s">
        <v>114</v>
      </c>
      <c r="I117" s="28"/>
      <c r="J117" s="29"/>
      <c r="K117" s="29"/>
      <c r="L117" s="30"/>
      <c r="M117" s="30"/>
      <c r="N117" s="36"/>
      <c r="O117" s="32"/>
      <c r="P117" s="33"/>
      <c r="Q117" s="34"/>
      <c r="R117" s="37"/>
      <c r="S117" s="14" t="str">
        <f t="shared" si="10"/>
        <v/>
      </c>
    </row>
    <row r="118" spans="2:19" x14ac:dyDescent="0.2">
      <c r="B118" s="2" t="str">
        <f t="shared" si="11"/>
        <v/>
      </c>
      <c r="C118" s="2" t="str">
        <f t="shared" si="12"/>
        <v/>
      </c>
      <c r="D118" s="2" t="str">
        <f t="shared" si="8"/>
        <v>Y</v>
      </c>
      <c r="E118" s="2">
        <f t="shared" si="9"/>
        <v>0</v>
      </c>
      <c r="F118" s="2" t="str">
        <f t="shared" si="13"/>
        <v/>
      </c>
      <c r="H118" s="56" t="s">
        <v>115</v>
      </c>
      <c r="I118" s="28"/>
      <c r="J118" s="29"/>
      <c r="K118" s="29"/>
      <c r="L118" s="30"/>
      <c r="M118" s="30"/>
      <c r="N118" s="36"/>
      <c r="O118" s="32"/>
      <c r="P118" s="33"/>
      <c r="Q118" s="34"/>
      <c r="R118" s="37"/>
      <c r="S118" s="14" t="str">
        <f t="shared" si="10"/>
        <v/>
      </c>
    </row>
    <row r="119" spans="2:19" x14ac:dyDescent="0.2">
      <c r="B119" s="2" t="str">
        <f t="shared" si="11"/>
        <v/>
      </c>
      <c r="C119" s="2" t="str">
        <f t="shared" si="12"/>
        <v/>
      </c>
      <c r="D119" s="2" t="str">
        <f t="shared" si="8"/>
        <v>Y</v>
      </c>
      <c r="E119" s="2">
        <f t="shared" si="9"/>
        <v>0</v>
      </c>
      <c r="F119" s="2" t="str">
        <f t="shared" si="13"/>
        <v/>
      </c>
      <c r="H119" s="56" t="s">
        <v>116</v>
      </c>
      <c r="I119" s="28"/>
      <c r="J119" s="29"/>
      <c r="K119" s="29"/>
      <c r="L119" s="30"/>
      <c r="M119" s="30"/>
      <c r="N119" s="36"/>
      <c r="O119" s="32"/>
      <c r="P119" s="33"/>
      <c r="Q119" s="34"/>
      <c r="R119" s="37"/>
      <c r="S119" s="14" t="str">
        <f t="shared" si="10"/>
        <v/>
      </c>
    </row>
    <row r="120" spans="2:19" x14ac:dyDescent="0.2">
      <c r="B120" s="2" t="str">
        <f t="shared" si="11"/>
        <v/>
      </c>
      <c r="C120" s="2" t="str">
        <f t="shared" si="12"/>
        <v/>
      </c>
      <c r="D120" s="2" t="str">
        <f t="shared" si="8"/>
        <v>Y</v>
      </c>
      <c r="E120" s="2">
        <f t="shared" si="9"/>
        <v>0</v>
      </c>
      <c r="F120" s="2" t="str">
        <f t="shared" si="13"/>
        <v/>
      </c>
      <c r="H120" s="56" t="s">
        <v>117</v>
      </c>
      <c r="I120" s="28"/>
      <c r="J120" s="29"/>
      <c r="K120" s="29"/>
      <c r="L120" s="30"/>
      <c r="M120" s="30"/>
      <c r="N120" s="36"/>
      <c r="O120" s="32"/>
      <c r="P120" s="33"/>
      <c r="Q120" s="34"/>
      <c r="R120" s="37"/>
      <c r="S120" s="14" t="str">
        <f t="shared" si="10"/>
        <v/>
      </c>
    </row>
    <row r="121" spans="2:19" x14ac:dyDescent="0.2">
      <c r="B121" s="2" t="str">
        <f t="shared" si="11"/>
        <v/>
      </c>
      <c r="C121" s="2" t="str">
        <f t="shared" si="12"/>
        <v/>
      </c>
      <c r="D121" s="2" t="str">
        <f t="shared" si="8"/>
        <v>Y</v>
      </c>
      <c r="E121" s="2">
        <f t="shared" si="9"/>
        <v>0</v>
      </c>
      <c r="F121" s="2" t="str">
        <f t="shared" si="13"/>
        <v/>
      </c>
      <c r="H121" s="56" t="s">
        <v>118</v>
      </c>
      <c r="I121" s="28"/>
      <c r="J121" s="29"/>
      <c r="K121" s="29"/>
      <c r="L121" s="30"/>
      <c r="M121" s="30"/>
      <c r="N121" s="36"/>
      <c r="O121" s="32"/>
      <c r="P121" s="33"/>
      <c r="Q121" s="34"/>
      <c r="R121" s="37"/>
      <c r="S121" s="14" t="str">
        <f t="shared" si="10"/>
        <v/>
      </c>
    </row>
    <row r="122" spans="2:19" x14ac:dyDescent="0.2">
      <c r="B122" s="2" t="str">
        <f t="shared" si="11"/>
        <v/>
      </c>
      <c r="C122" s="2" t="str">
        <f t="shared" si="12"/>
        <v/>
      </c>
      <c r="D122" s="2" t="str">
        <f t="shared" si="8"/>
        <v>Y</v>
      </c>
      <c r="E122" s="2">
        <f t="shared" si="9"/>
        <v>0</v>
      </c>
      <c r="F122" s="2" t="str">
        <f t="shared" si="13"/>
        <v/>
      </c>
      <c r="H122" s="56" t="s">
        <v>119</v>
      </c>
      <c r="I122" s="28"/>
      <c r="J122" s="29"/>
      <c r="K122" s="29"/>
      <c r="L122" s="30"/>
      <c r="M122" s="30"/>
      <c r="N122" s="36"/>
      <c r="O122" s="32"/>
      <c r="P122" s="33"/>
      <c r="Q122" s="34"/>
      <c r="R122" s="37"/>
      <c r="S122" s="14" t="str">
        <f t="shared" si="10"/>
        <v/>
      </c>
    </row>
    <row r="123" spans="2:19" x14ac:dyDescent="0.2">
      <c r="B123" s="2" t="str">
        <f t="shared" si="11"/>
        <v/>
      </c>
      <c r="C123" s="2" t="str">
        <f t="shared" si="12"/>
        <v/>
      </c>
      <c r="D123" s="2" t="str">
        <f t="shared" si="8"/>
        <v>Y</v>
      </c>
      <c r="E123" s="2">
        <f t="shared" si="9"/>
        <v>0</v>
      </c>
      <c r="F123" s="2" t="str">
        <f t="shared" si="13"/>
        <v/>
      </c>
      <c r="H123" s="56" t="s">
        <v>120</v>
      </c>
      <c r="I123" s="28"/>
      <c r="J123" s="29"/>
      <c r="K123" s="29"/>
      <c r="L123" s="30"/>
      <c r="M123" s="30"/>
      <c r="N123" s="36"/>
      <c r="O123" s="32"/>
      <c r="P123" s="33"/>
      <c r="Q123" s="34"/>
      <c r="R123" s="37"/>
      <c r="S123" s="14" t="str">
        <f t="shared" si="10"/>
        <v/>
      </c>
    </row>
    <row r="124" spans="2:19" x14ac:dyDescent="0.2">
      <c r="B124" s="2" t="str">
        <f t="shared" si="11"/>
        <v/>
      </c>
      <c r="C124" s="2" t="str">
        <f t="shared" si="12"/>
        <v/>
      </c>
      <c r="D124" s="2" t="str">
        <f t="shared" si="8"/>
        <v>Y</v>
      </c>
      <c r="E124" s="2">
        <f t="shared" si="9"/>
        <v>0</v>
      </c>
      <c r="F124" s="2" t="str">
        <f t="shared" si="13"/>
        <v/>
      </c>
      <c r="H124" s="56" t="s">
        <v>121</v>
      </c>
      <c r="I124" s="28"/>
      <c r="J124" s="29"/>
      <c r="K124" s="29"/>
      <c r="L124" s="30"/>
      <c r="M124" s="30"/>
      <c r="N124" s="36"/>
      <c r="O124" s="32"/>
      <c r="P124" s="33"/>
      <c r="Q124" s="34"/>
      <c r="R124" s="37"/>
      <c r="S124" s="14" t="str">
        <f t="shared" si="10"/>
        <v/>
      </c>
    </row>
    <row r="125" spans="2:19" x14ac:dyDescent="0.2">
      <c r="B125" s="2" t="str">
        <f t="shared" si="11"/>
        <v/>
      </c>
      <c r="C125" s="2" t="str">
        <f t="shared" si="12"/>
        <v/>
      </c>
      <c r="D125" s="2" t="str">
        <f t="shared" si="8"/>
        <v>Y</v>
      </c>
      <c r="E125" s="2">
        <f t="shared" si="9"/>
        <v>0</v>
      </c>
      <c r="F125" s="2" t="str">
        <f t="shared" si="13"/>
        <v/>
      </c>
      <c r="H125" s="56" t="s">
        <v>122</v>
      </c>
      <c r="I125" s="28"/>
      <c r="J125" s="29"/>
      <c r="K125" s="29"/>
      <c r="L125" s="30"/>
      <c r="M125" s="30"/>
      <c r="N125" s="36"/>
      <c r="O125" s="32"/>
      <c r="P125" s="33"/>
      <c r="Q125" s="34"/>
      <c r="R125" s="37"/>
      <c r="S125" s="14" t="str">
        <f t="shared" si="10"/>
        <v/>
      </c>
    </row>
    <row r="126" spans="2:19" x14ac:dyDescent="0.2">
      <c r="B126" s="2" t="str">
        <f t="shared" si="11"/>
        <v/>
      </c>
      <c r="C126" s="2" t="str">
        <f t="shared" si="12"/>
        <v/>
      </c>
      <c r="D126" s="2" t="str">
        <f t="shared" si="8"/>
        <v>Y</v>
      </c>
      <c r="E126" s="2">
        <f t="shared" si="9"/>
        <v>0</v>
      </c>
      <c r="F126" s="2" t="str">
        <f t="shared" si="13"/>
        <v/>
      </c>
      <c r="H126" s="56" t="s">
        <v>123</v>
      </c>
      <c r="I126" s="28"/>
      <c r="J126" s="29"/>
      <c r="K126" s="29"/>
      <c r="L126" s="30"/>
      <c r="M126" s="30"/>
      <c r="N126" s="36"/>
      <c r="O126" s="32"/>
      <c r="P126" s="33"/>
      <c r="Q126" s="34"/>
      <c r="R126" s="37"/>
      <c r="S126" s="14" t="str">
        <f t="shared" si="10"/>
        <v/>
      </c>
    </row>
    <row r="127" spans="2:19" x14ac:dyDescent="0.2">
      <c r="B127" s="2" t="str">
        <f t="shared" si="11"/>
        <v/>
      </c>
      <c r="C127" s="2" t="str">
        <f t="shared" si="12"/>
        <v/>
      </c>
      <c r="D127" s="2" t="str">
        <f t="shared" si="8"/>
        <v>Y</v>
      </c>
      <c r="E127" s="2">
        <f t="shared" si="9"/>
        <v>0</v>
      </c>
      <c r="F127" s="2" t="str">
        <f t="shared" si="13"/>
        <v/>
      </c>
      <c r="H127" s="56" t="s">
        <v>124</v>
      </c>
      <c r="I127" s="28"/>
      <c r="J127" s="29"/>
      <c r="K127" s="29"/>
      <c r="L127" s="30"/>
      <c r="M127" s="30"/>
      <c r="N127" s="36"/>
      <c r="O127" s="32"/>
      <c r="P127" s="33"/>
      <c r="Q127" s="34"/>
      <c r="R127" s="37"/>
      <c r="S127" s="14" t="str">
        <f t="shared" si="10"/>
        <v/>
      </c>
    </row>
    <row r="128" spans="2:19" x14ac:dyDescent="0.2">
      <c r="B128" s="2" t="str">
        <f t="shared" si="11"/>
        <v/>
      </c>
      <c r="C128" s="2" t="str">
        <f t="shared" si="12"/>
        <v/>
      </c>
      <c r="D128" s="2" t="str">
        <f t="shared" si="8"/>
        <v>Y</v>
      </c>
      <c r="E128" s="2">
        <f t="shared" si="9"/>
        <v>0</v>
      </c>
      <c r="F128" s="2" t="str">
        <f t="shared" si="13"/>
        <v/>
      </c>
      <c r="H128" s="56" t="s">
        <v>125</v>
      </c>
      <c r="I128" s="28"/>
      <c r="J128" s="29"/>
      <c r="K128" s="29"/>
      <c r="L128" s="30"/>
      <c r="M128" s="30"/>
      <c r="N128" s="36"/>
      <c r="O128" s="32"/>
      <c r="P128" s="33"/>
      <c r="Q128" s="34"/>
      <c r="R128" s="37"/>
      <c r="S128" s="14" t="str">
        <f t="shared" si="10"/>
        <v/>
      </c>
    </row>
    <row r="129" spans="2:19" x14ac:dyDescent="0.2">
      <c r="B129" s="2" t="str">
        <f t="shared" si="11"/>
        <v/>
      </c>
      <c r="C129" s="2" t="str">
        <f t="shared" si="12"/>
        <v/>
      </c>
      <c r="D129" s="2" t="str">
        <f t="shared" si="8"/>
        <v>Y</v>
      </c>
      <c r="E129" s="2">
        <f t="shared" si="9"/>
        <v>0</v>
      </c>
      <c r="F129" s="2" t="str">
        <f t="shared" si="13"/>
        <v/>
      </c>
      <c r="H129" s="56" t="s">
        <v>126</v>
      </c>
      <c r="I129" s="28"/>
      <c r="J129" s="29"/>
      <c r="K129" s="29"/>
      <c r="L129" s="30"/>
      <c r="M129" s="30"/>
      <c r="N129" s="36"/>
      <c r="O129" s="32"/>
      <c r="P129" s="33"/>
      <c r="Q129" s="34"/>
      <c r="R129" s="37"/>
      <c r="S129" s="14" t="str">
        <f t="shared" si="10"/>
        <v/>
      </c>
    </row>
    <row r="130" spans="2:19" x14ac:dyDescent="0.2">
      <c r="B130" s="2" t="str">
        <f t="shared" si="11"/>
        <v/>
      </c>
      <c r="C130" s="2" t="str">
        <f t="shared" si="12"/>
        <v/>
      </c>
      <c r="D130" s="2" t="str">
        <f t="shared" si="8"/>
        <v>Y</v>
      </c>
      <c r="E130" s="2">
        <f t="shared" si="9"/>
        <v>0</v>
      </c>
      <c r="F130" s="2" t="str">
        <f t="shared" si="13"/>
        <v/>
      </c>
      <c r="H130" s="56" t="s">
        <v>127</v>
      </c>
      <c r="I130" s="28"/>
      <c r="J130" s="29"/>
      <c r="K130" s="29"/>
      <c r="L130" s="30"/>
      <c r="M130" s="30"/>
      <c r="N130" s="36"/>
      <c r="O130" s="32"/>
      <c r="P130" s="33"/>
      <c r="Q130" s="34"/>
      <c r="R130" s="37"/>
      <c r="S130" s="14" t="str">
        <f t="shared" si="10"/>
        <v/>
      </c>
    </row>
    <row r="131" spans="2:19" x14ac:dyDescent="0.2">
      <c r="B131" s="2" t="str">
        <f t="shared" si="11"/>
        <v/>
      </c>
      <c r="C131" s="2" t="str">
        <f t="shared" si="12"/>
        <v/>
      </c>
      <c r="D131" s="2" t="str">
        <f t="shared" si="8"/>
        <v>Y</v>
      </c>
      <c r="E131" s="2">
        <f t="shared" si="9"/>
        <v>0</v>
      </c>
      <c r="F131" s="2" t="str">
        <f t="shared" si="13"/>
        <v/>
      </c>
      <c r="H131" s="56" t="s">
        <v>128</v>
      </c>
      <c r="I131" s="28"/>
      <c r="J131" s="29"/>
      <c r="K131" s="29"/>
      <c r="L131" s="30"/>
      <c r="M131" s="30"/>
      <c r="N131" s="36"/>
      <c r="O131" s="32"/>
      <c r="P131" s="33"/>
      <c r="Q131" s="34"/>
      <c r="R131" s="37"/>
      <c r="S131" s="14" t="str">
        <f t="shared" si="10"/>
        <v/>
      </c>
    </row>
    <row r="132" spans="2:19" x14ac:dyDescent="0.2">
      <c r="B132" s="2" t="str">
        <f t="shared" si="11"/>
        <v/>
      </c>
      <c r="C132" s="2" t="str">
        <f t="shared" si="12"/>
        <v/>
      </c>
      <c r="D132" s="2" t="str">
        <f t="shared" si="8"/>
        <v>Y</v>
      </c>
      <c r="E132" s="2">
        <f t="shared" si="9"/>
        <v>0</v>
      </c>
      <c r="F132" s="2" t="str">
        <f t="shared" si="13"/>
        <v/>
      </c>
      <c r="H132" s="56" t="s">
        <v>129</v>
      </c>
      <c r="I132" s="28"/>
      <c r="J132" s="29"/>
      <c r="K132" s="29"/>
      <c r="L132" s="30"/>
      <c r="M132" s="30"/>
      <c r="N132" s="36"/>
      <c r="O132" s="32"/>
      <c r="P132" s="33"/>
      <c r="Q132" s="34"/>
      <c r="R132" s="37"/>
      <c r="S132" s="14" t="str">
        <f t="shared" si="10"/>
        <v/>
      </c>
    </row>
    <row r="133" spans="2:19" x14ac:dyDescent="0.2">
      <c r="B133" s="2" t="str">
        <f t="shared" si="11"/>
        <v/>
      </c>
      <c r="C133" s="2" t="str">
        <f t="shared" si="12"/>
        <v/>
      </c>
      <c r="D133" s="2" t="str">
        <f t="shared" si="8"/>
        <v>Y</v>
      </c>
      <c r="E133" s="2">
        <f t="shared" si="9"/>
        <v>0</v>
      </c>
      <c r="F133" s="2" t="str">
        <f t="shared" si="13"/>
        <v/>
      </c>
      <c r="H133" s="56" t="s">
        <v>130</v>
      </c>
      <c r="I133" s="28"/>
      <c r="J133" s="29"/>
      <c r="K133" s="29"/>
      <c r="L133" s="30"/>
      <c r="M133" s="30"/>
      <c r="N133" s="36"/>
      <c r="O133" s="32"/>
      <c r="P133" s="33"/>
      <c r="Q133" s="34"/>
      <c r="R133" s="37"/>
      <c r="S133" s="14" t="str">
        <f t="shared" si="10"/>
        <v/>
      </c>
    </row>
    <row r="134" spans="2:19" x14ac:dyDescent="0.2">
      <c r="B134" s="2" t="str">
        <f t="shared" si="11"/>
        <v/>
      </c>
      <c r="C134" s="2" t="str">
        <f t="shared" si="12"/>
        <v/>
      </c>
      <c r="D134" s="2" t="str">
        <f t="shared" si="8"/>
        <v>Y</v>
      </c>
      <c r="E134" s="2">
        <f t="shared" si="9"/>
        <v>0</v>
      </c>
      <c r="F134" s="2" t="str">
        <f t="shared" si="13"/>
        <v/>
      </c>
      <c r="H134" s="56" t="s">
        <v>131</v>
      </c>
      <c r="I134" s="28"/>
      <c r="J134" s="29"/>
      <c r="K134" s="29"/>
      <c r="L134" s="30"/>
      <c r="M134" s="30"/>
      <c r="N134" s="36"/>
      <c r="O134" s="32"/>
      <c r="P134" s="33"/>
      <c r="Q134" s="34"/>
      <c r="R134" s="37"/>
      <c r="S134" s="14" t="str">
        <f t="shared" si="10"/>
        <v/>
      </c>
    </row>
    <row r="135" spans="2:19" x14ac:dyDescent="0.2">
      <c r="B135" s="2" t="str">
        <f t="shared" si="11"/>
        <v/>
      </c>
      <c r="C135" s="2" t="str">
        <f t="shared" si="12"/>
        <v/>
      </c>
      <c r="D135" s="2" t="str">
        <f t="shared" si="8"/>
        <v>Y</v>
      </c>
      <c r="E135" s="2">
        <f t="shared" si="9"/>
        <v>0</v>
      </c>
      <c r="F135" s="2" t="str">
        <f t="shared" si="13"/>
        <v/>
      </c>
      <c r="H135" s="56" t="s">
        <v>132</v>
      </c>
      <c r="I135" s="28"/>
      <c r="J135" s="29"/>
      <c r="K135" s="29"/>
      <c r="L135" s="30"/>
      <c r="M135" s="30"/>
      <c r="N135" s="36"/>
      <c r="O135" s="32"/>
      <c r="P135" s="33"/>
      <c r="Q135" s="34"/>
      <c r="R135" s="37"/>
      <c r="S135" s="14" t="str">
        <f t="shared" si="10"/>
        <v/>
      </c>
    </row>
    <row r="136" spans="2:19" x14ac:dyDescent="0.2">
      <c r="B136" s="2" t="str">
        <f t="shared" si="11"/>
        <v/>
      </c>
      <c r="C136" s="2" t="str">
        <f t="shared" si="12"/>
        <v/>
      </c>
      <c r="D136" s="2" t="str">
        <f t="shared" si="8"/>
        <v>Y</v>
      </c>
      <c r="E136" s="2">
        <f t="shared" si="9"/>
        <v>0</v>
      </c>
      <c r="F136" s="2" t="str">
        <f t="shared" si="13"/>
        <v/>
      </c>
      <c r="H136" s="56" t="s">
        <v>133</v>
      </c>
      <c r="I136" s="28"/>
      <c r="J136" s="29"/>
      <c r="K136" s="29"/>
      <c r="L136" s="30"/>
      <c r="M136" s="30"/>
      <c r="N136" s="36"/>
      <c r="O136" s="32"/>
      <c r="P136" s="33"/>
      <c r="Q136" s="34"/>
      <c r="R136" s="37"/>
      <c r="S136" s="14" t="str">
        <f t="shared" si="10"/>
        <v/>
      </c>
    </row>
    <row r="137" spans="2:19" x14ac:dyDescent="0.2">
      <c r="B137" s="2" t="str">
        <f t="shared" si="11"/>
        <v/>
      </c>
      <c r="C137" s="2" t="str">
        <f t="shared" si="12"/>
        <v/>
      </c>
      <c r="D137" s="2" t="str">
        <f t="shared" si="8"/>
        <v>Y</v>
      </c>
      <c r="E137" s="2">
        <f t="shared" si="9"/>
        <v>0</v>
      </c>
      <c r="F137" s="2" t="str">
        <f t="shared" si="13"/>
        <v/>
      </c>
      <c r="H137" s="56" t="s">
        <v>134</v>
      </c>
      <c r="I137" s="28"/>
      <c r="J137" s="29"/>
      <c r="K137" s="29"/>
      <c r="L137" s="30"/>
      <c r="M137" s="30"/>
      <c r="N137" s="36"/>
      <c r="O137" s="32"/>
      <c r="P137" s="33"/>
      <c r="Q137" s="34"/>
      <c r="R137" s="37"/>
      <c r="S137" s="14" t="str">
        <f t="shared" si="10"/>
        <v/>
      </c>
    </row>
    <row r="138" spans="2:19" x14ac:dyDescent="0.2">
      <c r="B138" s="2" t="str">
        <f t="shared" si="11"/>
        <v/>
      </c>
      <c r="C138" s="2" t="str">
        <f t="shared" si="12"/>
        <v/>
      </c>
      <c r="D138" s="2" t="str">
        <f t="shared" si="8"/>
        <v>Y</v>
      </c>
      <c r="E138" s="2">
        <f t="shared" si="9"/>
        <v>0</v>
      </c>
      <c r="F138" s="2" t="str">
        <f t="shared" si="13"/>
        <v/>
      </c>
      <c r="H138" s="56" t="s">
        <v>135</v>
      </c>
      <c r="I138" s="28"/>
      <c r="J138" s="29"/>
      <c r="K138" s="29"/>
      <c r="L138" s="30"/>
      <c r="M138" s="30"/>
      <c r="N138" s="36"/>
      <c r="O138" s="32"/>
      <c r="P138" s="33"/>
      <c r="Q138" s="34"/>
      <c r="R138" s="37"/>
      <c r="S138" s="14" t="str">
        <f t="shared" si="10"/>
        <v/>
      </c>
    </row>
    <row r="139" spans="2:19" x14ac:dyDescent="0.2">
      <c r="B139" s="2" t="str">
        <f t="shared" si="11"/>
        <v/>
      </c>
      <c r="C139" s="2" t="str">
        <f t="shared" si="12"/>
        <v/>
      </c>
      <c r="D139" s="2" t="str">
        <f t="shared" ref="D139:D202" si="14">IF(OR(P139=Not_started,P139=In_progress),"N",IF(OR(P139=N_A,P139=Suspended,P139=Canceled),"","Y"))</f>
        <v>Y</v>
      </c>
      <c r="E139" s="2">
        <f t="shared" ref="E139:E202" si="15">IF(OR(P139=Not_started,P139=In_progress,P139=Applied,P139=Closed),1,0)</f>
        <v>0</v>
      </c>
      <c r="F139" s="2" t="str">
        <f t="shared" si="13"/>
        <v/>
      </c>
      <c r="H139" s="56" t="s">
        <v>136</v>
      </c>
      <c r="I139" s="28"/>
      <c r="J139" s="29"/>
      <c r="K139" s="29"/>
      <c r="L139" s="30"/>
      <c r="M139" s="30"/>
      <c r="N139" s="36"/>
      <c r="O139" s="32"/>
      <c r="P139" s="33"/>
      <c r="Q139" s="34"/>
      <c r="R139" s="37"/>
      <c r="S139" s="14" t="str">
        <f t="shared" ref="S139:S202" si="16">IF(ISERROR(VLOOKUP(K139,LB_PROJECTS,2,FALSE)),"",VLOOKUP(K139,LB_PROJECTS,2,FALSE))</f>
        <v/>
      </c>
    </row>
    <row r="140" spans="2:19" x14ac:dyDescent="0.2">
      <c r="B140" s="2" t="str">
        <f t="shared" ref="B140:B203" si="17">IF(N140="","",IF(WEEKNUM(N140)&lt;10,VALUE(CONCATENATE(YEAR(N140),"0",WEEKNUM(N140))),VALUE(CONCATENATE(YEAR(N140),WEEKNUM(N140)))))</f>
        <v/>
      </c>
      <c r="C140" s="2" t="str">
        <f t="shared" ref="C140:C203" si="18">IF(Q140="","",IF(WEEKNUM(Q140)&lt;10,VALUE(CONCATENATE(YEAR(Q140),"0",WEEKNUM(Q140))),VALUE(CONCATENATE(YEAR(Q140),WEEKNUM(Q140)))))</f>
        <v/>
      </c>
      <c r="D140" s="2" t="str">
        <f t="shared" si="14"/>
        <v>Y</v>
      </c>
      <c r="E140" s="2">
        <f t="shared" si="15"/>
        <v>0</v>
      </c>
      <c r="F140" s="2" t="str">
        <f t="shared" si="13"/>
        <v/>
      </c>
      <c r="H140" s="56" t="s">
        <v>137</v>
      </c>
      <c r="I140" s="28"/>
      <c r="J140" s="29"/>
      <c r="K140" s="29"/>
      <c r="L140" s="30"/>
      <c r="M140" s="30"/>
      <c r="N140" s="36"/>
      <c r="O140" s="32"/>
      <c r="P140" s="33"/>
      <c r="Q140" s="34"/>
      <c r="R140" s="37"/>
      <c r="S140" s="14" t="str">
        <f t="shared" si="16"/>
        <v/>
      </c>
    </row>
    <row r="141" spans="2:19" x14ac:dyDescent="0.2">
      <c r="B141" s="2" t="str">
        <f t="shared" si="17"/>
        <v/>
      </c>
      <c r="C141" s="2" t="str">
        <f t="shared" si="18"/>
        <v/>
      </c>
      <c r="D141" s="2" t="str">
        <f t="shared" si="14"/>
        <v>Y</v>
      </c>
      <c r="E141" s="2">
        <f t="shared" si="15"/>
        <v>0</v>
      </c>
      <c r="F141" s="2" t="str">
        <f t="shared" si="13"/>
        <v/>
      </c>
      <c r="H141" s="56" t="s">
        <v>138</v>
      </c>
      <c r="I141" s="28"/>
      <c r="J141" s="29"/>
      <c r="K141" s="29"/>
      <c r="L141" s="30"/>
      <c r="M141" s="30"/>
      <c r="N141" s="36"/>
      <c r="O141" s="32"/>
      <c r="P141" s="33"/>
      <c r="Q141" s="34"/>
      <c r="R141" s="37"/>
      <c r="S141" s="14" t="str">
        <f t="shared" si="16"/>
        <v/>
      </c>
    </row>
    <row r="142" spans="2:19" x14ac:dyDescent="0.2">
      <c r="B142" s="2" t="str">
        <f t="shared" si="17"/>
        <v/>
      </c>
      <c r="C142" s="2" t="str">
        <f t="shared" si="18"/>
        <v/>
      </c>
      <c r="D142" s="2" t="str">
        <f t="shared" si="14"/>
        <v>Y</v>
      </c>
      <c r="E142" s="2">
        <f t="shared" si="15"/>
        <v>0</v>
      </c>
      <c r="F142" s="2" t="str">
        <f t="shared" ref="F142:F205" si="19">IF(O142="",B142,IF(WEEKNUM(O142)&lt;10,VALUE(CONCATENATE(YEAR(O142),"0",WEEKNUM(O142))),VALUE(CONCATENATE(YEAR(O142),WEEKNUM(O142)))))</f>
        <v/>
      </c>
      <c r="H142" s="56" t="s">
        <v>139</v>
      </c>
      <c r="I142" s="28"/>
      <c r="J142" s="29"/>
      <c r="K142" s="29"/>
      <c r="L142" s="30"/>
      <c r="M142" s="30"/>
      <c r="N142" s="36"/>
      <c r="O142" s="32"/>
      <c r="P142" s="33"/>
      <c r="Q142" s="34"/>
      <c r="R142" s="37"/>
      <c r="S142" s="14" t="str">
        <f t="shared" si="16"/>
        <v/>
      </c>
    </row>
    <row r="143" spans="2:19" x14ac:dyDescent="0.2">
      <c r="B143" s="2" t="str">
        <f t="shared" si="17"/>
        <v/>
      </c>
      <c r="C143" s="2" t="str">
        <f t="shared" si="18"/>
        <v/>
      </c>
      <c r="D143" s="2" t="str">
        <f t="shared" si="14"/>
        <v>Y</v>
      </c>
      <c r="E143" s="2">
        <f t="shared" si="15"/>
        <v>0</v>
      </c>
      <c r="F143" s="2" t="str">
        <f t="shared" si="19"/>
        <v/>
      </c>
      <c r="H143" s="56" t="s">
        <v>140</v>
      </c>
      <c r="I143" s="28"/>
      <c r="J143" s="29"/>
      <c r="K143" s="29"/>
      <c r="L143" s="30"/>
      <c r="M143" s="30"/>
      <c r="N143" s="36"/>
      <c r="O143" s="32"/>
      <c r="P143" s="33"/>
      <c r="Q143" s="34"/>
      <c r="R143" s="37"/>
      <c r="S143" s="14" t="str">
        <f t="shared" si="16"/>
        <v/>
      </c>
    </row>
    <row r="144" spans="2:19" x14ac:dyDescent="0.2">
      <c r="B144" s="2" t="str">
        <f t="shared" si="17"/>
        <v/>
      </c>
      <c r="C144" s="2" t="str">
        <f t="shared" si="18"/>
        <v/>
      </c>
      <c r="D144" s="2" t="str">
        <f t="shared" si="14"/>
        <v>Y</v>
      </c>
      <c r="E144" s="2">
        <f t="shared" si="15"/>
        <v>0</v>
      </c>
      <c r="F144" s="2" t="str">
        <f t="shared" si="19"/>
        <v/>
      </c>
      <c r="H144" s="56" t="s">
        <v>141</v>
      </c>
      <c r="I144" s="28"/>
      <c r="J144" s="29"/>
      <c r="K144" s="29"/>
      <c r="L144" s="30"/>
      <c r="M144" s="30"/>
      <c r="N144" s="36"/>
      <c r="O144" s="32"/>
      <c r="P144" s="33"/>
      <c r="Q144" s="34"/>
      <c r="R144" s="37"/>
      <c r="S144" s="14" t="str">
        <f t="shared" si="16"/>
        <v/>
      </c>
    </row>
    <row r="145" spans="2:19" x14ac:dyDescent="0.2">
      <c r="B145" s="2" t="str">
        <f t="shared" si="17"/>
        <v/>
      </c>
      <c r="C145" s="2" t="str">
        <f t="shared" si="18"/>
        <v/>
      </c>
      <c r="D145" s="2" t="str">
        <f t="shared" si="14"/>
        <v>Y</v>
      </c>
      <c r="E145" s="2">
        <f t="shared" si="15"/>
        <v>0</v>
      </c>
      <c r="F145" s="2" t="str">
        <f t="shared" si="19"/>
        <v/>
      </c>
      <c r="H145" s="56" t="s">
        <v>142</v>
      </c>
      <c r="I145" s="28"/>
      <c r="J145" s="29"/>
      <c r="K145" s="29"/>
      <c r="L145" s="30"/>
      <c r="M145" s="30"/>
      <c r="N145" s="36"/>
      <c r="O145" s="32"/>
      <c r="P145" s="33"/>
      <c r="Q145" s="34"/>
      <c r="R145" s="37"/>
      <c r="S145" s="14" t="str">
        <f t="shared" si="16"/>
        <v/>
      </c>
    </row>
    <row r="146" spans="2:19" x14ac:dyDescent="0.2">
      <c r="B146" s="2" t="str">
        <f t="shared" si="17"/>
        <v/>
      </c>
      <c r="C146" s="2" t="str">
        <f t="shared" si="18"/>
        <v/>
      </c>
      <c r="D146" s="2" t="str">
        <f t="shared" si="14"/>
        <v>Y</v>
      </c>
      <c r="E146" s="2">
        <f t="shared" si="15"/>
        <v>0</v>
      </c>
      <c r="F146" s="2" t="str">
        <f t="shared" si="19"/>
        <v/>
      </c>
      <c r="H146" s="56" t="s">
        <v>143</v>
      </c>
      <c r="I146" s="28"/>
      <c r="J146" s="29"/>
      <c r="K146" s="29"/>
      <c r="L146" s="30"/>
      <c r="M146" s="30"/>
      <c r="N146" s="36"/>
      <c r="O146" s="32"/>
      <c r="P146" s="33"/>
      <c r="Q146" s="34"/>
      <c r="R146" s="37"/>
      <c r="S146" s="14" t="str">
        <f t="shared" si="16"/>
        <v/>
      </c>
    </row>
    <row r="147" spans="2:19" x14ac:dyDescent="0.2">
      <c r="B147" s="2" t="str">
        <f t="shared" si="17"/>
        <v/>
      </c>
      <c r="C147" s="2" t="str">
        <f t="shared" si="18"/>
        <v/>
      </c>
      <c r="D147" s="2" t="str">
        <f t="shared" si="14"/>
        <v>Y</v>
      </c>
      <c r="E147" s="2">
        <f t="shared" si="15"/>
        <v>0</v>
      </c>
      <c r="F147" s="2" t="str">
        <f t="shared" si="19"/>
        <v/>
      </c>
      <c r="H147" s="56" t="s">
        <v>144</v>
      </c>
      <c r="I147" s="28"/>
      <c r="J147" s="29"/>
      <c r="K147" s="29"/>
      <c r="L147" s="30"/>
      <c r="M147" s="30"/>
      <c r="N147" s="36"/>
      <c r="O147" s="32"/>
      <c r="P147" s="33"/>
      <c r="Q147" s="34"/>
      <c r="R147" s="37"/>
      <c r="S147" s="14" t="str">
        <f t="shared" si="16"/>
        <v/>
      </c>
    </row>
    <row r="148" spans="2:19" x14ac:dyDescent="0.2">
      <c r="B148" s="2" t="str">
        <f t="shared" si="17"/>
        <v/>
      </c>
      <c r="C148" s="2" t="str">
        <f t="shared" si="18"/>
        <v/>
      </c>
      <c r="D148" s="2" t="str">
        <f t="shared" si="14"/>
        <v>Y</v>
      </c>
      <c r="E148" s="2">
        <f t="shared" si="15"/>
        <v>0</v>
      </c>
      <c r="F148" s="2" t="str">
        <f t="shared" si="19"/>
        <v/>
      </c>
      <c r="H148" s="56" t="s">
        <v>145</v>
      </c>
      <c r="I148" s="28"/>
      <c r="J148" s="29"/>
      <c r="K148" s="29"/>
      <c r="L148" s="30"/>
      <c r="M148" s="30"/>
      <c r="N148" s="36"/>
      <c r="O148" s="32"/>
      <c r="P148" s="33"/>
      <c r="Q148" s="34"/>
      <c r="R148" s="37"/>
      <c r="S148" s="14" t="str">
        <f t="shared" si="16"/>
        <v/>
      </c>
    </row>
    <row r="149" spans="2:19" x14ac:dyDescent="0.2">
      <c r="B149" s="2" t="str">
        <f t="shared" si="17"/>
        <v/>
      </c>
      <c r="C149" s="2" t="str">
        <f t="shared" si="18"/>
        <v/>
      </c>
      <c r="D149" s="2" t="str">
        <f t="shared" si="14"/>
        <v>Y</v>
      </c>
      <c r="E149" s="2">
        <f t="shared" si="15"/>
        <v>0</v>
      </c>
      <c r="F149" s="2" t="str">
        <f t="shared" si="19"/>
        <v/>
      </c>
      <c r="H149" s="56" t="s">
        <v>146</v>
      </c>
      <c r="I149" s="28"/>
      <c r="J149" s="29"/>
      <c r="K149" s="29"/>
      <c r="L149" s="30"/>
      <c r="M149" s="30"/>
      <c r="N149" s="36"/>
      <c r="O149" s="32"/>
      <c r="P149" s="33"/>
      <c r="Q149" s="34"/>
      <c r="R149" s="37"/>
      <c r="S149" s="14" t="str">
        <f t="shared" si="16"/>
        <v/>
      </c>
    </row>
    <row r="150" spans="2:19" x14ac:dyDescent="0.2">
      <c r="B150" s="2" t="str">
        <f t="shared" si="17"/>
        <v/>
      </c>
      <c r="C150" s="2" t="str">
        <f t="shared" si="18"/>
        <v/>
      </c>
      <c r="D150" s="2" t="str">
        <f t="shared" si="14"/>
        <v>Y</v>
      </c>
      <c r="E150" s="2">
        <f t="shared" si="15"/>
        <v>0</v>
      </c>
      <c r="F150" s="2" t="str">
        <f t="shared" si="19"/>
        <v/>
      </c>
      <c r="H150" s="56" t="s">
        <v>147</v>
      </c>
      <c r="I150" s="28"/>
      <c r="J150" s="29"/>
      <c r="K150" s="29"/>
      <c r="L150" s="30"/>
      <c r="M150" s="30"/>
      <c r="N150" s="36"/>
      <c r="O150" s="32"/>
      <c r="P150" s="33"/>
      <c r="Q150" s="34"/>
      <c r="R150" s="37"/>
      <c r="S150" s="14" t="str">
        <f t="shared" si="16"/>
        <v/>
      </c>
    </row>
    <row r="151" spans="2:19" x14ac:dyDescent="0.2">
      <c r="B151" s="2" t="str">
        <f t="shared" si="17"/>
        <v/>
      </c>
      <c r="C151" s="2" t="str">
        <f t="shared" si="18"/>
        <v/>
      </c>
      <c r="D151" s="2" t="str">
        <f t="shared" si="14"/>
        <v>Y</v>
      </c>
      <c r="E151" s="2">
        <f t="shared" si="15"/>
        <v>0</v>
      </c>
      <c r="F151" s="2" t="str">
        <f t="shared" si="19"/>
        <v/>
      </c>
      <c r="H151" s="56" t="s">
        <v>148</v>
      </c>
      <c r="I151" s="28"/>
      <c r="J151" s="29"/>
      <c r="K151" s="29"/>
      <c r="L151" s="30"/>
      <c r="M151" s="30"/>
      <c r="N151" s="36"/>
      <c r="O151" s="32"/>
      <c r="P151" s="33"/>
      <c r="Q151" s="34"/>
      <c r="R151" s="37"/>
      <c r="S151" s="14" t="str">
        <f t="shared" si="16"/>
        <v/>
      </c>
    </row>
    <row r="152" spans="2:19" x14ac:dyDescent="0.2">
      <c r="B152" s="2" t="str">
        <f t="shared" si="17"/>
        <v/>
      </c>
      <c r="C152" s="2" t="str">
        <f t="shared" si="18"/>
        <v/>
      </c>
      <c r="D152" s="2" t="str">
        <f t="shared" si="14"/>
        <v>Y</v>
      </c>
      <c r="E152" s="2">
        <f t="shared" si="15"/>
        <v>0</v>
      </c>
      <c r="F152" s="2" t="str">
        <f t="shared" si="19"/>
        <v/>
      </c>
      <c r="H152" s="56" t="s">
        <v>149</v>
      </c>
      <c r="I152" s="28"/>
      <c r="J152" s="29"/>
      <c r="K152" s="29"/>
      <c r="L152" s="30"/>
      <c r="M152" s="30"/>
      <c r="N152" s="36"/>
      <c r="O152" s="32"/>
      <c r="P152" s="33"/>
      <c r="Q152" s="34"/>
      <c r="R152" s="37"/>
      <c r="S152" s="14" t="str">
        <f t="shared" si="16"/>
        <v/>
      </c>
    </row>
    <row r="153" spans="2:19" x14ac:dyDescent="0.2">
      <c r="B153" s="2" t="str">
        <f t="shared" si="17"/>
        <v/>
      </c>
      <c r="C153" s="2" t="str">
        <f t="shared" si="18"/>
        <v/>
      </c>
      <c r="D153" s="2" t="str">
        <f t="shared" si="14"/>
        <v>Y</v>
      </c>
      <c r="E153" s="2">
        <f t="shared" si="15"/>
        <v>0</v>
      </c>
      <c r="F153" s="2" t="str">
        <f t="shared" si="19"/>
        <v/>
      </c>
      <c r="H153" s="56" t="s">
        <v>150</v>
      </c>
      <c r="I153" s="28"/>
      <c r="J153" s="29"/>
      <c r="K153" s="29"/>
      <c r="L153" s="30"/>
      <c r="M153" s="30"/>
      <c r="N153" s="36"/>
      <c r="O153" s="32"/>
      <c r="P153" s="33"/>
      <c r="Q153" s="34"/>
      <c r="R153" s="37"/>
      <c r="S153" s="14" t="str">
        <f t="shared" si="16"/>
        <v/>
      </c>
    </row>
    <row r="154" spans="2:19" x14ac:dyDescent="0.2">
      <c r="B154" s="2" t="str">
        <f t="shared" si="17"/>
        <v/>
      </c>
      <c r="C154" s="2" t="str">
        <f t="shared" si="18"/>
        <v/>
      </c>
      <c r="D154" s="2" t="str">
        <f t="shared" si="14"/>
        <v>Y</v>
      </c>
      <c r="E154" s="2">
        <f t="shared" si="15"/>
        <v>0</v>
      </c>
      <c r="F154" s="2" t="str">
        <f t="shared" si="19"/>
        <v/>
      </c>
      <c r="H154" s="56" t="s">
        <v>151</v>
      </c>
      <c r="I154" s="28"/>
      <c r="J154" s="29"/>
      <c r="K154" s="29"/>
      <c r="L154" s="30"/>
      <c r="M154" s="30"/>
      <c r="N154" s="36"/>
      <c r="O154" s="32"/>
      <c r="P154" s="33"/>
      <c r="Q154" s="34"/>
      <c r="R154" s="37"/>
      <c r="S154" s="14" t="str">
        <f t="shared" si="16"/>
        <v/>
      </c>
    </row>
    <row r="155" spans="2:19" x14ac:dyDescent="0.2">
      <c r="B155" s="2" t="str">
        <f t="shared" si="17"/>
        <v/>
      </c>
      <c r="C155" s="2" t="str">
        <f t="shared" si="18"/>
        <v/>
      </c>
      <c r="D155" s="2" t="str">
        <f t="shared" si="14"/>
        <v>Y</v>
      </c>
      <c r="E155" s="2">
        <f t="shared" si="15"/>
        <v>0</v>
      </c>
      <c r="F155" s="2" t="str">
        <f t="shared" si="19"/>
        <v/>
      </c>
      <c r="H155" s="56" t="s">
        <v>152</v>
      </c>
      <c r="I155" s="28"/>
      <c r="J155" s="29"/>
      <c r="K155" s="29"/>
      <c r="L155" s="30"/>
      <c r="M155" s="30"/>
      <c r="N155" s="36"/>
      <c r="O155" s="32"/>
      <c r="P155" s="33"/>
      <c r="Q155" s="34"/>
      <c r="R155" s="37"/>
      <c r="S155" s="14" t="str">
        <f t="shared" si="16"/>
        <v/>
      </c>
    </row>
    <row r="156" spans="2:19" x14ac:dyDescent="0.2">
      <c r="B156" s="2" t="str">
        <f t="shared" si="17"/>
        <v/>
      </c>
      <c r="C156" s="2" t="str">
        <f t="shared" si="18"/>
        <v/>
      </c>
      <c r="D156" s="2" t="str">
        <f t="shared" si="14"/>
        <v>Y</v>
      </c>
      <c r="E156" s="2">
        <f t="shared" si="15"/>
        <v>0</v>
      </c>
      <c r="F156" s="2" t="str">
        <f t="shared" si="19"/>
        <v/>
      </c>
      <c r="H156" s="56" t="s">
        <v>153</v>
      </c>
      <c r="I156" s="28"/>
      <c r="J156" s="29"/>
      <c r="K156" s="29"/>
      <c r="L156" s="30"/>
      <c r="M156" s="30"/>
      <c r="N156" s="36"/>
      <c r="O156" s="32"/>
      <c r="P156" s="33"/>
      <c r="Q156" s="34"/>
      <c r="R156" s="37"/>
      <c r="S156" s="14" t="str">
        <f t="shared" si="16"/>
        <v/>
      </c>
    </row>
    <row r="157" spans="2:19" x14ac:dyDescent="0.2">
      <c r="B157" s="2" t="str">
        <f t="shared" si="17"/>
        <v/>
      </c>
      <c r="C157" s="2" t="str">
        <f t="shared" si="18"/>
        <v/>
      </c>
      <c r="D157" s="2" t="str">
        <f t="shared" si="14"/>
        <v>Y</v>
      </c>
      <c r="E157" s="2">
        <f t="shared" si="15"/>
        <v>0</v>
      </c>
      <c r="F157" s="2" t="str">
        <f t="shared" si="19"/>
        <v/>
      </c>
      <c r="H157" s="56" t="s">
        <v>154</v>
      </c>
      <c r="I157" s="28"/>
      <c r="J157" s="29"/>
      <c r="K157" s="29"/>
      <c r="L157" s="30"/>
      <c r="M157" s="30"/>
      <c r="N157" s="36"/>
      <c r="O157" s="32"/>
      <c r="P157" s="33"/>
      <c r="Q157" s="34"/>
      <c r="R157" s="37"/>
      <c r="S157" s="14" t="str">
        <f t="shared" si="16"/>
        <v/>
      </c>
    </row>
    <row r="158" spans="2:19" x14ac:dyDescent="0.2">
      <c r="B158" s="2" t="str">
        <f t="shared" si="17"/>
        <v/>
      </c>
      <c r="C158" s="2" t="str">
        <f t="shared" si="18"/>
        <v/>
      </c>
      <c r="D158" s="2" t="str">
        <f t="shared" si="14"/>
        <v>Y</v>
      </c>
      <c r="E158" s="2">
        <f t="shared" si="15"/>
        <v>0</v>
      </c>
      <c r="F158" s="2" t="str">
        <f t="shared" si="19"/>
        <v/>
      </c>
      <c r="H158" s="56" t="s">
        <v>155</v>
      </c>
      <c r="I158" s="28"/>
      <c r="J158" s="29"/>
      <c r="K158" s="29"/>
      <c r="L158" s="30"/>
      <c r="M158" s="30"/>
      <c r="N158" s="36"/>
      <c r="O158" s="32"/>
      <c r="P158" s="33"/>
      <c r="Q158" s="34"/>
      <c r="R158" s="37"/>
      <c r="S158" s="14" t="str">
        <f t="shared" si="16"/>
        <v/>
      </c>
    </row>
    <row r="159" spans="2:19" x14ac:dyDescent="0.2">
      <c r="B159" s="2" t="str">
        <f t="shared" si="17"/>
        <v/>
      </c>
      <c r="C159" s="2" t="str">
        <f t="shared" si="18"/>
        <v/>
      </c>
      <c r="D159" s="2" t="str">
        <f t="shared" si="14"/>
        <v>Y</v>
      </c>
      <c r="E159" s="2">
        <f t="shared" si="15"/>
        <v>0</v>
      </c>
      <c r="F159" s="2" t="str">
        <f t="shared" si="19"/>
        <v/>
      </c>
      <c r="H159" s="56" t="s">
        <v>156</v>
      </c>
      <c r="I159" s="28"/>
      <c r="J159" s="29"/>
      <c r="K159" s="29"/>
      <c r="L159" s="30"/>
      <c r="M159" s="30"/>
      <c r="N159" s="36"/>
      <c r="O159" s="32"/>
      <c r="P159" s="33"/>
      <c r="Q159" s="34"/>
      <c r="R159" s="37"/>
      <c r="S159" s="14" t="str">
        <f t="shared" si="16"/>
        <v/>
      </c>
    </row>
    <row r="160" spans="2:19" x14ac:dyDescent="0.2">
      <c r="B160" s="2" t="str">
        <f t="shared" si="17"/>
        <v/>
      </c>
      <c r="C160" s="2" t="str">
        <f t="shared" si="18"/>
        <v/>
      </c>
      <c r="D160" s="2" t="str">
        <f t="shared" si="14"/>
        <v>Y</v>
      </c>
      <c r="E160" s="2">
        <f t="shared" si="15"/>
        <v>0</v>
      </c>
      <c r="F160" s="2" t="str">
        <f t="shared" si="19"/>
        <v/>
      </c>
      <c r="H160" s="56" t="s">
        <v>157</v>
      </c>
      <c r="I160" s="28"/>
      <c r="J160" s="29"/>
      <c r="K160" s="29"/>
      <c r="L160" s="30"/>
      <c r="M160" s="30"/>
      <c r="N160" s="36"/>
      <c r="O160" s="32"/>
      <c r="P160" s="33"/>
      <c r="Q160" s="34"/>
      <c r="R160" s="37"/>
      <c r="S160" s="14" t="str">
        <f t="shared" si="16"/>
        <v/>
      </c>
    </row>
    <row r="161" spans="2:19" x14ac:dyDescent="0.2">
      <c r="B161" s="2" t="str">
        <f t="shared" si="17"/>
        <v/>
      </c>
      <c r="C161" s="2" t="str">
        <f t="shared" si="18"/>
        <v/>
      </c>
      <c r="D161" s="2" t="str">
        <f t="shared" si="14"/>
        <v>Y</v>
      </c>
      <c r="E161" s="2">
        <f t="shared" si="15"/>
        <v>0</v>
      </c>
      <c r="F161" s="2" t="str">
        <f t="shared" si="19"/>
        <v/>
      </c>
      <c r="H161" s="56" t="s">
        <v>158</v>
      </c>
      <c r="I161" s="28"/>
      <c r="J161" s="29"/>
      <c r="K161" s="29"/>
      <c r="L161" s="30"/>
      <c r="M161" s="30"/>
      <c r="N161" s="36"/>
      <c r="O161" s="32"/>
      <c r="P161" s="33"/>
      <c r="Q161" s="34"/>
      <c r="R161" s="37"/>
      <c r="S161" s="14" t="str">
        <f t="shared" si="16"/>
        <v/>
      </c>
    </row>
    <row r="162" spans="2:19" x14ac:dyDescent="0.2">
      <c r="B162" s="2" t="str">
        <f t="shared" si="17"/>
        <v/>
      </c>
      <c r="C162" s="2" t="str">
        <f t="shared" si="18"/>
        <v/>
      </c>
      <c r="D162" s="2" t="str">
        <f t="shared" si="14"/>
        <v>Y</v>
      </c>
      <c r="E162" s="2">
        <f t="shared" si="15"/>
        <v>0</v>
      </c>
      <c r="F162" s="2" t="str">
        <f t="shared" si="19"/>
        <v/>
      </c>
      <c r="H162" s="56" t="s">
        <v>159</v>
      </c>
      <c r="I162" s="28"/>
      <c r="J162" s="29"/>
      <c r="K162" s="29"/>
      <c r="L162" s="30"/>
      <c r="M162" s="30"/>
      <c r="N162" s="36"/>
      <c r="O162" s="32"/>
      <c r="P162" s="33"/>
      <c r="Q162" s="34"/>
      <c r="R162" s="37"/>
      <c r="S162" s="14" t="str">
        <f t="shared" si="16"/>
        <v/>
      </c>
    </row>
    <row r="163" spans="2:19" x14ac:dyDescent="0.2">
      <c r="B163" s="2" t="str">
        <f t="shared" si="17"/>
        <v/>
      </c>
      <c r="C163" s="2" t="str">
        <f t="shared" si="18"/>
        <v/>
      </c>
      <c r="D163" s="2" t="str">
        <f t="shared" si="14"/>
        <v>Y</v>
      </c>
      <c r="E163" s="2">
        <f t="shared" si="15"/>
        <v>0</v>
      </c>
      <c r="F163" s="2" t="str">
        <f t="shared" si="19"/>
        <v/>
      </c>
      <c r="H163" s="56" t="s">
        <v>160</v>
      </c>
      <c r="I163" s="28"/>
      <c r="J163" s="29"/>
      <c r="K163" s="29"/>
      <c r="L163" s="30"/>
      <c r="M163" s="30"/>
      <c r="N163" s="36"/>
      <c r="O163" s="32"/>
      <c r="P163" s="33"/>
      <c r="Q163" s="34"/>
      <c r="R163" s="37"/>
      <c r="S163" s="14" t="str">
        <f t="shared" si="16"/>
        <v/>
      </c>
    </row>
    <row r="164" spans="2:19" x14ac:dyDescent="0.2">
      <c r="B164" s="2" t="str">
        <f t="shared" si="17"/>
        <v/>
      </c>
      <c r="C164" s="2" t="str">
        <f t="shared" si="18"/>
        <v/>
      </c>
      <c r="D164" s="2" t="str">
        <f t="shared" si="14"/>
        <v>Y</v>
      </c>
      <c r="E164" s="2">
        <f t="shared" si="15"/>
        <v>0</v>
      </c>
      <c r="F164" s="2" t="str">
        <f t="shared" si="19"/>
        <v/>
      </c>
      <c r="H164" s="56" t="s">
        <v>161</v>
      </c>
      <c r="I164" s="28"/>
      <c r="J164" s="29"/>
      <c r="K164" s="29"/>
      <c r="L164" s="30"/>
      <c r="M164" s="30"/>
      <c r="N164" s="36"/>
      <c r="O164" s="32"/>
      <c r="P164" s="33"/>
      <c r="Q164" s="34"/>
      <c r="R164" s="37"/>
      <c r="S164" s="14" t="str">
        <f t="shared" si="16"/>
        <v/>
      </c>
    </row>
    <row r="165" spans="2:19" x14ac:dyDescent="0.2">
      <c r="B165" s="2" t="str">
        <f t="shared" si="17"/>
        <v/>
      </c>
      <c r="C165" s="2" t="str">
        <f t="shared" si="18"/>
        <v/>
      </c>
      <c r="D165" s="2" t="str">
        <f t="shared" si="14"/>
        <v>Y</v>
      </c>
      <c r="E165" s="2">
        <f t="shared" si="15"/>
        <v>0</v>
      </c>
      <c r="F165" s="2" t="str">
        <f t="shared" si="19"/>
        <v/>
      </c>
      <c r="H165" s="56" t="s">
        <v>162</v>
      </c>
      <c r="I165" s="28"/>
      <c r="J165" s="29"/>
      <c r="K165" s="29"/>
      <c r="L165" s="30"/>
      <c r="M165" s="30"/>
      <c r="N165" s="36"/>
      <c r="O165" s="32"/>
      <c r="P165" s="33"/>
      <c r="Q165" s="34"/>
      <c r="R165" s="37"/>
      <c r="S165" s="14" t="str">
        <f t="shared" si="16"/>
        <v/>
      </c>
    </row>
    <row r="166" spans="2:19" x14ac:dyDescent="0.2">
      <c r="B166" s="2" t="str">
        <f t="shared" si="17"/>
        <v/>
      </c>
      <c r="C166" s="2" t="str">
        <f t="shared" si="18"/>
        <v/>
      </c>
      <c r="D166" s="2" t="str">
        <f t="shared" si="14"/>
        <v>Y</v>
      </c>
      <c r="E166" s="2">
        <f t="shared" si="15"/>
        <v>0</v>
      </c>
      <c r="F166" s="2" t="str">
        <f t="shared" si="19"/>
        <v/>
      </c>
      <c r="H166" s="56" t="s">
        <v>163</v>
      </c>
      <c r="I166" s="28"/>
      <c r="J166" s="29"/>
      <c r="K166" s="29"/>
      <c r="L166" s="30"/>
      <c r="M166" s="30"/>
      <c r="N166" s="36"/>
      <c r="O166" s="32"/>
      <c r="P166" s="33"/>
      <c r="Q166" s="34"/>
      <c r="R166" s="37"/>
      <c r="S166" s="14" t="str">
        <f t="shared" si="16"/>
        <v/>
      </c>
    </row>
    <row r="167" spans="2:19" x14ac:dyDescent="0.2">
      <c r="B167" s="2" t="str">
        <f t="shared" si="17"/>
        <v/>
      </c>
      <c r="C167" s="2" t="str">
        <f t="shared" si="18"/>
        <v/>
      </c>
      <c r="D167" s="2" t="str">
        <f t="shared" si="14"/>
        <v>Y</v>
      </c>
      <c r="E167" s="2">
        <f t="shared" si="15"/>
        <v>0</v>
      </c>
      <c r="F167" s="2" t="str">
        <f t="shared" si="19"/>
        <v/>
      </c>
      <c r="H167" s="56" t="s">
        <v>164</v>
      </c>
      <c r="I167" s="28"/>
      <c r="J167" s="29"/>
      <c r="K167" s="29"/>
      <c r="L167" s="30"/>
      <c r="M167" s="30"/>
      <c r="N167" s="36"/>
      <c r="O167" s="32"/>
      <c r="P167" s="33"/>
      <c r="Q167" s="34"/>
      <c r="R167" s="37"/>
      <c r="S167" s="14" t="str">
        <f t="shared" si="16"/>
        <v/>
      </c>
    </row>
    <row r="168" spans="2:19" x14ac:dyDescent="0.2">
      <c r="B168" s="2" t="str">
        <f t="shared" si="17"/>
        <v/>
      </c>
      <c r="C168" s="2" t="str">
        <f t="shared" si="18"/>
        <v/>
      </c>
      <c r="D168" s="2" t="str">
        <f t="shared" si="14"/>
        <v>Y</v>
      </c>
      <c r="E168" s="2">
        <f t="shared" si="15"/>
        <v>0</v>
      </c>
      <c r="F168" s="2" t="str">
        <f t="shared" si="19"/>
        <v/>
      </c>
      <c r="H168" s="56" t="s">
        <v>165</v>
      </c>
      <c r="I168" s="28"/>
      <c r="J168" s="29"/>
      <c r="K168" s="29"/>
      <c r="L168" s="30"/>
      <c r="M168" s="30"/>
      <c r="N168" s="36"/>
      <c r="O168" s="32"/>
      <c r="P168" s="33"/>
      <c r="Q168" s="34"/>
      <c r="R168" s="37"/>
      <c r="S168" s="14" t="str">
        <f t="shared" si="16"/>
        <v/>
      </c>
    </row>
    <row r="169" spans="2:19" x14ac:dyDescent="0.2">
      <c r="B169" s="2" t="str">
        <f t="shared" si="17"/>
        <v/>
      </c>
      <c r="C169" s="2" t="str">
        <f t="shared" si="18"/>
        <v/>
      </c>
      <c r="D169" s="2" t="str">
        <f t="shared" si="14"/>
        <v>Y</v>
      </c>
      <c r="E169" s="2">
        <f t="shared" si="15"/>
        <v>0</v>
      </c>
      <c r="F169" s="2" t="str">
        <f t="shared" si="19"/>
        <v/>
      </c>
      <c r="H169" s="56" t="s">
        <v>166</v>
      </c>
      <c r="I169" s="28"/>
      <c r="J169" s="29"/>
      <c r="K169" s="29"/>
      <c r="L169" s="30"/>
      <c r="M169" s="30"/>
      <c r="N169" s="36"/>
      <c r="O169" s="32"/>
      <c r="P169" s="33"/>
      <c r="Q169" s="34"/>
      <c r="R169" s="37"/>
      <c r="S169" s="14" t="str">
        <f t="shared" si="16"/>
        <v/>
      </c>
    </row>
    <row r="170" spans="2:19" x14ac:dyDescent="0.2">
      <c r="B170" s="2" t="str">
        <f t="shared" si="17"/>
        <v/>
      </c>
      <c r="C170" s="2" t="str">
        <f t="shared" si="18"/>
        <v/>
      </c>
      <c r="D170" s="2" t="str">
        <f t="shared" si="14"/>
        <v>Y</v>
      </c>
      <c r="E170" s="2">
        <f t="shared" si="15"/>
        <v>0</v>
      </c>
      <c r="F170" s="2" t="str">
        <f t="shared" si="19"/>
        <v/>
      </c>
      <c r="H170" s="56" t="s">
        <v>167</v>
      </c>
      <c r="I170" s="28"/>
      <c r="J170" s="29"/>
      <c r="K170" s="29"/>
      <c r="L170" s="30"/>
      <c r="M170" s="30"/>
      <c r="N170" s="36"/>
      <c r="O170" s="32"/>
      <c r="P170" s="33"/>
      <c r="Q170" s="34"/>
      <c r="R170" s="37"/>
      <c r="S170" s="14" t="str">
        <f t="shared" si="16"/>
        <v/>
      </c>
    </row>
    <row r="171" spans="2:19" x14ac:dyDescent="0.2">
      <c r="B171" s="2" t="str">
        <f t="shared" si="17"/>
        <v/>
      </c>
      <c r="C171" s="2" t="str">
        <f t="shared" si="18"/>
        <v/>
      </c>
      <c r="D171" s="2" t="str">
        <f t="shared" si="14"/>
        <v>Y</v>
      </c>
      <c r="E171" s="2">
        <f t="shared" si="15"/>
        <v>0</v>
      </c>
      <c r="F171" s="2" t="str">
        <f t="shared" si="19"/>
        <v/>
      </c>
      <c r="H171" s="56" t="s">
        <v>168</v>
      </c>
      <c r="I171" s="28"/>
      <c r="J171" s="29"/>
      <c r="K171" s="29"/>
      <c r="L171" s="30"/>
      <c r="M171" s="30"/>
      <c r="N171" s="36"/>
      <c r="O171" s="32"/>
      <c r="P171" s="33"/>
      <c r="Q171" s="34"/>
      <c r="R171" s="37"/>
      <c r="S171" s="14" t="str">
        <f t="shared" si="16"/>
        <v/>
      </c>
    </row>
    <row r="172" spans="2:19" x14ac:dyDescent="0.2">
      <c r="B172" s="2" t="str">
        <f t="shared" si="17"/>
        <v/>
      </c>
      <c r="C172" s="2" t="str">
        <f t="shared" si="18"/>
        <v/>
      </c>
      <c r="D172" s="2" t="str">
        <f t="shared" si="14"/>
        <v>Y</v>
      </c>
      <c r="E172" s="2">
        <f t="shared" si="15"/>
        <v>0</v>
      </c>
      <c r="F172" s="2" t="str">
        <f t="shared" si="19"/>
        <v/>
      </c>
      <c r="H172" s="56" t="s">
        <v>169</v>
      </c>
      <c r="I172" s="28"/>
      <c r="J172" s="29"/>
      <c r="K172" s="29"/>
      <c r="L172" s="30"/>
      <c r="M172" s="30"/>
      <c r="N172" s="36"/>
      <c r="O172" s="32"/>
      <c r="P172" s="33"/>
      <c r="Q172" s="34"/>
      <c r="R172" s="37"/>
      <c r="S172" s="14" t="str">
        <f t="shared" si="16"/>
        <v/>
      </c>
    </row>
    <row r="173" spans="2:19" x14ac:dyDescent="0.2">
      <c r="B173" s="2" t="str">
        <f t="shared" si="17"/>
        <v/>
      </c>
      <c r="C173" s="2" t="str">
        <f t="shared" si="18"/>
        <v/>
      </c>
      <c r="D173" s="2" t="str">
        <f t="shared" si="14"/>
        <v>Y</v>
      </c>
      <c r="E173" s="2">
        <f t="shared" si="15"/>
        <v>0</v>
      </c>
      <c r="F173" s="2" t="str">
        <f t="shared" si="19"/>
        <v/>
      </c>
      <c r="H173" s="56" t="s">
        <v>170</v>
      </c>
      <c r="I173" s="28"/>
      <c r="J173" s="29"/>
      <c r="K173" s="29"/>
      <c r="L173" s="30"/>
      <c r="M173" s="30"/>
      <c r="N173" s="36"/>
      <c r="O173" s="32"/>
      <c r="P173" s="33"/>
      <c r="Q173" s="34"/>
      <c r="R173" s="37"/>
      <c r="S173" s="14" t="str">
        <f t="shared" si="16"/>
        <v/>
      </c>
    </row>
    <row r="174" spans="2:19" x14ac:dyDescent="0.2">
      <c r="B174" s="2" t="str">
        <f t="shared" si="17"/>
        <v/>
      </c>
      <c r="C174" s="2" t="str">
        <f t="shared" si="18"/>
        <v/>
      </c>
      <c r="D174" s="2" t="str">
        <f t="shared" si="14"/>
        <v>Y</v>
      </c>
      <c r="E174" s="2">
        <f t="shared" si="15"/>
        <v>0</v>
      </c>
      <c r="F174" s="2" t="str">
        <f t="shared" si="19"/>
        <v/>
      </c>
      <c r="H174" s="56" t="s">
        <v>171</v>
      </c>
      <c r="I174" s="28"/>
      <c r="J174" s="29"/>
      <c r="K174" s="29"/>
      <c r="L174" s="30"/>
      <c r="M174" s="30"/>
      <c r="N174" s="36"/>
      <c r="O174" s="32"/>
      <c r="P174" s="33"/>
      <c r="Q174" s="34"/>
      <c r="R174" s="37"/>
      <c r="S174" s="14" t="str">
        <f t="shared" si="16"/>
        <v/>
      </c>
    </row>
    <row r="175" spans="2:19" x14ac:dyDescent="0.2">
      <c r="B175" s="2" t="str">
        <f t="shared" si="17"/>
        <v/>
      </c>
      <c r="C175" s="2" t="str">
        <f t="shared" si="18"/>
        <v/>
      </c>
      <c r="D175" s="2" t="str">
        <f t="shared" si="14"/>
        <v>Y</v>
      </c>
      <c r="E175" s="2">
        <f t="shared" si="15"/>
        <v>0</v>
      </c>
      <c r="F175" s="2" t="str">
        <f t="shared" si="19"/>
        <v/>
      </c>
      <c r="H175" s="56" t="s">
        <v>172</v>
      </c>
      <c r="I175" s="28"/>
      <c r="J175" s="29"/>
      <c r="K175" s="29"/>
      <c r="L175" s="30"/>
      <c r="M175" s="30"/>
      <c r="N175" s="36"/>
      <c r="O175" s="32"/>
      <c r="P175" s="33"/>
      <c r="Q175" s="34"/>
      <c r="R175" s="37"/>
      <c r="S175" s="14" t="str">
        <f t="shared" si="16"/>
        <v/>
      </c>
    </row>
    <row r="176" spans="2:19" x14ac:dyDescent="0.2">
      <c r="B176" s="2" t="str">
        <f t="shared" si="17"/>
        <v/>
      </c>
      <c r="C176" s="2" t="str">
        <f t="shared" si="18"/>
        <v/>
      </c>
      <c r="D176" s="2" t="str">
        <f t="shared" si="14"/>
        <v>Y</v>
      </c>
      <c r="E176" s="2">
        <f t="shared" si="15"/>
        <v>0</v>
      </c>
      <c r="F176" s="2" t="str">
        <f t="shared" si="19"/>
        <v/>
      </c>
      <c r="H176" s="56" t="s">
        <v>173</v>
      </c>
      <c r="I176" s="28"/>
      <c r="J176" s="29"/>
      <c r="K176" s="29"/>
      <c r="L176" s="30"/>
      <c r="M176" s="30"/>
      <c r="N176" s="36"/>
      <c r="O176" s="32"/>
      <c r="P176" s="33"/>
      <c r="Q176" s="34"/>
      <c r="R176" s="37"/>
      <c r="S176" s="14" t="str">
        <f t="shared" si="16"/>
        <v/>
      </c>
    </row>
    <row r="177" spans="2:19" x14ac:dyDescent="0.2">
      <c r="B177" s="2" t="str">
        <f t="shared" si="17"/>
        <v/>
      </c>
      <c r="C177" s="2" t="str">
        <f t="shared" si="18"/>
        <v/>
      </c>
      <c r="D177" s="2" t="str">
        <f t="shared" si="14"/>
        <v>Y</v>
      </c>
      <c r="E177" s="2">
        <f t="shared" si="15"/>
        <v>0</v>
      </c>
      <c r="F177" s="2" t="str">
        <f t="shared" si="19"/>
        <v/>
      </c>
      <c r="H177" s="56" t="s">
        <v>174</v>
      </c>
      <c r="I177" s="28"/>
      <c r="J177" s="29"/>
      <c r="K177" s="29"/>
      <c r="L177" s="30"/>
      <c r="M177" s="30"/>
      <c r="N177" s="36"/>
      <c r="O177" s="32"/>
      <c r="P177" s="33"/>
      <c r="Q177" s="34"/>
      <c r="R177" s="37"/>
      <c r="S177" s="14" t="str">
        <f t="shared" si="16"/>
        <v/>
      </c>
    </row>
    <row r="178" spans="2:19" x14ac:dyDescent="0.2">
      <c r="B178" s="2" t="str">
        <f t="shared" si="17"/>
        <v/>
      </c>
      <c r="C178" s="2" t="str">
        <f t="shared" si="18"/>
        <v/>
      </c>
      <c r="D178" s="2" t="str">
        <f t="shared" si="14"/>
        <v>Y</v>
      </c>
      <c r="E178" s="2">
        <f t="shared" si="15"/>
        <v>0</v>
      </c>
      <c r="F178" s="2" t="str">
        <f t="shared" si="19"/>
        <v/>
      </c>
      <c r="H178" s="56" t="s">
        <v>175</v>
      </c>
      <c r="I178" s="28"/>
      <c r="J178" s="29"/>
      <c r="K178" s="29"/>
      <c r="L178" s="30"/>
      <c r="M178" s="30"/>
      <c r="N178" s="36"/>
      <c r="O178" s="32"/>
      <c r="P178" s="33"/>
      <c r="Q178" s="34"/>
      <c r="R178" s="37"/>
      <c r="S178" s="14" t="str">
        <f t="shared" si="16"/>
        <v/>
      </c>
    </row>
    <row r="179" spans="2:19" x14ac:dyDescent="0.2">
      <c r="B179" s="2" t="str">
        <f t="shared" si="17"/>
        <v/>
      </c>
      <c r="C179" s="2" t="str">
        <f t="shared" si="18"/>
        <v/>
      </c>
      <c r="D179" s="2" t="str">
        <f t="shared" si="14"/>
        <v>Y</v>
      </c>
      <c r="E179" s="2">
        <f t="shared" si="15"/>
        <v>0</v>
      </c>
      <c r="F179" s="2" t="str">
        <f t="shared" si="19"/>
        <v/>
      </c>
      <c r="H179" s="56" t="s">
        <v>176</v>
      </c>
      <c r="I179" s="28"/>
      <c r="J179" s="29"/>
      <c r="K179" s="29"/>
      <c r="L179" s="30"/>
      <c r="M179" s="30"/>
      <c r="N179" s="36"/>
      <c r="O179" s="32"/>
      <c r="P179" s="33"/>
      <c r="Q179" s="34"/>
      <c r="R179" s="37"/>
      <c r="S179" s="14" t="str">
        <f t="shared" si="16"/>
        <v/>
      </c>
    </row>
    <row r="180" spans="2:19" x14ac:dyDescent="0.2">
      <c r="B180" s="2" t="str">
        <f t="shared" si="17"/>
        <v/>
      </c>
      <c r="C180" s="2" t="str">
        <f t="shared" si="18"/>
        <v/>
      </c>
      <c r="D180" s="2" t="str">
        <f t="shared" si="14"/>
        <v>Y</v>
      </c>
      <c r="E180" s="2">
        <f t="shared" si="15"/>
        <v>0</v>
      </c>
      <c r="F180" s="2" t="str">
        <f t="shared" si="19"/>
        <v/>
      </c>
      <c r="H180" s="56" t="s">
        <v>177</v>
      </c>
      <c r="I180" s="28"/>
      <c r="J180" s="29"/>
      <c r="K180" s="29"/>
      <c r="L180" s="30"/>
      <c r="M180" s="30"/>
      <c r="N180" s="36"/>
      <c r="O180" s="32"/>
      <c r="P180" s="33"/>
      <c r="Q180" s="34"/>
      <c r="R180" s="37"/>
      <c r="S180" s="14" t="str">
        <f t="shared" si="16"/>
        <v/>
      </c>
    </row>
    <row r="181" spans="2:19" x14ac:dyDescent="0.2">
      <c r="B181" s="2" t="str">
        <f t="shared" si="17"/>
        <v/>
      </c>
      <c r="C181" s="2" t="str">
        <f t="shared" si="18"/>
        <v/>
      </c>
      <c r="D181" s="2" t="str">
        <f t="shared" si="14"/>
        <v>Y</v>
      </c>
      <c r="E181" s="2">
        <f t="shared" si="15"/>
        <v>0</v>
      </c>
      <c r="F181" s="2" t="str">
        <f t="shared" si="19"/>
        <v/>
      </c>
      <c r="H181" s="56" t="s">
        <v>178</v>
      </c>
      <c r="I181" s="28"/>
      <c r="J181" s="29"/>
      <c r="K181" s="29"/>
      <c r="L181" s="30"/>
      <c r="M181" s="30"/>
      <c r="N181" s="36"/>
      <c r="O181" s="32"/>
      <c r="P181" s="33"/>
      <c r="Q181" s="34"/>
      <c r="R181" s="37"/>
      <c r="S181" s="14" t="str">
        <f t="shared" si="16"/>
        <v/>
      </c>
    </row>
    <row r="182" spans="2:19" x14ac:dyDescent="0.2">
      <c r="B182" s="2" t="str">
        <f t="shared" si="17"/>
        <v/>
      </c>
      <c r="C182" s="2" t="str">
        <f t="shared" si="18"/>
        <v/>
      </c>
      <c r="D182" s="2" t="str">
        <f t="shared" si="14"/>
        <v>Y</v>
      </c>
      <c r="E182" s="2">
        <f t="shared" si="15"/>
        <v>0</v>
      </c>
      <c r="F182" s="2" t="str">
        <f t="shared" si="19"/>
        <v/>
      </c>
      <c r="H182" s="56" t="s">
        <v>179</v>
      </c>
      <c r="I182" s="28"/>
      <c r="J182" s="29"/>
      <c r="K182" s="29"/>
      <c r="L182" s="30"/>
      <c r="M182" s="30"/>
      <c r="N182" s="36"/>
      <c r="O182" s="32"/>
      <c r="P182" s="33"/>
      <c r="Q182" s="34"/>
      <c r="R182" s="37"/>
      <c r="S182" s="14" t="str">
        <f t="shared" si="16"/>
        <v/>
      </c>
    </row>
    <row r="183" spans="2:19" x14ac:dyDescent="0.2">
      <c r="B183" s="2" t="str">
        <f t="shared" si="17"/>
        <v/>
      </c>
      <c r="C183" s="2" t="str">
        <f t="shared" si="18"/>
        <v/>
      </c>
      <c r="D183" s="2" t="str">
        <f t="shared" si="14"/>
        <v>Y</v>
      </c>
      <c r="E183" s="2">
        <f t="shared" si="15"/>
        <v>0</v>
      </c>
      <c r="F183" s="2" t="str">
        <f t="shared" si="19"/>
        <v/>
      </c>
      <c r="H183" s="56" t="s">
        <v>180</v>
      </c>
      <c r="I183" s="28"/>
      <c r="J183" s="29"/>
      <c r="K183" s="29"/>
      <c r="L183" s="30"/>
      <c r="M183" s="30"/>
      <c r="N183" s="36"/>
      <c r="O183" s="32"/>
      <c r="P183" s="33"/>
      <c r="Q183" s="34"/>
      <c r="R183" s="37"/>
      <c r="S183" s="14" t="str">
        <f t="shared" si="16"/>
        <v/>
      </c>
    </row>
    <row r="184" spans="2:19" x14ac:dyDescent="0.2">
      <c r="B184" s="2" t="str">
        <f t="shared" si="17"/>
        <v/>
      </c>
      <c r="C184" s="2" t="str">
        <f t="shared" si="18"/>
        <v/>
      </c>
      <c r="D184" s="2" t="str">
        <f t="shared" si="14"/>
        <v>Y</v>
      </c>
      <c r="E184" s="2">
        <f t="shared" si="15"/>
        <v>0</v>
      </c>
      <c r="F184" s="2" t="str">
        <f t="shared" si="19"/>
        <v/>
      </c>
      <c r="H184" s="56" t="s">
        <v>181</v>
      </c>
      <c r="I184" s="28"/>
      <c r="J184" s="29"/>
      <c r="K184" s="29"/>
      <c r="L184" s="30"/>
      <c r="M184" s="30"/>
      <c r="N184" s="36"/>
      <c r="O184" s="32"/>
      <c r="P184" s="33"/>
      <c r="Q184" s="34"/>
      <c r="R184" s="37"/>
      <c r="S184" s="14" t="str">
        <f t="shared" si="16"/>
        <v/>
      </c>
    </row>
    <row r="185" spans="2:19" x14ac:dyDescent="0.2">
      <c r="B185" s="2" t="str">
        <f t="shared" si="17"/>
        <v/>
      </c>
      <c r="C185" s="2" t="str">
        <f t="shared" si="18"/>
        <v/>
      </c>
      <c r="D185" s="2" t="str">
        <f t="shared" si="14"/>
        <v>Y</v>
      </c>
      <c r="E185" s="2">
        <f t="shared" si="15"/>
        <v>0</v>
      </c>
      <c r="F185" s="2" t="str">
        <f t="shared" si="19"/>
        <v/>
      </c>
      <c r="H185" s="56" t="s">
        <v>182</v>
      </c>
      <c r="I185" s="28"/>
      <c r="J185" s="29"/>
      <c r="K185" s="29"/>
      <c r="L185" s="30"/>
      <c r="M185" s="30"/>
      <c r="N185" s="36"/>
      <c r="O185" s="32"/>
      <c r="P185" s="33"/>
      <c r="Q185" s="34"/>
      <c r="R185" s="37"/>
      <c r="S185" s="14" t="str">
        <f t="shared" si="16"/>
        <v/>
      </c>
    </row>
    <row r="186" spans="2:19" x14ac:dyDescent="0.2">
      <c r="B186" s="2" t="str">
        <f t="shared" si="17"/>
        <v/>
      </c>
      <c r="C186" s="2" t="str">
        <f t="shared" si="18"/>
        <v/>
      </c>
      <c r="D186" s="2" t="str">
        <f t="shared" si="14"/>
        <v>Y</v>
      </c>
      <c r="E186" s="2">
        <f t="shared" si="15"/>
        <v>0</v>
      </c>
      <c r="F186" s="2" t="str">
        <f t="shared" si="19"/>
        <v/>
      </c>
      <c r="H186" s="56" t="s">
        <v>183</v>
      </c>
      <c r="I186" s="28"/>
      <c r="J186" s="29"/>
      <c r="K186" s="29"/>
      <c r="L186" s="30"/>
      <c r="M186" s="30"/>
      <c r="N186" s="36"/>
      <c r="O186" s="32"/>
      <c r="P186" s="33"/>
      <c r="Q186" s="34"/>
      <c r="R186" s="37"/>
      <c r="S186" s="14" t="str">
        <f t="shared" si="16"/>
        <v/>
      </c>
    </row>
    <row r="187" spans="2:19" x14ac:dyDescent="0.2">
      <c r="B187" s="2" t="str">
        <f t="shared" si="17"/>
        <v/>
      </c>
      <c r="C187" s="2" t="str">
        <f t="shared" si="18"/>
        <v/>
      </c>
      <c r="D187" s="2" t="str">
        <f t="shared" si="14"/>
        <v>Y</v>
      </c>
      <c r="E187" s="2">
        <f t="shared" si="15"/>
        <v>0</v>
      </c>
      <c r="F187" s="2" t="str">
        <f t="shared" si="19"/>
        <v/>
      </c>
      <c r="H187" s="56" t="s">
        <v>184</v>
      </c>
      <c r="I187" s="28"/>
      <c r="J187" s="29"/>
      <c r="K187" s="29"/>
      <c r="L187" s="30"/>
      <c r="M187" s="30"/>
      <c r="N187" s="36"/>
      <c r="O187" s="32"/>
      <c r="P187" s="33"/>
      <c r="Q187" s="34"/>
      <c r="R187" s="37"/>
      <c r="S187" s="14" t="str">
        <f t="shared" si="16"/>
        <v/>
      </c>
    </row>
    <row r="188" spans="2:19" x14ac:dyDescent="0.2">
      <c r="B188" s="2" t="str">
        <f t="shared" si="17"/>
        <v/>
      </c>
      <c r="C188" s="2" t="str">
        <f t="shared" si="18"/>
        <v/>
      </c>
      <c r="D188" s="2" t="str">
        <f t="shared" si="14"/>
        <v>Y</v>
      </c>
      <c r="E188" s="2">
        <f t="shared" si="15"/>
        <v>0</v>
      </c>
      <c r="F188" s="2" t="str">
        <f t="shared" si="19"/>
        <v/>
      </c>
      <c r="H188" s="56" t="s">
        <v>185</v>
      </c>
      <c r="I188" s="28"/>
      <c r="J188" s="29"/>
      <c r="K188" s="29"/>
      <c r="L188" s="30"/>
      <c r="M188" s="30"/>
      <c r="N188" s="36"/>
      <c r="O188" s="32"/>
      <c r="P188" s="33"/>
      <c r="Q188" s="34"/>
      <c r="R188" s="37"/>
      <c r="S188" s="14" t="str">
        <f t="shared" si="16"/>
        <v/>
      </c>
    </row>
    <row r="189" spans="2:19" x14ac:dyDescent="0.2">
      <c r="B189" s="2" t="str">
        <f t="shared" si="17"/>
        <v/>
      </c>
      <c r="C189" s="2" t="str">
        <f t="shared" si="18"/>
        <v/>
      </c>
      <c r="D189" s="2" t="str">
        <f t="shared" si="14"/>
        <v>Y</v>
      </c>
      <c r="E189" s="2">
        <f t="shared" si="15"/>
        <v>0</v>
      </c>
      <c r="F189" s="2" t="str">
        <f t="shared" si="19"/>
        <v/>
      </c>
      <c r="H189" s="56" t="s">
        <v>186</v>
      </c>
      <c r="I189" s="28"/>
      <c r="J189" s="29"/>
      <c r="K189" s="29"/>
      <c r="L189" s="30"/>
      <c r="M189" s="30"/>
      <c r="N189" s="36"/>
      <c r="O189" s="32"/>
      <c r="P189" s="33"/>
      <c r="Q189" s="34"/>
      <c r="R189" s="37"/>
      <c r="S189" s="14" t="str">
        <f t="shared" si="16"/>
        <v/>
      </c>
    </row>
    <row r="190" spans="2:19" x14ac:dyDescent="0.2">
      <c r="B190" s="2" t="str">
        <f t="shared" si="17"/>
        <v/>
      </c>
      <c r="C190" s="2" t="str">
        <f t="shared" si="18"/>
        <v/>
      </c>
      <c r="D190" s="2" t="str">
        <f t="shared" si="14"/>
        <v>Y</v>
      </c>
      <c r="E190" s="2">
        <f t="shared" si="15"/>
        <v>0</v>
      </c>
      <c r="F190" s="2" t="str">
        <f t="shared" si="19"/>
        <v/>
      </c>
      <c r="H190" s="56" t="s">
        <v>187</v>
      </c>
      <c r="I190" s="28"/>
      <c r="J190" s="29"/>
      <c r="K190" s="29"/>
      <c r="L190" s="30"/>
      <c r="M190" s="30"/>
      <c r="N190" s="36"/>
      <c r="O190" s="32"/>
      <c r="P190" s="33"/>
      <c r="Q190" s="34"/>
      <c r="R190" s="37"/>
      <c r="S190" s="14" t="str">
        <f t="shared" si="16"/>
        <v/>
      </c>
    </row>
    <row r="191" spans="2:19" x14ac:dyDescent="0.2">
      <c r="B191" s="2" t="str">
        <f t="shared" si="17"/>
        <v/>
      </c>
      <c r="C191" s="2" t="str">
        <f t="shared" si="18"/>
        <v/>
      </c>
      <c r="D191" s="2" t="str">
        <f t="shared" si="14"/>
        <v>Y</v>
      </c>
      <c r="E191" s="2">
        <f t="shared" si="15"/>
        <v>0</v>
      </c>
      <c r="F191" s="2" t="str">
        <f t="shared" si="19"/>
        <v/>
      </c>
      <c r="H191" s="56" t="s">
        <v>188</v>
      </c>
      <c r="I191" s="28"/>
      <c r="J191" s="29"/>
      <c r="K191" s="29"/>
      <c r="L191" s="30"/>
      <c r="M191" s="30"/>
      <c r="N191" s="36"/>
      <c r="O191" s="32"/>
      <c r="P191" s="33"/>
      <c r="Q191" s="34"/>
      <c r="R191" s="37"/>
      <c r="S191" s="14" t="str">
        <f t="shared" si="16"/>
        <v/>
      </c>
    </row>
    <row r="192" spans="2:19" x14ac:dyDescent="0.2">
      <c r="B192" s="2" t="str">
        <f t="shared" si="17"/>
        <v/>
      </c>
      <c r="C192" s="2" t="str">
        <f t="shared" si="18"/>
        <v/>
      </c>
      <c r="D192" s="2" t="str">
        <f t="shared" si="14"/>
        <v>Y</v>
      </c>
      <c r="E192" s="2">
        <f t="shared" si="15"/>
        <v>0</v>
      </c>
      <c r="F192" s="2" t="str">
        <f t="shared" si="19"/>
        <v/>
      </c>
      <c r="H192" s="56" t="s">
        <v>189</v>
      </c>
      <c r="I192" s="28"/>
      <c r="J192" s="29"/>
      <c r="K192" s="29"/>
      <c r="L192" s="30"/>
      <c r="M192" s="30"/>
      <c r="N192" s="36"/>
      <c r="O192" s="32"/>
      <c r="P192" s="33"/>
      <c r="Q192" s="34"/>
      <c r="R192" s="37"/>
      <c r="S192" s="14" t="str">
        <f t="shared" si="16"/>
        <v/>
      </c>
    </row>
    <row r="193" spans="2:19" x14ac:dyDescent="0.2">
      <c r="B193" s="2" t="str">
        <f t="shared" si="17"/>
        <v/>
      </c>
      <c r="C193" s="2" t="str">
        <f t="shared" si="18"/>
        <v/>
      </c>
      <c r="D193" s="2" t="str">
        <f t="shared" si="14"/>
        <v>Y</v>
      </c>
      <c r="E193" s="2">
        <f t="shared" si="15"/>
        <v>0</v>
      </c>
      <c r="F193" s="2" t="str">
        <f t="shared" si="19"/>
        <v/>
      </c>
      <c r="H193" s="56" t="s">
        <v>190</v>
      </c>
      <c r="I193" s="28"/>
      <c r="J193" s="29"/>
      <c r="K193" s="29"/>
      <c r="L193" s="30"/>
      <c r="M193" s="30"/>
      <c r="N193" s="36"/>
      <c r="O193" s="32"/>
      <c r="P193" s="33"/>
      <c r="Q193" s="34"/>
      <c r="R193" s="37"/>
      <c r="S193" s="14" t="str">
        <f t="shared" si="16"/>
        <v/>
      </c>
    </row>
    <row r="194" spans="2:19" x14ac:dyDescent="0.2">
      <c r="B194" s="2" t="str">
        <f t="shared" si="17"/>
        <v/>
      </c>
      <c r="C194" s="2" t="str">
        <f t="shared" si="18"/>
        <v/>
      </c>
      <c r="D194" s="2" t="str">
        <f t="shared" si="14"/>
        <v>Y</v>
      </c>
      <c r="E194" s="2">
        <f t="shared" si="15"/>
        <v>0</v>
      </c>
      <c r="F194" s="2" t="str">
        <f t="shared" si="19"/>
        <v/>
      </c>
      <c r="H194" s="56" t="s">
        <v>191</v>
      </c>
      <c r="I194" s="28"/>
      <c r="J194" s="29"/>
      <c r="K194" s="29"/>
      <c r="L194" s="30"/>
      <c r="M194" s="30"/>
      <c r="N194" s="36"/>
      <c r="O194" s="32"/>
      <c r="P194" s="33"/>
      <c r="Q194" s="34"/>
      <c r="R194" s="37"/>
      <c r="S194" s="14" t="str">
        <f t="shared" si="16"/>
        <v/>
      </c>
    </row>
    <row r="195" spans="2:19" x14ac:dyDescent="0.2">
      <c r="B195" s="2" t="str">
        <f t="shared" si="17"/>
        <v/>
      </c>
      <c r="C195" s="2" t="str">
        <f t="shared" si="18"/>
        <v/>
      </c>
      <c r="D195" s="2" t="str">
        <f t="shared" si="14"/>
        <v>Y</v>
      </c>
      <c r="E195" s="2">
        <f t="shared" si="15"/>
        <v>0</v>
      </c>
      <c r="F195" s="2" t="str">
        <f t="shared" si="19"/>
        <v/>
      </c>
      <c r="H195" s="56" t="s">
        <v>192</v>
      </c>
      <c r="I195" s="28"/>
      <c r="J195" s="29"/>
      <c r="K195" s="29"/>
      <c r="L195" s="30"/>
      <c r="M195" s="30"/>
      <c r="N195" s="36"/>
      <c r="O195" s="32"/>
      <c r="P195" s="33"/>
      <c r="Q195" s="34"/>
      <c r="R195" s="37"/>
      <c r="S195" s="14" t="str">
        <f t="shared" si="16"/>
        <v/>
      </c>
    </row>
    <row r="196" spans="2:19" x14ac:dyDescent="0.2">
      <c r="B196" s="2" t="str">
        <f t="shared" si="17"/>
        <v/>
      </c>
      <c r="C196" s="2" t="str">
        <f t="shared" si="18"/>
        <v/>
      </c>
      <c r="D196" s="2" t="str">
        <f t="shared" si="14"/>
        <v>Y</v>
      </c>
      <c r="E196" s="2">
        <f t="shared" si="15"/>
        <v>0</v>
      </c>
      <c r="F196" s="2" t="str">
        <f t="shared" si="19"/>
        <v/>
      </c>
      <c r="H196" s="56" t="s">
        <v>193</v>
      </c>
      <c r="I196" s="28"/>
      <c r="J196" s="29"/>
      <c r="K196" s="29"/>
      <c r="L196" s="30"/>
      <c r="M196" s="30"/>
      <c r="N196" s="36"/>
      <c r="O196" s="32"/>
      <c r="P196" s="33"/>
      <c r="Q196" s="34"/>
      <c r="R196" s="37"/>
      <c r="S196" s="14" t="str">
        <f t="shared" si="16"/>
        <v/>
      </c>
    </row>
    <row r="197" spans="2:19" x14ac:dyDescent="0.2">
      <c r="B197" s="2" t="str">
        <f t="shared" si="17"/>
        <v/>
      </c>
      <c r="C197" s="2" t="str">
        <f t="shared" si="18"/>
        <v/>
      </c>
      <c r="D197" s="2" t="str">
        <f t="shared" si="14"/>
        <v>Y</v>
      </c>
      <c r="E197" s="2">
        <f t="shared" si="15"/>
        <v>0</v>
      </c>
      <c r="F197" s="2" t="str">
        <f t="shared" si="19"/>
        <v/>
      </c>
      <c r="H197" s="56" t="s">
        <v>194</v>
      </c>
      <c r="I197" s="28"/>
      <c r="J197" s="29"/>
      <c r="K197" s="29"/>
      <c r="L197" s="30"/>
      <c r="M197" s="30"/>
      <c r="N197" s="36"/>
      <c r="O197" s="32"/>
      <c r="P197" s="33"/>
      <c r="Q197" s="34"/>
      <c r="R197" s="37"/>
      <c r="S197" s="14" t="str">
        <f t="shared" si="16"/>
        <v/>
      </c>
    </row>
    <row r="198" spans="2:19" x14ac:dyDescent="0.2">
      <c r="B198" s="2" t="str">
        <f t="shared" si="17"/>
        <v/>
      </c>
      <c r="C198" s="2" t="str">
        <f t="shared" si="18"/>
        <v/>
      </c>
      <c r="D198" s="2" t="str">
        <f t="shared" si="14"/>
        <v>Y</v>
      </c>
      <c r="E198" s="2">
        <f t="shared" si="15"/>
        <v>0</v>
      </c>
      <c r="F198" s="2" t="str">
        <f t="shared" si="19"/>
        <v/>
      </c>
      <c r="H198" s="56" t="s">
        <v>195</v>
      </c>
      <c r="I198" s="28"/>
      <c r="J198" s="29"/>
      <c r="K198" s="29"/>
      <c r="L198" s="30"/>
      <c r="M198" s="30"/>
      <c r="N198" s="36"/>
      <c r="O198" s="32"/>
      <c r="P198" s="33"/>
      <c r="Q198" s="34"/>
      <c r="R198" s="37"/>
      <c r="S198" s="14" t="str">
        <f t="shared" si="16"/>
        <v/>
      </c>
    </row>
    <row r="199" spans="2:19" x14ac:dyDescent="0.2">
      <c r="B199" s="2" t="str">
        <f t="shared" si="17"/>
        <v/>
      </c>
      <c r="C199" s="2" t="str">
        <f t="shared" si="18"/>
        <v/>
      </c>
      <c r="D199" s="2" t="str">
        <f t="shared" si="14"/>
        <v>Y</v>
      </c>
      <c r="E199" s="2">
        <f t="shared" si="15"/>
        <v>0</v>
      </c>
      <c r="F199" s="2" t="str">
        <f t="shared" si="19"/>
        <v/>
      </c>
      <c r="H199" s="56" t="s">
        <v>196</v>
      </c>
      <c r="I199" s="28"/>
      <c r="J199" s="29"/>
      <c r="K199" s="29"/>
      <c r="L199" s="30"/>
      <c r="M199" s="30"/>
      <c r="N199" s="36"/>
      <c r="O199" s="32"/>
      <c r="P199" s="33"/>
      <c r="Q199" s="34"/>
      <c r="R199" s="37"/>
      <c r="S199" s="14" t="str">
        <f t="shared" si="16"/>
        <v/>
      </c>
    </row>
    <row r="200" spans="2:19" x14ac:dyDescent="0.2">
      <c r="B200" s="2" t="str">
        <f t="shared" si="17"/>
        <v/>
      </c>
      <c r="C200" s="2" t="str">
        <f t="shared" si="18"/>
        <v/>
      </c>
      <c r="D200" s="2" t="str">
        <f t="shared" si="14"/>
        <v>Y</v>
      </c>
      <c r="E200" s="2">
        <f t="shared" si="15"/>
        <v>0</v>
      </c>
      <c r="F200" s="2" t="str">
        <f t="shared" si="19"/>
        <v/>
      </c>
      <c r="H200" s="56" t="s">
        <v>197</v>
      </c>
      <c r="I200" s="28"/>
      <c r="J200" s="29"/>
      <c r="K200" s="29"/>
      <c r="L200" s="30"/>
      <c r="M200" s="30"/>
      <c r="N200" s="36"/>
      <c r="O200" s="32"/>
      <c r="P200" s="33"/>
      <c r="Q200" s="34"/>
      <c r="R200" s="37"/>
      <c r="S200" s="14" t="str">
        <f t="shared" si="16"/>
        <v/>
      </c>
    </row>
    <row r="201" spans="2:19" x14ac:dyDescent="0.2">
      <c r="B201" s="2" t="str">
        <f t="shared" si="17"/>
        <v/>
      </c>
      <c r="C201" s="2" t="str">
        <f t="shared" si="18"/>
        <v/>
      </c>
      <c r="D201" s="2" t="str">
        <f t="shared" si="14"/>
        <v>Y</v>
      </c>
      <c r="E201" s="2">
        <f t="shared" si="15"/>
        <v>0</v>
      </c>
      <c r="F201" s="2" t="str">
        <f t="shared" si="19"/>
        <v/>
      </c>
      <c r="H201" s="56" t="s">
        <v>198</v>
      </c>
      <c r="I201" s="28"/>
      <c r="J201" s="29"/>
      <c r="K201" s="29"/>
      <c r="L201" s="30"/>
      <c r="M201" s="30"/>
      <c r="N201" s="36"/>
      <c r="O201" s="32"/>
      <c r="P201" s="33"/>
      <c r="Q201" s="34"/>
      <c r="R201" s="37"/>
      <c r="S201" s="14" t="str">
        <f t="shared" si="16"/>
        <v/>
      </c>
    </row>
    <row r="202" spans="2:19" x14ac:dyDescent="0.2">
      <c r="B202" s="2" t="str">
        <f t="shared" si="17"/>
        <v/>
      </c>
      <c r="C202" s="2" t="str">
        <f t="shared" si="18"/>
        <v/>
      </c>
      <c r="D202" s="2" t="str">
        <f t="shared" si="14"/>
        <v>Y</v>
      </c>
      <c r="E202" s="2">
        <f t="shared" si="15"/>
        <v>0</v>
      </c>
      <c r="F202" s="2" t="str">
        <f t="shared" si="19"/>
        <v/>
      </c>
      <c r="H202" s="56" t="s">
        <v>199</v>
      </c>
      <c r="I202" s="28"/>
      <c r="J202" s="29"/>
      <c r="K202" s="29"/>
      <c r="L202" s="30"/>
      <c r="M202" s="30"/>
      <c r="N202" s="36"/>
      <c r="O202" s="32"/>
      <c r="P202" s="33"/>
      <c r="Q202" s="34"/>
      <c r="R202" s="37"/>
      <c r="S202" s="14" t="str">
        <f t="shared" si="16"/>
        <v/>
      </c>
    </row>
    <row r="203" spans="2:19" x14ac:dyDescent="0.2">
      <c r="B203" s="2" t="str">
        <f t="shared" si="17"/>
        <v/>
      </c>
      <c r="C203" s="2" t="str">
        <f t="shared" si="18"/>
        <v/>
      </c>
      <c r="D203" s="2" t="str">
        <f t="shared" ref="D203:D266" si="20">IF(OR(P203=Not_started,P203=In_progress),"N",IF(OR(P203=N_A,P203=Suspended,P203=Canceled),"","Y"))</f>
        <v>Y</v>
      </c>
      <c r="E203" s="2">
        <f t="shared" ref="E203:E266" si="21">IF(OR(P203=Not_started,P203=In_progress,P203=Applied,P203=Closed),1,0)</f>
        <v>0</v>
      </c>
      <c r="F203" s="2" t="str">
        <f t="shared" si="19"/>
        <v/>
      </c>
      <c r="H203" s="56" t="s">
        <v>200</v>
      </c>
      <c r="I203" s="28"/>
      <c r="J203" s="29"/>
      <c r="K203" s="29"/>
      <c r="L203" s="30"/>
      <c r="M203" s="30"/>
      <c r="N203" s="36"/>
      <c r="O203" s="32"/>
      <c r="P203" s="33"/>
      <c r="Q203" s="34"/>
      <c r="R203" s="37"/>
      <c r="S203" s="14" t="str">
        <f t="shared" ref="S203:S266" si="22">IF(ISERROR(VLOOKUP(K203,LB_PROJECTS,2,FALSE)),"",VLOOKUP(K203,LB_PROJECTS,2,FALSE))</f>
        <v/>
      </c>
    </row>
    <row r="204" spans="2:19" x14ac:dyDescent="0.2">
      <c r="B204" s="2" t="str">
        <f t="shared" ref="B204:B267" si="23">IF(N204="","",IF(WEEKNUM(N204)&lt;10,VALUE(CONCATENATE(YEAR(N204),"0",WEEKNUM(N204))),VALUE(CONCATENATE(YEAR(N204),WEEKNUM(N204)))))</f>
        <v/>
      </c>
      <c r="C204" s="2" t="str">
        <f t="shared" ref="C204:C267" si="24">IF(Q204="","",IF(WEEKNUM(Q204)&lt;10,VALUE(CONCATENATE(YEAR(Q204),"0",WEEKNUM(Q204))),VALUE(CONCATENATE(YEAR(Q204),WEEKNUM(Q204)))))</f>
        <v/>
      </c>
      <c r="D204" s="2" t="str">
        <f t="shared" si="20"/>
        <v>Y</v>
      </c>
      <c r="E204" s="2">
        <f t="shared" si="21"/>
        <v>0</v>
      </c>
      <c r="F204" s="2" t="str">
        <f t="shared" si="19"/>
        <v/>
      </c>
      <c r="H204" s="56" t="s">
        <v>201</v>
      </c>
      <c r="I204" s="28"/>
      <c r="J204" s="29"/>
      <c r="K204" s="29"/>
      <c r="L204" s="30"/>
      <c r="M204" s="30"/>
      <c r="N204" s="36"/>
      <c r="O204" s="32"/>
      <c r="P204" s="33"/>
      <c r="Q204" s="34"/>
      <c r="R204" s="37"/>
      <c r="S204" s="14" t="str">
        <f t="shared" si="22"/>
        <v/>
      </c>
    </row>
    <row r="205" spans="2:19" x14ac:dyDescent="0.2">
      <c r="B205" s="2" t="str">
        <f t="shared" si="23"/>
        <v/>
      </c>
      <c r="C205" s="2" t="str">
        <f t="shared" si="24"/>
        <v/>
      </c>
      <c r="D205" s="2" t="str">
        <f t="shared" si="20"/>
        <v>Y</v>
      </c>
      <c r="E205" s="2">
        <f t="shared" si="21"/>
        <v>0</v>
      </c>
      <c r="F205" s="2" t="str">
        <f t="shared" si="19"/>
        <v/>
      </c>
      <c r="H205" s="56" t="s">
        <v>202</v>
      </c>
      <c r="I205" s="28"/>
      <c r="J205" s="29"/>
      <c r="K205" s="29"/>
      <c r="L205" s="30"/>
      <c r="M205" s="30"/>
      <c r="N205" s="36"/>
      <c r="O205" s="32"/>
      <c r="P205" s="33"/>
      <c r="Q205" s="34"/>
      <c r="R205" s="37"/>
      <c r="S205" s="14" t="str">
        <f t="shared" si="22"/>
        <v/>
      </c>
    </row>
    <row r="206" spans="2:19" x14ac:dyDescent="0.2">
      <c r="B206" s="2" t="str">
        <f t="shared" si="23"/>
        <v/>
      </c>
      <c r="C206" s="2" t="str">
        <f t="shared" si="24"/>
        <v/>
      </c>
      <c r="D206" s="2" t="str">
        <f t="shared" si="20"/>
        <v>Y</v>
      </c>
      <c r="E206" s="2">
        <f t="shared" si="21"/>
        <v>0</v>
      </c>
      <c r="F206" s="2" t="str">
        <f t="shared" ref="F206:F269" si="25">IF(O206="",B206,IF(WEEKNUM(O206)&lt;10,VALUE(CONCATENATE(YEAR(O206),"0",WEEKNUM(O206))),VALUE(CONCATENATE(YEAR(O206),WEEKNUM(O206)))))</f>
        <v/>
      </c>
      <c r="H206" s="56" t="s">
        <v>203</v>
      </c>
      <c r="I206" s="28"/>
      <c r="J206" s="29"/>
      <c r="K206" s="29"/>
      <c r="L206" s="30"/>
      <c r="M206" s="30"/>
      <c r="N206" s="36"/>
      <c r="O206" s="32"/>
      <c r="P206" s="33"/>
      <c r="Q206" s="34"/>
      <c r="R206" s="37"/>
      <c r="S206" s="14" t="str">
        <f t="shared" si="22"/>
        <v/>
      </c>
    </row>
    <row r="207" spans="2:19" x14ac:dyDescent="0.2">
      <c r="B207" s="2" t="str">
        <f t="shared" si="23"/>
        <v/>
      </c>
      <c r="C207" s="2" t="str">
        <f t="shared" si="24"/>
        <v/>
      </c>
      <c r="D207" s="2" t="str">
        <f t="shared" si="20"/>
        <v>Y</v>
      </c>
      <c r="E207" s="2">
        <f t="shared" si="21"/>
        <v>0</v>
      </c>
      <c r="F207" s="2" t="str">
        <f t="shared" si="25"/>
        <v/>
      </c>
      <c r="H207" s="56" t="s">
        <v>204</v>
      </c>
      <c r="I207" s="28"/>
      <c r="J207" s="29"/>
      <c r="K207" s="29"/>
      <c r="L207" s="30"/>
      <c r="M207" s="30"/>
      <c r="N207" s="36"/>
      <c r="O207" s="32"/>
      <c r="P207" s="33"/>
      <c r="Q207" s="34"/>
      <c r="R207" s="37"/>
      <c r="S207" s="14" t="str">
        <f t="shared" si="22"/>
        <v/>
      </c>
    </row>
    <row r="208" spans="2:19" x14ac:dyDescent="0.2">
      <c r="B208" s="2" t="str">
        <f t="shared" si="23"/>
        <v/>
      </c>
      <c r="C208" s="2" t="str">
        <f t="shared" si="24"/>
        <v/>
      </c>
      <c r="D208" s="2" t="str">
        <f t="shared" si="20"/>
        <v>Y</v>
      </c>
      <c r="E208" s="2">
        <f t="shared" si="21"/>
        <v>0</v>
      </c>
      <c r="F208" s="2" t="str">
        <f t="shared" si="25"/>
        <v/>
      </c>
      <c r="H208" s="56" t="s">
        <v>205</v>
      </c>
      <c r="I208" s="28"/>
      <c r="J208" s="29"/>
      <c r="K208" s="29"/>
      <c r="L208" s="30"/>
      <c r="M208" s="30"/>
      <c r="N208" s="36"/>
      <c r="O208" s="32"/>
      <c r="P208" s="33"/>
      <c r="Q208" s="34"/>
      <c r="R208" s="37"/>
      <c r="S208" s="14" t="str">
        <f t="shared" si="22"/>
        <v/>
      </c>
    </row>
    <row r="209" spans="2:19" x14ac:dyDescent="0.2">
      <c r="B209" s="2" t="str">
        <f t="shared" si="23"/>
        <v/>
      </c>
      <c r="C209" s="2" t="str">
        <f t="shared" si="24"/>
        <v/>
      </c>
      <c r="D209" s="2" t="str">
        <f t="shared" si="20"/>
        <v>Y</v>
      </c>
      <c r="E209" s="2">
        <f t="shared" si="21"/>
        <v>0</v>
      </c>
      <c r="F209" s="2" t="str">
        <f t="shared" si="25"/>
        <v/>
      </c>
      <c r="H209" s="56" t="s">
        <v>206</v>
      </c>
      <c r="I209" s="28"/>
      <c r="J209" s="29"/>
      <c r="K209" s="29"/>
      <c r="L209" s="30"/>
      <c r="M209" s="30"/>
      <c r="N209" s="36"/>
      <c r="O209" s="32"/>
      <c r="P209" s="33"/>
      <c r="Q209" s="34"/>
      <c r="R209" s="37"/>
      <c r="S209" s="14" t="str">
        <f t="shared" si="22"/>
        <v/>
      </c>
    </row>
    <row r="210" spans="2:19" x14ac:dyDescent="0.2">
      <c r="B210" s="2" t="str">
        <f t="shared" si="23"/>
        <v/>
      </c>
      <c r="C210" s="2" t="str">
        <f t="shared" si="24"/>
        <v/>
      </c>
      <c r="D210" s="2" t="str">
        <f t="shared" si="20"/>
        <v>Y</v>
      </c>
      <c r="E210" s="2">
        <f t="shared" si="21"/>
        <v>0</v>
      </c>
      <c r="F210" s="2" t="str">
        <f t="shared" si="25"/>
        <v/>
      </c>
      <c r="H210" s="56" t="s">
        <v>207</v>
      </c>
      <c r="I210" s="28"/>
      <c r="J210" s="29"/>
      <c r="K210" s="29"/>
      <c r="L210" s="30"/>
      <c r="M210" s="30"/>
      <c r="N210" s="36"/>
      <c r="O210" s="32"/>
      <c r="P210" s="33"/>
      <c r="Q210" s="34"/>
      <c r="R210" s="37"/>
      <c r="S210" s="14" t="str">
        <f t="shared" si="22"/>
        <v/>
      </c>
    </row>
    <row r="211" spans="2:19" x14ac:dyDescent="0.2">
      <c r="B211" s="2" t="str">
        <f t="shared" si="23"/>
        <v/>
      </c>
      <c r="C211" s="2" t="str">
        <f t="shared" si="24"/>
        <v/>
      </c>
      <c r="D211" s="2" t="str">
        <f t="shared" si="20"/>
        <v>Y</v>
      </c>
      <c r="E211" s="2">
        <f t="shared" si="21"/>
        <v>0</v>
      </c>
      <c r="F211" s="2" t="str">
        <f t="shared" si="25"/>
        <v/>
      </c>
      <c r="H211" s="56" t="s">
        <v>208</v>
      </c>
      <c r="I211" s="28"/>
      <c r="J211" s="29"/>
      <c r="K211" s="29"/>
      <c r="L211" s="30"/>
      <c r="M211" s="30"/>
      <c r="N211" s="36"/>
      <c r="O211" s="32"/>
      <c r="P211" s="33"/>
      <c r="Q211" s="34"/>
      <c r="R211" s="37"/>
      <c r="S211" s="14" t="str">
        <f t="shared" si="22"/>
        <v/>
      </c>
    </row>
    <row r="212" spans="2:19" x14ac:dyDescent="0.2">
      <c r="B212" s="2" t="str">
        <f t="shared" si="23"/>
        <v/>
      </c>
      <c r="C212" s="2" t="str">
        <f t="shared" si="24"/>
        <v/>
      </c>
      <c r="D212" s="2" t="str">
        <f t="shared" si="20"/>
        <v>Y</v>
      </c>
      <c r="E212" s="2">
        <f t="shared" si="21"/>
        <v>0</v>
      </c>
      <c r="F212" s="2" t="str">
        <f t="shared" si="25"/>
        <v/>
      </c>
      <c r="H212" s="56" t="s">
        <v>209</v>
      </c>
      <c r="I212" s="28"/>
      <c r="J212" s="29"/>
      <c r="K212" s="29"/>
      <c r="L212" s="30"/>
      <c r="M212" s="30"/>
      <c r="N212" s="36"/>
      <c r="O212" s="32"/>
      <c r="P212" s="33"/>
      <c r="Q212" s="34"/>
      <c r="R212" s="37"/>
      <c r="S212" s="14" t="str">
        <f t="shared" si="22"/>
        <v/>
      </c>
    </row>
    <row r="213" spans="2:19" x14ac:dyDescent="0.2">
      <c r="B213" s="2" t="str">
        <f t="shared" si="23"/>
        <v/>
      </c>
      <c r="C213" s="2" t="str">
        <f t="shared" si="24"/>
        <v/>
      </c>
      <c r="D213" s="2" t="str">
        <f t="shared" si="20"/>
        <v>Y</v>
      </c>
      <c r="E213" s="2">
        <f t="shared" si="21"/>
        <v>0</v>
      </c>
      <c r="F213" s="2" t="str">
        <f t="shared" si="25"/>
        <v/>
      </c>
      <c r="H213" s="56" t="s">
        <v>210</v>
      </c>
      <c r="I213" s="28"/>
      <c r="J213" s="29"/>
      <c r="K213" s="29"/>
      <c r="L213" s="30"/>
      <c r="M213" s="30"/>
      <c r="N213" s="36"/>
      <c r="O213" s="32"/>
      <c r="P213" s="33"/>
      <c r="Q213" s="34"/>
      <c r="R213" s="37"/>
      <c r="S213" s="14" t="str">
        <f t="shared" si="22"/>
        <v/>
      </c>
    </row>
    <row r="214" spans="2:19" x14ac:dyDescent="0.2">
      <c r="B214" s="2" t="str">
        <f t="shared" si="23"/>
        <v/>
      </c>
      <c r="C214" s="2" t="str">
        <f t="shared" si="24"/>
        <v/>
      </c>
      <c r="D214" s="2" t="str">
        <f t="shared" si="20"/>
        <v>Y</v>
      </c>
      <c r="E214" s="2">
        <f t="shared" si="21"/>
        <v>0</v>
      </c>
      <c r="F214" s="2" t="str">
        <f t="shared" si="25"/>
        <v/>
      </c>
      <c r="H214" s="56" t="s">
        <v>211</v>
      </c>
      <c r="I214" s="28"/>
      <c r="J214" s="29"/>
      <c r="K214" s="29"/>
      <c r="L214" s="30"/>
      <c r="M214" s="30"/>
      <c r="N214" s="36"/>
      <c r="O214" s="32"/>
      <c r="P214" s="33"/>
      <c r="Q214" s="34"/>
      <c r="R214" s="37"/>
      <c r="S214" s="14" t="str">
        <f t="shared" si="22"/>
        <v/>
      </c>
    </row>
    <row r="215" spans="2:19" x14ac:dyDescent="0.2">
      <c r="B215" s="2" t="str">
        <f t="shared" si="23"/>
        <v/>
      </c>
      <c r="C215" s="2" t="str">
        <f t="shared" si="24"/>
        <v/>
      </c>
      <c r="D215" s="2" t="str">
        <f t="shared" si="20"/>
        <v>Y</v>
      </c>
      <c r="E215" s="2">
        <f t="shared" si="21"/>
        <v>0</v>
      </c>
      <c r="F215" s="2" t="str">
        <f t="shared" si="25"/>
        <v/>
      </c>
      <c r="H215" s="56" t="s">
        <v>212</v>
      </c>
      <c r="I215" s="28"/>
      <c r="J215" s="29"/>
      <c r="K215" s="29"/>
      <c r="L215" s="30"/>
      <c r="M215" s="30"/>
      <c r="N215" s="36"/>
      <c r="O215" s="32"/>
      <c r="P215" s="33"/>
      <c r="Q215" s="34"/>
      <c r="R215" s="37"/>
      <c r="S215" s="14" t="str">
        <f t="shared" si="22"/>
        <v/>
      </c>
    </row>
    <row r="216" spans="2:19" x14ac:dyDescent="0.2">
      <c r="B216" s="2" t="str">
        <f t="shared" si="23"/>
        <v/>
      </c>
      <c r="C216" s="2" t="str">
        <f t="shared" si="24"/>
        <v/>
      </c>
      <c r="D216" s="2" t="str">
        <f t="shared" si="20"/>
        <v>Y</v>
      </c>
      <c r="E216" s="2">
        <f t="shared" si="21"/>
        <v>0</v>
      </c>
      <c r="F216" s="2" t="str">
        <f t="shared" si="25"/>
        <v/>
      </c>
      <c r="H216" s="56" t="s">
        <v>213</v>
      </c>
      <c r="I216" s="28"/>
      <c r="J216" s="29"/>
      <c r="K216" s="29"/>
      <c r="L216" s="30"/>
      <c r="M216" s="30"/>
      <c r="N216" s="36"/>
      <c r="O216" s="32"/>
      <c r="P216" s="33"/>
      <c r="Q216" s="34"/>
      <c r="R216" s="37"/>
      <c r="S216" s="14" t="str">
        <f t="shared" si="22"/>
        <v/>
      </c>
    </row>
    <row r="217" spans="2:19" x14ac:dyDescent="0.2">
      <c r="B217" s="2" t="str">
        <f t="shared" si="23"/>
        <v/>
      </c>
      <c r="C217" s="2" t="str">
        <f t="shared" si="24"/>
        <v/>
      </c>
      <c r="D217" s="2" t="str">
        <f t="shared" si="20"/>
        <v>Y</v>
      </c>
      <c r="E217" s="2">
        <f t="shared" si="21"/>
        <v>0</v>
      </c>
      <c r="F217" s="2" t="str">
        <f t="shared" si="25"/>
        <v/>
      </c>
      <c r="H217" s="56" t="s">
        <v>214</v>
      </c>
      <c r="I217" s="28"/>
      <c r="J217" s="29"/>
      <c r="K217" s="29"/>
      <c r="L217" s="30"/>
      <c r="M217" s="30"/>
      <c r="N217" s="36"/>
      <c r="O217" s="32"/>
      <c r="P217" s="33"/>
      <c r="Q217" s="34"/>
      <c r="R217" s="37"/>
      <c r="S217" s="14" t="str">
        <f t="shared" si="22"/>
        <v/>
      </c>
    </row>
    <row r="218" spans="2:19" x14ac:dyDescent="0.2">
      <c r="B218" s="2" t="str">
        <f t="shared" si="23"/>
        <v/>
      </c>
      <c r="C218" s="2" t="str">
        <f t="shared" si="24"/>
        <v/>
      </c>
      <c r="D218" s="2" t="str">
        <f t="shared" si="20"/>
        <v>Y</v>
      </c>
      <c r="E218" s="2">
        <f t="shared" si="21"/>
        <v>0</v>
      </c>
      <c r="F218" s="2" t="str">
        <f t="shared" si="25"/>
        <v/>
      </c>
      <c r="H218" s="56" t="s">
        <v>215</v>
      </c>
      <c r="I218" s="28"/>
      <c r="J218" s="29"/>
      <c r="K218" s="29"/>
      <c r="L218" s="30"/>
      <c r="M218" s="30"/>
      <c r="N218" s="36"/>
      <c r="O218" s="32"/>
      <c r="P218" s="33"/>
      <c r="Q218" s="34"/>
      <c r="R218" s="37"/>
      <c r="S218" s="14" t="str">
        <f t="shared" si="22"/>
        <v/>
      </c>
    </row>
    <row r="219" spans="2:19" x14ac:dyDescent="0.2">
      <c r="B219" s="2" t="str">
        <f t="shared" si="23"/>
        <v/>
      </c>
      <c r="C219" s="2" t="str">
        <f t="shared" si="24"/>
        <v/>
      </c>
      <c r="D219" s="2" t="str">
        <f t="shared" si="20"/>
        <v>Y</v>
      </c>
      <c r="E219" s="2">
        <f t="shared" si="21"/>
        <v>0</v>
      </c>
      <c r="F219" s="2" t="str">
        <f t="shared" si="25"/>
        <v/>
      </c>
      <c r="H219" s="56" t="s">
        <v>216</v>
      </c>
      <c r="I219" s="28"/>
      <c r="J219" s="29"/>
      <c r="K219" s="29"/>
      <c r="L219" s="30"/>
      <c r="M219" s="30"/>
      <c r="N219" s="36"/>
      <c r="O219" s="32"/>
      <c r="P219" s="33"/>
      <c r="Q219" s="34"/>
      <c r="R219" s="37"/>
      <c r="S219" s="14" t="str">
        <f t="shared" si="22"/>
        <v/>
      </c>
    </row>
    <row r="220" spans="2:19" x14ac:dyDescent="0.2">
      <c r="B220" s="2" t="str">
        <f t="shared" si="23"/>
        <v/>
      </c>
      <c r="C220" s="2" t="str">
        <f t="shared" si="24"/>
        <v/>
      </c>
      <c r="D220" s="2" t="str">
        <f t="shared" si="20"/>
        <v>Y</v>
      </c>
      <c r="E220" s="2">
        <f t="shared" si="21"/>
        <v>0</v>
      </c>
      <c r="F220" s="2" t="str">
        <f t="shared" si="25"/>
        <v/>
      </c>
      <c r="H220" s="56" t="s">
        <v>217</v>
      </c>
      <c r="I220" s="28"/>
      <c r="J220" s="29"/>
      <c r="K220" s="29"/>
      <c r="L220" s="30"/>
      <c r="M220" s="30"/>
      <c r="N220" s="36"/>
      <c r="O220" s="32"/>
      <c r="P220" s="33"/>
      <c r="Q220" s="34"/>
      <c r="R220" s="37"/>
      <c r="S220" s="14" t="str">
        <f t="shared" si="22"/>
        <v/>
      </c>
    </row>
    <row r="221" spans="2:19" x14ac:dyDescent="0.2">
      <c r="B221" s="2" t="str">
        <f t="shared" si="23"/>
        <v/>
      </c>
      <c r="C221" s="2" t="str">
        <f t="shared" si="24"/>
        <v/>
      </c>
      <c r="D221" s="2" t="str">
        <f t="shared" si="20"/>
        <v>Y</v>
      </c>
      <c r="E221" s="2">
        <f t="shared" si="21"/>
        <v>0</v>
      </c>
      <c r="F221" s="2" t="str">
        <f t="shared" si="25"/>
        <v/>
      </c>
      <c r="H221" s="56" t="s">
        <v>218</v>
      </c>
      <c r="I221" s="28"/>
      <c r="J221" s="29"/>
      <c r="K221" s="29"/>
      <c r="L221" s="30"/>
      <c r="M221" s="30"/>
      <c r="N221" s="36"/>
      <c r="O221" s="32"/>
      <c r="P221" s="33"/>
      <c r="Q221" s="34"/>
      <c r="R221" s="37"/>
      <c r="S221" s="14" t="str">
        <f t="shared" si="22"/>
        <v/>
      </c>
    </row>
    <row r="222" spans="2:19" x14ac:dyDescent="0.2">
      <c r="B222" s="2" t="str">
        <f t="shared" si="23"/>
        <v/>
      </c>
      <c r="C222" s="2" t="str">
        <f t="shared" si="24"/>
        <v/>
      </c>
      <c r="D222" s="2" t="str">
        <f t="shared" si="20"/>
        <v>Y</v>
      </c>
      <c r="E222" s="2">
        <f t="shared" si="21"/>
        <v>0</v>
      </c>
      <c r="F222" s="2" t="str">
        <f t="shared" si="25"/>
        <v/>
      </c>
      <c r="H222" s="56" t="s">
        <v>219</v>
      </c>
      <c r="I222" s="28"/>
      <c r="J222" s="29"/>
      <c r="K222" s="29"/>
      <c r="L222" s="30"/>
      <c r="M222" s="30"/>
      <c r="N222" s="36"/>
      <c r="O222" s="32"/>
      <c r="P222" s="33"/>
      <c r="Q222" s="34"/>
      <c r="R222" s="37"/>
      <c r="S222" s="14" t="str">
        <f t="shared" si="22"/>
        <v/>
      </c>
    </row>
    <row r="223" spans="2:19" x14ac:dyDescent="0.2">
      <c r="B223" s="2" t="str">
        <f t="shared" si="23"/>
        <v/>
      </c>
      <c r="C223" s="2" t="str">
        <f t="shared" si="24"/>
        <v/>
      </c>
      <c r="D223" s="2" t="str">
        <f t="shared" si="20"/>
        <v>Y</v>
      </c>
      <c r="E223" s="2">
        <f t="shared" si="21"/>
        <v>0</v>
      </c>
      <c r="F223" s="2" t="str">
        <f t="shared" si="25"/>
        <v/>
      </c>
      <c r="H223" s="56" t="s">
        <v>220</v>
      </c>
      <c r="I223" s="28"/>
      <c r="J223" s="29"/>
      <c r="K223" s="29"/>
      <c r="L223" s="30"/>
      <c r="M223" s="30"/>
      <c r="N223" s="36"/>
      <c r="O223" s="32"/>
      <c r="P223" s="33"/>
      <c r="Q223" s="34"/>
      <c r="R223" s="37"/>
      <c r="S223" s="14" t="str">
        <f t="shared" si="22"/>
        <v/>
      </c>
    </row>
    <row r="224" spans="2:19" x14ac:dyDescent="0.2">
      <c r="B224" s="2" t="str">
        <f t="shared" si="23"/>
        <v/>
      </c>
      <c r="C224" s="2" t="str">
        <f t="shared" si="24"/>
        <v/>
      </c>
      <c r="D224" s="2" t="str">
        <f t="shared" si="20"/>
        <v>Y</v>
      </c>
      <c r="E224" s="2">
        <f t="shared" si="21"/>
        <v>0</v>
      </c>
      <c r="F224" s="2" t="str">
        <f t="shared" si="25"/>
        <v/>
      </c>
      <c r="H224" s="56" t="s">
        <v>221</v>
      </c>
      <c r="I224" s="28"/>
      <c r="J224" s="29"/>
      <c r="K224" s="29"/>
      <c r="L224" s="30"/>
      <c r="M224" s="30"/>
      <c r="N224" s="36"/>
      <c r="O224" s="32"/>
      <c r="P224" s="33"/>
      <c r="Q224" s="34"/>
      <c r="R224" s="37"/>
      <c r="S224" s="14" t="str">
        <f t="shared" si="22"/>
        <v/>
      </c>
    </row>
    <row r="225" spans="2:19" x14ac:dyDescent="0.2">
      <c r="B225" s="2" t="str">
        <f t="shared" si="23"/>
        <v/>
      </c>
      <c r="C225" s="2" t="str">
        <f t="shared" si="24"/>
        <v/>
      </c>
      <c r="D225" s="2" t="str">
        <f t="shared" si="20"/>
        <v>Y</v>
      </c>
      <c r="E225" s="2">
        <f t="shared" si="21"/>
        <v>0</v>
      </c>
      <c r="F225" s="2" t="str">
        <f t="shared" si="25"/>
        <v/>
      </c>
      <c r="H225" s="56" t="s">
        <v>222</v>
      </c>
      <c r="I225" s="28"/>
      <c r="J225" s="29"/>
      <c r="K225" s="29"/>
      <c r="L225" s="30"/>
      <c r="M225" s="30"/>
      <c r="N225" s="36"/>
      <c r="O225" s="32"/>
      <c r="P225" s="33"/>
      <c r="Q225" s="34"/>
      <c r="R225" s="37"/>
      <c r="S225" s="14" t="str">
        <f t="shared" si="22"/>
        <v/>
      </c>
    </row>
    <row r="226" spans="2:19" x14ac:dyDescent="0.2">
      <c r="B226" s="2" t="str">
        <f t="shared" si="23"/>
        <v/>
      </c>
      <c r="C226" s="2" t="str">
        <f t="shared" si="24"/>
        <v/>
      </c>
      <c r="D226" s="2" t="str">
        <f t="shared" si="20"/>
        <v>Y</v>
      </c>
      <c r="E226" s="2">
        <f t="shared" si="21"/>
        <v>0</v>
      </c>
      <c r="F226" s="2" t="str">
        <f t="shared" si="25"/>
        <v/>
      </c>
      <c r="H226" s="56" t="s">
        <v>223</v>
      </c>
      <c r="I226" s="28"/>
      <c r="J226" s="29"/>
      <c r="K226" s="29"/>
      <c r="L226" s="30"/>
      <c r="M226" s="30"/>
      <c r="N226" s="36"/>
      <c r="O226" s="32"/>
      <c r="P226" s="33"/>
      <c r="Q226" s="34"/>
      <c r="R226" s="37"/>
      <c r="S226" s="14" t="str">
        <f t="shared" si="22"/>
        <v/>
      </c>
    </row>
    <row r="227" spans="2:19" x14ac:dyDescent="0.2">
      <c r="B227" s="2" t="str">
        <f t="shared" si="23"/>
        <v/>
      </c>
      <c r="C227" s="2" t="str">
        <f t="shared" si="24"/>
        <v/>
      </c>
      <c r="D227" s="2" t="str">
        <f t="shared" si="20"/>
        <v>Y</v>
      </c>
      <c r="E227" s="2">
        <f t="shared" si="21"/>
        <v>0</v>
      </c>
      <c r="F227" s="2" t="str">
        <f t="shared" si="25"/>
        <v/>
      </c>
      <c r="H227" s="56" t="s">
        <v>224</v>
      </c>
      <c r="I227" s="28"/>
      <c r="J227" s="29"/>
      <c r="K227" s="29"/>
      <c r="L227" s="30"/>
      <c r="M227" s="30"/>
      <c r="N227" s="36"/>
      <c r="O227" s="32"/>
      <c r="P227" s="33"/>
      <c r="Q227" s="34"/>
      <c r="R227" s="37"/>
      <c r="S227" s="14" t="str">
        <f t="shared" si="22"/>
        <v/>
      </c>
    </row>
    <row r="228" spans="2:19" x14ac:dyDescent="0.2">
      <c r="B228" s="2" t="str">
        <f t="shared" si="23"/>
        <v/>
      </c>
      <c r="C228" s="2" t="str">
        <f t="shared" si="24"/>
        <v/>
      </c>
      <c r="D228" s="2" t="str">
        <f t="shared" si="20"/>
        <v>Y</v>
      </c>
      <c r="E228" s="2">
        <f t="shared" si="21"/>
        <v>0</v>
      </c>
      <c r="F228" s="2" t="str">
        <f t="shared" si="25"/>
        <v/>
      </c>
      <c r="H228" s="56" t="s">
        <v>225</v>
      </c>
      <c r="I228" s="28"/>
      <c r="J228" s="29"/>
      <c r="K228" s="29"/>
      <c r="L228" s="30"/>
      <c r="M228" s="30"/>
      <c r="N228" s="36"/>
      <c r="O228" s="32"/>
      <c r="P228" s="33"/>
      <c r="Q228" s="34"/>
      <c r="R228" s="37"/>
      <c r="S228" s="14" t="str">
        <f t="shared" si="22"/>
        <v/>
      </c>
    </row>
    <row r="229" spans="2:19" x14ac:dyDescent="0.2">
      <c r="B229" s="2" t="str">
        <f t="shared" si="23"/>
        <v/>
      </c>
      <c r="C229" s="2" t="str">
        <f t="shared" si="24"/>
        <v/>
      </c>
      <c r="D229" s="2" t="str">
        <f t="shared" si="20"/>
        <v>Y</v>
      </c>
      <c r="E229" s="2">
        <f t="shared" si="21"/>
        <v>0</v>
      </c>
      <c r="F229" s="2" t="str">
        <f t="shared" si="25"/>
        <v/>
      </c>
      <c r="H229" s="56" t="s">
        <v>226</v>
      </c>
      <c r="I229" s="28"/>
      <c r="J229" s="29"/>
      <c r="K229" s="29"/>
      <c r="L229" s="30"/>
      <c r="M229" s="30"/>
      <c r="N229" s="36"/>
      <c r="O229" s="32"/>
      <c r="P229" s="33"/>
      <c r="Q229" s="34"/>
      <c r="R229" s="37"/>
      <c r="S229" s="14" t="str">
        <f t="shared" si="22"/>
        <v/>
      </c>
    </row>
    <row r="230" spans="2:19" x14ac:dyDescent="0.2">
      <c r="B230" s="2" t="str">
        <f t="shared" si="23"/>
        <v/>
      </c>
      <c r="C230" s="2" t="str">
        <f t="shared" si="24"/>
        <v/>
      </c>
      <c r="D230" s="2" t="str">
        <f t="shared" si="20"/>
        <v>Y</v>
      </c>
      <c r="E230" s="2">
        <f t="shared" si="21"/>
        <v>0</v>
      </c>
      <c r="F230" s="2" t="str">
        <f t="shared" si="25"/>
        <v/>
      </c>
      <c r="H230" s="56" t="s">
        <v>227</v>
      </c>
      <c r="I230" s="28"/>
      <c r="J230" s="29"/>
      <c r="K230" s="29"/>
      <c r="L230" s="30"/>
      <c r="M230" s="30"/>
      <c r="N230" s="36"/>
      <c r="O230" s="32"/>
      <c r="P230" s="33"/>
      <c r="Q230" s="34"/>
      <c r="R230" s="37"/>
      <c r="S230" s="14" t="str">
        <f t="shared" si="22"/>
        <v/>
      </c>
    </row>
    <row r="231" spans="2:19" x14ac:dyDescent="0.2">
      <c r="B231" s="2" t="str">
        <f t="shared" si="23"/>
        <v/>
      </c>
      <c r="C231" s="2" t="str">
        <f t="shared" si="24"/>
        <v/>
      </c>
      <c r="D231" s="2" t="str">
        <f t="shared" si="20"/>
        <v>Y</v>
      </c>
      <c r="E231" s="2">
        <f t="shared" si="21"/>
        <v>0</v>
      </c>
      <c r="F231" s="2" t="str">
        <f t="shared" si="25"/>
        <v/>
      </c>
      <c r="H231" s="56" t="s">
        <v>228</v>
      </c>
      <c r="I231" s="28"/>
      <c r="J231" s="29"/>
      <c r="K231" s="29"/>
      <c r="L231" s="30"/>
      <c r="M231" s="30"/>
      <c r="N231" s="36"/>
      <c r="O231" s="32"/>
      <c r="P231" s="33"/>
      <c r="Q231" s="34"/>
      <c r="R231" s="37"/>
      <c r="S231" s="14" t="str">
        <f t="shared" si="22"/>
        <v/>
      </c>
    </row>
    <row r="232" spans="2:19" x14ac:dyDescent="0.2">
      <c r="B232" s="2" t="str">
        <f t="shared" si="23"/>
        <v/>
      </c>
      <c r="C232" s="2" t="str">
        <f t="shared" si="24"/>
        <v/>
      </c>
      <c r="D232" s="2" t="str">
        <f t="shared" si="20"/>
        <v>Y</v>
      </c>
      <c r="E232" s="2">
        <f t="shared" si="21"/>
        <v>0</v>
      </c>
      <c r="F232" s="2" t="str">
        <f t="shared" si="25"/>
        <v/>
      </c>
      <c r="H232" s="56" t="s">
        <v>229</v>
      </c>
      <c r="I232" s="28"/>
      <c r="J232" s="29"/>
      <c r="K232" s="29"/>
      <c r="L232" s="30"/>
      <c r="M232" s="30"/>
      <c r="N232" s="36"/>
      <c r="O232" s="32"/>
      <c r="P232" s="33"/>
      <c r="Q232" s="34"/>
      <c r="R232" s="37"/>
      <c r="S232" s="14" t="str">
        <f t="shared" si="22"/>
        <v/>
      </c>
    </row>
    <row r="233" spans="2:19" x14ac:dyDescent="0.2">
      <c r="B233" s="2" t="str">
        <f t="shared" si="23"/>
        <v/>
      </c>
      <c r="C233" s="2" t="str">
        <f t="shared" si="24"/>
        <v/>
      </c>
      <c r="D233" s="2" t="str">
        <f t="shared" si="20"/>
        <v>Y</v>
      </c>
      <c r="E233" s="2">
        <f t="shared" si="21"/>
        <v>0</v>
      </c>
      <c r="F233" s="2" t="str">
        <f t="shared" si="25"/>
        <v/>
      </c>
      <c r="H233" s="56" t="s">
        <v>230</v>
      </c>
      <c r="I233" s="28"/>
      <c r="J233" s="29"/>
      <c r="K233" s="29"/>
      <c r="L233" s="30"/>
      <c r="M233" s="30"/>
      <c r="N233" s="36"/>
      <c r="O233" s="32"/>
      <c r="P233" s="33"/>
      <c r="Q233" s="34"/>
      <c r="R233" s="37"/>
      <c r="S233" s="14" t="str">
        <f t="shared" si="22"/>
        <v/>
      </c>
    </row>
    <row r="234" spans="2:19" x14ac:dyDescent="0.2">
      <c r="B234" s="2" t="str">
        <f t="shared" si="23"/>
        <v/>
      </c>
      <c r="C234" s="2" t="str">
        <f t="shared" si="24"/>
        <v/>
      </c>
      <c r="D234" s="2" t="str">
        <f t="shared" si="20"/>
        <v>Y</v>
      </c>
      <c r="E234" s="2">
        <f t="shared" si="21"/>
        <v>0</v>
      </c>
      <c r="F234" s="2" t="str">
        <f t="shared" si="25"/>
        <v/>
      </c>
      <c r="H234" s="56" t="s">
        <v>231</v>
      </c>
      <c r="I234" s="28"/>
      <c r="J234" s="29"/>
      <c r="K234" s="29"/>
      <c r="L234" s="30"/>
      <c r="M234" s="30"/>
      <c r="N234" s="36"/>
      <c r="O234" s="32"/>
      <c r="P234" s="33"/>
      <c r="Q234" s="34"/>
      <c r="R234" s="37"/>
      <c r="S234" s="14" t="str">
        <f t="shared" si="22"/>
        <v/>
      </c>
    </row>
    <row r="235" spans="2:19" x14ac:dyDescent="0.2">
      <c r="B235" s="2" t="str">
        <f t="shared" si="23"/>
        <v/>
      </c>
      <c r="C235" s="2" t="str">
        <f t="shared" si="24"/>
        <v/>
      </c>
      <c r="D235" s="2" t="str">
        <f t="shared" si="20"/>
        <v>Y</v>
      </c>
      <c r="E235" s="2">
        <f t="shared" si="21"/>
        <v>0</v>
      </c>
      <c r="F235" s="2" t="str">
        <f t="shared" si="25"/>
        <v/>
      </c>
      <c r="H235" s="56" t="s">
        <v>232</v>
      </c>
      <c r="I235" s="28"/>
      <c r="J235" s="29"/>
      <c r="K235" s="29"/>
      <c r="L235" s="30"/>
      <c r="M235" s="30"/>
      <c r="N235" s="36"/>
      <c r="O235" s="32"/>
      <c r="P235" s="33"/>
      <c r="Q235" s="34"/>
      <c r="R235" s="37"/>
      <c r="S235" s="14" t="str">
        <f t="shared" si="22"/>
        <v/>
      </c>
    </row>
    <row r="236" spans="2:19" x14ac:dyDescent="0.2">
      <c r="B236" s="2" t="str">
        <f t="shared" si="23"/>
        <v/>
      </c>
      <c r="C236" s="2" t="str">
        <f t="shared" si="24"/>
        <v/>
      </c>
      <c r="D236" s="2" t="str">
        <f t="shared" si="20"/>
        <v>Y</v>
      </c>
      <c r="E236" s="2">
        <f t="shared" si="21"/>
        <v>0</v>
      </c>
      <c r="F236" s="2" t="str">
        <f t="shared" si="25"/>
        <v/>
      </c>
      <c r="H236" s="56" t="s">
        <v>233</v>
      </c>
      <c r="I236" s="28"/>
      <c r="J236" s="29"/>
      <c r="K236" s="29"/>
      <c r="L236" s="30"/>
      <c r="M236" s="30"/>
      <c r="N236" s="36"/>
      <c r="O236" s="32"/>
      <c r="P236" s="33"/>
      <c r="Q236" s="34"/>
      <c r="R236" s="37"/>
      <c r="S236" s="14" t="str">
        <f t="shared" si="22"/>
        <v/>
      </c>
    </row>
    <row r="237" spans="2:19" x14ac:dyDescent="0.2">
      <c r="B237" s="2" t="str">
        <f t="shared" si="23"/>
        <v/>
      </c>
      <c r="C237" s="2" t="str">
        <f t="shared" si="24"/>
        <v/>
      </c>
      <c r="D237" s="2" t="str">
        <f t="shared" si="20"/>
        <v>Y</v>
      </c>
      <c r="E237" s="2">
        <f t="shared" si="21"/>
        <v>0</v>
      </c>
      <c r="F237" s="2" t="str">
        <f t="shared" si="25"/>
        <v/>
      </c>
      <c r="H237" s="56" t="s">
        <v>234</v>
      </c>
      <c r="I237" s="28"/>
      <c r="J237" s="29"/>
      <c r="K237" s="29"/>
      <c r="L237" s="30"/>
      <c r="M237" s="30"/>
      <c r="N237" s="36"/>
      <c r="O237" s="32"/>
      <c r="P237" s="33"/>
      <c r="Q237" s="34"/>
      <c r="R237" s="37"/>
      <c r="S237" s="14" t="str">
        <f t="shared" si="22"/>
        <v/>
      </c>
    </row>
    <row r="238" spans="2:19" x14ac:dyDescent="0.2">
      <c r="B238" s="2" t="str">
        <f t="shared" si="23"/>
        <v/>
      </c>
      <c r="C238" s="2" t="str">
        <f t="shared" si="24"/>
        <v/>
      </c>
      <c r="D238" s="2" t="str">
        <f t="shared" si="20"/>
        <v>Y</v>
      </c>
      <c r="E238" s="2">
        <f t="shared" si="21"/>
        <v>0</v>
      </c>
      <c r="F238" s="2" t="str">
        <f t="shared" si="25"/>
        <v/>
      </c>
      <c r="H238" s="56" t="s">
        <v>235</v>
      </c>
      <c r="I238" s="28"/>
      <c r="J238" s="29"/>
      <c r="K238" s="29"/>
      <c r="L238" s="30"/>
      <c r="M238" s="30"/>
      <c r="N238" s="36"/>
      <c r="O238" s="32"/>
      <c r="P238" s="33"/>
      <c r="Q238" s="34"/>
      <c r="R238" s="37"/>
      <c r="S238" s="14" t="str">
        <f t="shared" si="22"/>
        <v/>
      </c>
    </row>
    <row r="239" spans="2:19" x14ac:dyDescent="0.2">
      <c r="B239" s="2" t="str">
        <f t="shared" si="23"/>
        <v/>
      </c>
      <c r="C239" s="2" t="str">
        <f t="shared" si="24"/>
        <v/>
      </c>
      <c r="D239" s="2" t="str">
        <f t="shared" si="20"/>
        <v>Y</v>
      </c>
      <c r="E239" s="2">
        <f t="shared" si="21"/>
        <v>0</v>
      </c>
      <c r="F239" s="2" t="str">
        <f t="shared" si="25"/>
        <v/>
      </c>
      <c r="H239" s="56" t="s">
        <v>236</v>
      </c>
      <c r="I239" s="28"/>
      <c r="J239" s="29"/>
      <c r="K239" s="29"/>
      <c r="L239" s="30"/>
      <c r="M239" s="30"/>
      <c r="N239" s="36"/>
      <c r="O239" s="32"/>
      <c r="P239" s="33"/>
      <c r="Q239" s="34"/>
      <c r="R239" s="37"/>
      <c r="S239" s="14" t="str">
        <f t="shared" si="22"/>
        <v/>
      </c>
    </row>
    <row r="240" spans="2:19" x14ac:dyDescent="0.2">
      <c r="B240" s="2" t="str">
        <f t="shared" si="23"/>
        <v/>
      </c>
      <c r="C240" s="2" t="str">
        <f t="shared" si="24"/>
        <v/>
      </c>
      <c r="D240" s="2" t="str">
        <f t="shared" si="20"/>
        <v>Y</v>
      </c>
      <c r="E240" s="2">
        <f t="shared" si="21"/>
        <v>0</v>
      </c>
      <c r="F240" s="2" t="str">
        <f t="shared" si="25"/>
        <v/>
      </c>
      <c r="H240" s="56" t="s">
        <v>237</v>
      </c>
      <c r="I240" s="28"/>
      <c r="J240" s="29"/>
      <c r="K240" s="29"/>
      <c r="L240" s="30"/>
      <c r="M240" s="30"/>
      <c r="N240" s="36"/>
      <c r="O240" s="32"/>
      <c r="P240" s="33"/>
      <c r="Q240" s="34"/>
      <c r="R240" s="37"/>
      <c r="S240" s="14" t="str">
        <f t="shared" si="22"/>
        <v/>
      </c>
    </row>
    <row r="241" spans="2:19" x14ac:dyDescent="0.2">
      <c r="B241" s="2" t="str">
        <f t="shared" si="23"/>
        <v/>
      </c>
      <c r="C241" s="2" t="str">
        <f t="shared" si="24"/>
        <v/>
      </c>
      <c r="D241" s="2" t="str">
        <f t="shared" si="20"/>
        <v>Y</v>
      </c>
      <c r="E241" s="2">
        <f t="shared" si="21"/>
        <v>0</v>
      </c>
      <c r="F241" s="2" t="str">
        <f t="shared" si="25"/>
        <v/>
      </c>
      <c r="H241" s="56" t="s">
        <v>238</v>
      </c>
      <c r="I241" s="28"/>
      <c r="J241" s="29"/>
      <c r="K241" s="29"/>
      <c r="L241" s="30"/>
      <c r="M241" s="30"/>
      <c r="N241" s="36"/>
      <c r="O241" s="32"/>
      <c r="P241" s="33"/>
      <c r="Q241" s="34"/>
      <c r="R241" s="37"/>
      <c r="S241" s="14" t="str">
        <f t="shared" si="22"/>
        <v/>
      </c>
    </row>
    <row r="242" spans="2:19" x14ac:dyDescent="0.2">
      <c r="B242" s="2" t="str">
        <f t="shared" si="23"/>
        <v/>
      </c>
      <c r="C242" s="2" t="str">
        <f t="shared" si="24"/>
        <v/>
      </c>
      <c r="D242" s="2" t="str">
        <f t="shared" si="20"/>
        <v>Y</v>
      </c>
      <c r="E242" s="2">
        <f t="shared" si="21"/>
        <v>0</v>
      </c>
      <c r="F242" s="2" t="str">
        <f t="shared" si="25"/>
        <v/>
      </c>
      <c r="H242" s="56" t="s">
        <v>239</v>
      </c>
      <c r="I242" s="28"/>
      <c r="J242" s="29"/>
      <c r="K242" s="29"/>
      <c r="L242" s="30"/>
      <c r="M242" s="30"/>
      <c r="N242" s="36"/>
      <c r="O242" s="32"/>
      <c r="P242" s="33"/>
      <c r="Q242" s="34"/>
      <c r="R242" s="37"/>
      <c r="S242" s="14" t="str">
        <f t="shared" si="22"/>
        <v/>
      </c>
    </row>
    <row r="243" spans="2:19" x14ac:dyDescent="0.2">
      <c r="B243" s="2" t="str">
        <f t="shared" si="23"/>
        <v/>
      </c>
      <c r="C243" s="2" t="str">
        <f t="shared" si="24"/>
        <v/>
      </c>
      <c r="D243" s="2" t="str">
        <f t="shared" si="20"/>
        <v>Y</v>
      </c>
      <c r="E243" s="2">
        <f t="shared" si="21"/>
        <v>0</v>
      </c>
      <c r="F243" s="2" t="str">
        <f t="shared" si="25"/>
        <v/>
      </c>
      <c r="H243" s="56" t="s">
        <v>240</v>
      </c>
      <c r="I243" s="28"/>
      <c r="J243" s="29"/>
      <c r="K243" s="29"/>
      <c r="L243" s="30"/>
      <c r="M243" s="30"/>
      <c r="N243" s="36"/>
      <c r="O243" s="32"/>
      <c r="P243" s="33"/>
      <c r="Q243" s="34"/>
      <c r="R243" s="37"/>
      <c r="S243" s="14" t="str">
        <f t="shared" si="22"/>
        <v/>
      </c>
    </row>
    <row r="244" spans="2:19" x14ac:dyDescent="0.2">
      <c r="B244" s="2" t="str">
        <f t="shared" si="23"/>
        <v/>
      </c>
      <c r="C244" s="2" t="str">
        <f t="shared" si="24"/>
        <v/>
      </c>
      <c r="D244" s="2" t="str">
        <f t="shared" si="20"/>
        <v>Y</v>
      </c>
      <c r="E244" s="2">
        <f t="shared" si="21"/>
        <v>0</v>
      </c>
      <c r="F244" s="2" t="str">
        <f t="shared" si="25"/>
        <v/>
      </c>
      <c r="H244" s="56" t="s">
        <v>241</v>
      </c>
      <c r="I244" s="28"/>
      <c r="J244" s="29"/>
      <c r="K244" s="29"/>
      <c r="L244" s="30"/>
      <c r="M244" s="30"/>
      <c r="N244" s="36"/>
      <c r="O244" s="32"/>
      <c r="P244" s="33"/>
      <c r="Q244" s="34"/>
      <c r="R244" s="37"/>
      <c r="S244" s="14" t="str">
        <f t="shared" si="22"/>
        <v/>
      </c>
    </row>
    <row r="245" spans="2:19" x14ac:dyDescent="0.2">
      <c r="B245" s="2" t="str">
        <f t="shared" si="23"/>
        <v/>
      </c>
      <c r="C245" s="2" t="str">
        <f t="shared" si="24"/>
        <v/>
      </c>
      <c r="D245" s="2" t="str">
        <f t="shared" si="20"/>
        <v>Y</v>
      </c>
      <c r="E245" s="2">
        <f t="shared" si="21"/>
        <v>0</v>
      </c>
      <c r="F245" s="2" t="str">
        <f t="shared" si="25"/>
        <v/>
      </c>
      <c r="H245" s="56" t="s">
        <v>242</v>
      </c>
      <c r="I245" s="28"/>
      <c r="J245" s="29"/>
      <c r="K245" s="29"/>
      <c r="L245" s="30"/>
      <c r="M245" s="30"/>
      <c r="N245" s="36"/>
      <c r="O245" s="32"/>
      <c r="P245" s="33"/>
      <c r="Q245" s="34"/>
      <c r="R245" s="37"/>
      <c r="S245" s="14" t="str">
        <f t="shared" si="22"/>
        <v/>
      </c>
    </row>
    <row r="246" spans="2:19" x14ac:dyDescent="0.2">
      <c r="B246" s="2" t="str">
        <f t="shared" si="23"/>
        <v/>
      </c>
      <c r="C246" s="2" t="str">
        <f t="shared" si="24"/>
        <v/>
      </c>
      <c r="D246" s="2" t="str">
        <f t="shared" si="20"/>
        <v>Y</v>
      </c>
      <c r="E246" s="2">
        <f t="shared" si="21"/>
        <v>0</v>
      </c>
      <c r="F246" s="2" t="str">
        <f t="shared" si="25"/>
        <v/>
      </c>
      <c r="H246" s="56" t="s">
        <v>243</v>
      </c>
      <c r="I246" s="28"/>
      <c r="J246" s="29"/>
      <c r="K246" s="29"/>
      <c r="L246" s="30"/>
      <c r="M246" s="30"/>
      <c r="N246" s="36"/>
      <c r="O246" s="32"/>
      <c r="P246" s="33"/>
      <c r="Q246" s="34"/>
      <c r="R246" s="37"/>
      <c r="S246" s="14" t="str">
        <f t="shared" si="22"/>
        <v/>
      </c>
    </row>
    <row r="247" spans="2:19" x14ac:dyDescent="0.2">
      <c r="B247" s="2" t="str">
        <f t="shared" si="23"/>
        <v/>
      </c>
      <c r="C247" s="2" t="str">
        <f t="shared" si="24"/>
        <v/>
      </c>
      <c r="D247" s="2" t="str">
        <f t="shared" si="20"/>
        <v>Y</v>
      </c>
      <c r="E247" s="2">
        <f t="shared" si="21"/>
        <v>0</v>
      </c>
      <c r="F247" s="2" t="str">
        <f t="shared" si="25"/>
        <v/>
      </c>
      <c r="H247" s="56" t="s">
        <v>244</v>
      </c>
      <c r="I247" s="28"/>
      <c r="J247" s="29"/>
      <c r="K247" s="29"/>
      <c r="L247" s="30"/>
      <c r="M247" s="30"/>
      <c r="N247" s="36"/>
      <c r="O247" s="32"/>
      <c r="P247" s="33"/>
      <c r="Q247" s="34"/>
      <c r="R247" s="37"/>
      <c r="S247" s="14" t="str">
        <f t="shared" si="22"/>
        <v/>
      </c>
    </row>
    <row r="248" spans="2:19" x14ac:dyDescent="0.2">
      <c r="B248" s="2" t="str">
        <f t="shared" si="23"/>
        <v/>
      </c>
      <c r="C248" s="2" t="str">
        <f t="shared" si="24"/>
        <v/>
      </c>
      <c r="D248" s="2" t="str">
        <f t="shared" si="20"/>
        <v>Y</v>
      </c>
      <c r="E248" s="2">
        <f t="shared" si="21"/>
        <v>0</v>
      </c>
      <c r="F248" s="2" t="str">
        <f t="shared" si="25"/>
        <v/>
      </c>
      <c r="H248" s="56" t="s">
        <v>245</v>
      </c>
      <c r="I248" s="28"/>
      <c r="J248" s="29"/>
      <c r="K248" s="29"/>
      <c r="L248" s="30"/>
      <c r="M248" s="30"/>
      <c r="N248" s="36"/>
      <c r="O248" s="32"/>
      <c r="P248" s="33"/>
      <c r="Q248" s="34"/>
      <c r="R248" s="37"/>
      <c r="S248" s="14" t="str">
        <f t="shared" si="22"/>
        <v/>
      </c>
    </row>
    <row r="249" spans="2:19" x14ac:dyDescent="0.2">
      <c r="B249" s="2" t="str">
        <f t="shared" si="23"/>
        <v/>
      </c>
      <c r="C249" s="2" t="str">
        <f t="shared" si="24"/>
        <v/>
      </c>
      <c r="D249" s="2" t="str">
        <f t="shared" si="20"/>
        <v>Y</v>
      </c>
      <c r="E249" s="2">
        <f t="shared" si="21"/>
        <v>0</v>
      </c>
      <c r="F249" s="2" t="str">
        <f t="shared" si="25"/>
        <v/>
      </c>
      <c r="H249" s="56" t="s">
        <v>246</v>
      </c>
      <c r="I249" s="28"/>
      <c r="J249" s="29"/>
      <c r="K249" s="29"/>
      <c r="L249" s="30"/>
      <c r="M249" s="30"/>
      <c r="N249" s="36"/>
      <c r="O249" s="32"/>
      <c r="P249" s="33"/>
      <c r="Q249" s="34"/>
      <c r="R249" s="37"/>
      <c r="S249" s="14" t="str">
        <f t="shared" si="22"/>
        <v/>
      </c>
    </row>
    <row r="250" spans="2:19" x14ac:dyDescent="0.2">
      <c r="B250" s="2" t="str">
        <f t="shared" si="23"/>
        <v/>
      </c>
      <c r="C250" s="2" t="str">
        <f t="shared" si="24"/>
        <v/>
      </c>
      <c r="D250" s="2" t="str">
        <f t="shared" si="20"/>
        <v>Y</v>
      </c>
      <c r="E250" s="2">
        <f t="shared" si="21"/>
        <v>0</v>
      </c>
      <c r="F250" s="2" t="str">
        <f t="shared" si="25"/>
        <v/>
      </c>
      <c r="H250" s="56" t="s">
        <v>247</v>
      </c>
      <c r="I250" s="28"/>
      <c r="J250" s="29"/>
      <c r="K250" s="29"/>
      <c r="L250" s="30"/>
      <c r="M250" s="30"/>
      <c r="N250" s="36"/>
      <c r="O250" s="32"/>
      <c r="P250" s="33"/>
      <c r="Q250" s="34"/>
      <c r="R250" s="37"/>
      <c r="S250" s="14" t="str">
        <f t="shared" si="22"/>
        <v/>
      </c>
    </row>
    <row r="251" spans="2:19" x14ac:dyDescent="0.2">
      <c r="B251" s="2" t="str">
        <f t="shared" si="23"/>
        <v/>
      </c>
      <c r="C251" s="2" t="str">
        <f t="shared" si="24"/>
        <v/>
      </c>
      <c r="D251" s="2" t="str">
        <f t="shared" si="20"/>
        <v>Y</v>
      </c>
      <c r="E251" s="2">
        <f t="shared" si="21"/>
        <v>0</v>
      </c>
      <c r="F251" s="2" t="str">
        <f t="shared" si="25"/>
        <v/>
      </c>
      <c r="H251" s="56" t="s">
        <v>248</v>
      </c>
      <c r="I251" s="28"/>
      <c r="J251" s="29"/>
      <c r="K251" s="29"/>
      <c r="L251" s="30"/>
      <c r="M251" s="30"/>
      <c r="N251" s="36"/>
      <c r="O251" s="32"/>
      <c r="P251" s="33"/>
      <c r="Q251" s="34"/>
      <c r="R251" s="37"/>
      <c r="S251" s="14" t="str">
        <f t="shared" si="22"/>
        <v/>
      </c>
    </row>
    <row r="252" spans="2:19" x14ac:dyDescent="0.2">
      <c r="B252" s="2" t="str">
        <f t="shared" si="23"/>
        <v/>
      </c>
      <c r="C252" s="2" t="str">
        <f t="shared" si="24"/>
        <v/>
      </c>
      <c r="D252" s="2" t="str">
        <f t="shared" si="20"/>
        <v>Y</v>
      </c>
      <c r="E252" s="2">
        <f t="shared" si="21"/>
        <v>0</v>
      </c>
      <c r="F252" s="2" t="str">
        <f t="shared" si="25"/>
        <v/>
      </c>
      <c r="H252" s="56" t="s">
        <v>249</v>
      </c>
      <c r="I252" s="28"/>
      <c r="J252" s="29"/>
      <c r="K252" s="29"/>
      <c r="L252" s="30"/>
      <c r="M252" s="30"/>
      <c r="N252" s="36"/>
      <c r="O252" s="32"/>
      <c r="P252" s="33"/>
      <c r="Q252" s="34"/>
      <c r="R252" s="37"/>
      <c r="S252" s="14" t="str">
        <f t="shared" si="22"/>
        <v/>
      </c>
    </row>
    <row r="253" spans="2:19" x14ac:dyDescent="0.2">
      <c r="B253" s="2" t="str">
        <f t="shared" si="23"/>
        <v/>
      </c>
      <c r="C253" s="2" t="str">
        <f t="shared" si="24"/>
        <v/>
      </c>
      <c r="D253" s="2" t="str">
        <f t="shared" si="20"/>
        <v>Y</v>
      </c>
      <c r="E253" s="2">
        <f t="shared" si="21"/>
        <v>0</v>
      </c>
      <c r="F253" s="2" t="str">
        <f t="shared" si="25"/>
        <v/>
      </c>
      <c r="H253" s="56" t="s">
        <v>250</v>
      </c>
      <c r="I253" s="28"/>
      <c r="J253" s="29"/>
      <c r="K253" s="29"/>
      <c r="L253" s="30"/>
      <c r="M253" s="30"/>
      <c r="N253" s="36"/>
      <c r="O253" s="32"/>
      <c r="P253" s="33"/>
      <c r="Q253" s="34"/>
      <c r="R253" s="37"/>
      <c r="S253" s="14" t="str">
        <f t="shared" si="22"/>
        <v/>
      </c>
    </row>
    <row r="254" spans="2:19" x14ac:dyDescent="0.2">
      <c r="B254" s="2" t="str">
        <f t="shared" si="23"/>
        <v/>
      </c>
      <c r="C254" s="2" t="str">
        <f t="shared" si="24"/>
        <v/>
      </c>
      <c r="D254" s="2" t="str">
        <f t="shared" si="20"/>
        <v>Y</v>
      </c>
      <c r="E254" s="2">
        <f t="shared" si="21"/>
        <v>0</v>
      </c>
      <c r="F254" s="2" t="str">
        <f t="shared" si="25"/>
        <v/>
      </c>
      <c r="H254" s="56" t="s">
        <v>251</v>
      </c>
      <c r="I254" s="28"/>
      <c r="J254" s="29"/>
      <c r="K254" s="29"/>
      <c r="L254" s="30"/>
      <c r="M254" s="30"/>
      <c r="N254" s="36"/>
      <c r="O254" s="32"/>
      <c r="P254" s="33"/>
      <c r="Q254" s="34"/>
      <c r="R254" s="37"/>
      <c r="S254" s="14" t="str">
        <f t="shared" si="22"/>
        <v/>
      </c>
    </row>
    <row r="255" spans="2:19" x14ac:dyDescent="0.2">
      <c r="B255" s="2" t="str">
        <f t="shared" si="23"/>
        <v/>
      </c>
      <c r="C255" s="2" t="str">
        <f t="shared" si="24"/>
        <v/>
      </c>
      <c r="D255" s="2" t="str">
        <f t="shared" si="20"/>
        <v>Y</v>
      </c>
      <c r="E255" s="2">
        <f t="shared" si="21"/>
        <v>0</v>
      </c>
      <c r="F255" s="2" t="str">
        <f t="shared" si="25"/>
        <v/>
      </c>
      <c r="H255" s="56" t="s">
        <v>252</v>
      </c>
      <c r="I255" s="28"/>
      <c r="J255" s="29"/>
      <c r="K255" s="29"/>
      <c r="L255" s="30"/>
      <c r="M255" s="30"/>
      <c r="N255" s="36"/>
      <c r="O255" s="32"/>
      <c r="P255" s="33"/>
      <c r="Q255" s="34"/>
      <c r="R255" s="37"/>
      <c r="S255" s="14" t="str">
        <f t="shared" si="22"/>
        <v/>
      </c>
    </row>
    <row r="256" spans="2:19" x14ac:dyDescent="0.2">
      <c r="B256" s="2" t="str">
        <f t="shared" si="23"/>
        <v/>
      </c>
      <c r="C256" s="2" t="str">
        <f t="shared" si="24"/>
        <v/>
      </c>
      <c r="D256" s="2" t="str">
        <f t="shared" si="20"/>
        <v>Y</v>
      </c>
      <c r="E256" s="2">
        <f t="shared" si="21"/>
        <v>0</v>
      </c>
      <c r="F256" s="2" t="str">
        <f t="shared" si="25"/>
        <v/>
      </c>
      <c r="H256" s="56" t="s">
        <v>253</v>
      </c>
      <c r="I256" s="28"/>
      <c r="J256" s="29"/>
      <c r="K256" s="29"/>
      <c r="L256" s="30"/>
      <c r="M256" s="30"/>
      <c r="N256" s="36"/>
      <c r="O256" s="32"/>
      <c r="P256" s="33"/>
      <c r="Q256" s="34"/>
      <c r="R256" s="37"/>
      <c r="S256" s="14" t="str">
        <f t="shared" si="22"/>
        <v/>
      </c>
    </row>
    <row r="257" spans="2:19" x14ac:dyDescent="0.2">
      <c r="B257" s="2" t="str">
        <f t="shared" si="23"/>
        <v/>
      </c>
      <c r="C257" s="2" t="str">
        <f t="shared" si="24"/>
        <v/>
      </c>
      <c r="D257" s="2" t="str">
        <f t="shared" si="20"/>
        <v>Y</v>
      </c>
      <c r="E257" s="2">
        <f t="shared" si="21"/>
        <v>0</v>
      </c>
      <c r="F257" s="2" t="str">
        <f t="shared" si="25"/>
        <v/>
      </c>
      <c r="H257" s="56" t="s">
        <v>254</v>
      </c>
      <c r="I257" s="28"/>
      <c r="J257" s="29"/>
      <c r="K257" s="29"/>
      <c r="L257" s="30"/>
      <c r="M257" s="30"/>
      <c r="N257" s="36"/>
      <c r="O257" s="32"/>
      <c r="P257" s="33"/>
      <c r="Q257" s="34"/>
      <c r="R257" s="37"/>
      <c r="S257" s="14" t="str">
        <f t="shared" si="22"/>
        <v/>
      </c>
    </row>
    <row r="258" spans="2:19" x14ac:dyDescent="0.2">
      <c r="B258" s="2" t="str">
        <f t="shared" si="23"/>
        <v/>
      </c>
      <c r="C258" s="2" t="str">
        <f t="shared" si="24"/>
        <v/>
      </c>
      <c r="D258" s="2" t="str">
        <f t="shared" si="20"/>
        <v>Y</v>
      </c>
      <c r="E258" s="2">
        <f t="shared" si="21"/>
        <v>0</v>
      </c>
      <c r="F258" s="2" t="str">
        <f t="shared" si="25"/>
        <v/>
      </c>
      <c r="H258" s="56" t="s">
        <v>255</v>
      </c>
      <c r="I258" s="28"/>
      <c r="J258" s="29"/>
      <c r="K258" s="29"/>
      <c r="L258" s="30"/>
      <c r="M258" s="30"/>
      <c r="N258" s="36"/>
      <c r="O258" s="32"/>
      <c r="P258" s="33"/>
      <c r="Q258" s="34"/>
      <c r="R258" s="37"/>
      <c r="S258" s="14" t="str">
        <f t="shared" si="22"/>
        <v/>
      </c>
    </row>
    <row r="259" spans="2:19" x14ac:dyDescent="0.2">
      <c r="B259" s="2" t="str">
        <f t="shared" si="23"/>
        <v/>
      </c>
      <c r="C259" s="2" t="str">
        <f t="shared" si="24"/>
        <v/>
      </c>
      <c r="D259" s="2" t="str">
        <f t="shared" si="20"/>
        <v>Y</v>
      </c>
      <c r="E259" s="2">
        <f t="shared" si="21"/>
        <v>0</v>
      </c>
      <c r="F259" s="2" t="str">
        <f t="shared" si="25"/>
        <v/>
      </c>
      <c r="H259" s="56" t="s">
        <v>256</v>
      </c>
      <c r="I259" s="28"/>
      <c r="J259" s="29"/>
      <c r="K259" s="29"/>
      <c r="L259" s="30"/>
      <c r="M259" s="30"/>
      <c r="N259" s="36"/>
      <c r="O259" s="32"/>
      <c r="P259" s="33"/>
      <c r="Q259" s="34"/>
      <c r="R259" s="37"/>
      <c r="S259" s="14" t="str">
        <f t="shared" si="22"/>
        <v/>
      </c>
    </row>
    <row r="260" spans="2:19" x14ac:dyDescent="0.2">
      <c r="B260" s="2" t="str">
        <f t="shared" si="23"/>
        <v/>
      </c>
      <c r="C260" s="2" t="str">
        <f t="shared" si="24"/>
        <v/>
      </c>
      <c r="D260" s="2" t="str">
        <f t="shared" si="20"/>
        <v>Y</v>
      </c>
      <c r="E260" s="2">
        <f t="shared" si="21"/>
        <v>0</v>
      </c>
      <c r="F260" s="2" t="str">
        <f t="shared" si="25"/>
        <v/>
      </c>
      <c r="H260" s="56" t="s">
        <v>257</v>
      </c>
      <c r="I260" s="28"/>
      <c r="J260" s="29"/>
      <c r="K260" s="29"/>
      <c r="L260" s="30"/>
      <c r="M260" s="30"/>
      <c r="N260" s="36"/>
      <c r="O260" s="32"/>
      <c r="P260" s="33"/>
      <c r="Q260" s="34"/>
      <c r="R260" s="37"/>
      <c r="S260" s="14" t="str">
        <f t="shared" si="22"/>
        <v/>
      </c>
    </row>
    <row r="261" spans="2:19" x14ac:dyDescent="0.2">
      <c r="B261" s="2" t="str">
        <f t="shared" si="23"/>
        <v/>
      </c>
      <c r="C261" s="2" t="str">
        <f t="shared" si="24"/>
        <v/>
      </c>
      <c r="D261" s="2" t="str">
        <f t="shared" si="20"/>
        <v>Y</v>
      </c>
      <c r="E261" s="2">
        <f t="shared" si="21"/>
        <v>0</v>
      </c>
      <c r="F261" s="2" t="str">
        <f t="shared" si="25"/>
        <v/>
      </c>
      <c r="H261" s="56" t="s">
        <v>258</v>
      </c>
      <c r="I261" s="28"/>
      <c r="J261" s="29"/>
      <c r="K261" s="29"/>
      <c r="L261" s="30"/>
      <c r="M261" s="30"/>
      <c r="N261" s="36"/>
      <c r="O261" s="32"/>
      <c r="P261" s="33"/>
      <c r="Q261" s="34"/>
      <c r="R261" s="37"/>
      <c r="S261" s="14" t="str">
        <f t="shared" si="22"/>
        <v/>
      </c>
    </row>
    <row r="262" spans="2:19" x14ac:dyDescent="0.2">
      <c r="B262" s="2" t="str">
        <f t="shared" si="23"/>
        <v/>
      </c>
      <c r="C262" s="2" t="str">
        <f t="shared" si="24"/>
        <v/>
      </c>
      <c r="D262" s="2" t="str">
        <f t="shared" si="20"/>
        <v>Y</v>
      </c>
      <c r="E262" s="2">
        <f t="shared" si="21"/>
        <v>0</v>
      </c>
      <c r="F262" s="2" t="str">
        <f t="shared" si="25"/>
        <v/>
      </c>
      <c r="H262" s="56" t="s">
        <v>259</v>
      </c>
      <c r="I262" s="28"/>
      <c r="J262" s="29"/>
      <c r="K262" s="29"/>
      <c r="L262" s="30"/>
      <c r="M262" s="30"/>
      <c r="N262" s="36"/>
      <c r="O262" s="32"/>
      <c r="P262" s="33"/>
      <c r="Q262" s="34"/>
      <c r="R262" s="37"/>
      <c r="S262" s="14" t="str">
        <f t="shared" si="22"/>
        <v/>
      </c>
    </row>
    <row r="263" spans="2:19" x14ac:dyDescent="0.2">
      <c r="B263" s="2" t="str">
        <f t="shared" si="23"/>
        <v/>
      </c>
      <c r="C263" s="2" t="str">
        <f t="shared" si="24"/>
        <v/>
      </c>
      <c r="D263" s="2" t="str">
        <f t="shared" si="20"/>
        <v>Y</v>
      </c>
      <c r="E263" s="2">
        <f t="shared" si="21"/>
        <v>0</v>
      </c>
      <c r="F263" s="2" t="str">
        <f t="shared" si="25"/>
        <v/>
      </c>
      <c r="H263" s="56" t="s">
        <v>260</v>
      </c>
      <c r="I263" s="28"/>
      <c r="J263" s="29"/>
      <c r="K263" s="29"/>
      <c r="L263" s="30"/>
      <c r="M263" s="30"/>
      <c r="N263" s="36"/>
      <c r="O263" s="32"/>
      <c r="P263" s="33"/>
      <c r="Q263" s="34"/>
      <c r="R263" s="37"/>
      <c r="S263" s="14" t="str">
        <f t="shared" si="22"/>
        <v/>
      </c>
    </row>
    <row r="264" spans="2:19" x14ac:dyDescent="0.2">
      <c r="B264" s="2" t="str">
        <f t="shared" si="23"/>
        <v/>
      </c>
      <c r="C264" s="2" t="str">
        <f t="shared" si="24"/>
        <v/>
      </c>
      <c r="D264" s="2" t="str">
        <f t="shared" si="20"/>
        <v>Y</v>
      </c>
      <c r="E264" s="2">
        <f t="shared" si="21"/>
        <v>0</v>
      </c>
      <c r="F264" s="2" t="str">
        <f t="shared" si="25"/>
        <v/>
      </c>
      <c r="H264" s="56" t="s">
        <v>261</v>
      </c>
      <c r="I264" s="28"/>
      <c r="J264" s="29"/>
      <c r="K264" s="29"/>
      <c r="L264" s="30"/>
      <c r="M264" s="30"/>
      <c r="N264" s="36"/>
      <c r="O264" s="32"/>
      <c r="P264" s="33"/>
      <c r="Q264" s="34"/>
      <c r="R264" s="37"/>
      <c r="S264" s="14" t="str">
        <f t="shared" si="22"/>
        <v/>
      </c>
    </row>
    <row r="265" spans="2:19" x14ac:dyDescent="0.2">
      <c r="B265" s="2" t="str">
        <f t="shared" si="23"/>
        <v/>
      </c>
      <c r="C265" s="2" t="str">
        <f t="shared" si="24"/>
        <v/>
      </c>
      <c r="D265" s="2" t="str">
        <f t="shared" si="20"/>
        <v>Y</v>
      </c>
      <c r="E265" s="2">
        <f t="shared" si="21"/>
        <v>0</v>
      </c>
      <c r="F265" s="2" t="str">
        <f t="shared" si="25"/>
        <v/>
      </c>
      <c r="H265" s="56" t="s">
        <v>262</v>
      </c>
      <c r="I265" s="28"/>
      <c r="J265" s="29"/>
      <c r="K265" s="29"/>
      <c r="L265" s="30"/>
      <c r="M265" s="30"/>
      <c r="N265" s="36"/>
      <c r="O265" s="32"/>
      <c r="P265" s="33"/>
      <c r="Q265" s="34"/>
      <c r="R265" s="37"/>
      <c r="S265" s="14" t="str">
        <f t="shared" si="22"/>
        <v/>
      </c>
    </row>
    <row r="266" spans="2:19" x14ac:dyDescent="0.2">
      <c r="B266" s="2" t="str">
        <f t="shared" si="23"/>
        <v/>
      </c>
      <c r="C266" s="2" t="str">
        <f t="shared" si="24"/>
        <v/>
      </c>
      <c r="D266" s="2" t="str">
        <f t="shared" si="20"/>
        <v>Y</v>
      </c>
      <c r="E266" s="2">
        <f t="shared" si="21"/>
        <v>0</v>
      </c>
      <c r="F266" s="2" t="str">
        <f t="shared" si="25"/>
        <v/>
      </c>
      <c r="H266" s="56" t="s">
        <v>263</v>
      </c>
      <c r="I266" s="28"/>
      <c r="J266" s="29"/>
      <c r="K266" s="29"/>
      <c r="L266" s="30"/>
      <c r="M266" s="30"/>
      <c r="N266" s="36"/>
      <c r="O266" s="32"/>
      <c r="P266" s="33"/>
      <c r="Q266" s="34"/>
      <c r="R266" s="37"/>
      <c r="S266" s="14" t="str">
        <f t="shared" si="22"/>
        <v/>
      </c>
    </row>
    <row r="267" spans="2:19" x14ac:dyDescent="0.2">
      <c r="B267" s="2" t="str">
        <f t="shared" si="23"/>
        <v/>
      </c>
      <c r="C267" s="2" t="str">
        <f t="shared" si="24"/>
        <v/>
      </c>
      <c r="D267" s="2" t="str">
        <f t="shared" ref="D267:D330" si="26">IF(OR(P267=Not_started,P267=In_progress),"N",IF(OR(P267=N_A,P267=Suspended,P267=Canceled),"","Y"))</f>
        <v>Y</v>
      </c>
      <c r="E267" s="2">
        <f t="shared" ref="E267:E330" si="27">IF(OR(P267=Not_started,P267=In_progress,P267=Applied,P267=Closed),1,0)</f>
        <v>0</v>
      </c>
      <c r="F267" s="2" t="str">
        <f t="shared" si="25"/>
        <v/>
      </c>
      <c r="H267" s="56" t="s">
        <v>264</v>
      </c>
      <c r="I267" s="28"/>
      <c r="J267" s="29"/>
      <c r="K267" s="29"/>
      <c r="L267" s="30"/>
      <c r="M267" s="30"/>
      <c r="N267" s="36"/>
      <c r="O267" s="32"/>
      <c r="P267" s="33"/>
      <c r="Q267" s="34"/>
      <c r="R267" s="37"/>
      <c r="S267" s="14" t="str">
        <f t="shared" ref="S267:S330" si="28">IF(ISERROR(VLOOKUP(K267,LB_PROJECTS,2,FALSE)),"",VLOOKUP(K267,LB_PROJECTS,2,FALSE))</f>
        <v/>
      </c>
    </row>
    <row r="268" spans="2:19" x14ac:dyDescent="0.2">
      <c r="B268" s="2" t="str">
        <f t="shared" ref="B268:B331" si="29">IF(N268="","",IF(WEEKNUM(N268)&lt;10,VALUE(CONCATENATE(YEAR(N268),"0",WEEKNUM(N268))),VALUE(CONCATENATE(YEAR(N268),WEEKNUM(N268)))))</f>
        <v/>
      </c>
      <c r="C268" s="2" t="str">
        <f t="shared" ref="C268:C331" si="30">IF(Q268="","",IF(WEEKNUM(Q268)&lt;10,VALUE(CONCATENATE(YEAR(Q268),"0",WEEKNUM(Q268))),VALUE(CONCATENATE(YEAR(Q268),WEEKNUM(Q268)))))</f>
        <v/>
      </c>
      <c r="D268" s="2" t="str">
        <f t="shared" si="26"/>
        <v>Y</v>
      </c>
      <c r="E268" s="2">
        <f t="shared" si="27"/>
        <v>0</v>
      </c>
      <c r="F268" s="2" t="str">
        <f t="shared" si="25"/>
        <v/>
      </c>
      <c r="H268" s="56" t="s">
        <v>265</v>
      </c>
      <c r="I268" s="28"/>
      <c r="J268" s="29"/>
      <c r="K268" s="29"/>
      <c r="L268" s="30"/>
      <c r="M268" s="30"/>
      <c r="N268" s="36"/>
      <c r="O268" s="32"/>
      <c r="P268" s="33"/>
      <c r="Q268" s="34"/>
      <c r="R268" s="37"/>
      <c r="S268" s="14" t="str">
        <f t="shared" si="28"/>
        <v/>
      </c>
    </row>
    <row r="269" spans="2:19" x14ac:dyDescent="0.2">
      <c r="B269" s="2" t="str">
        <f t="shared" si="29"/>
        <v/>
      </c>
      <c r="C269" s="2" t="str">
        <f t="shared" si="30"/>
        <v/>
      </c>
      <c r="D269" s="2" t="str">
        <f t="shared" si="26"/>
        <v>Y</v>
      </c>
      <c r="E269" s="2">
        <f t="shared" si="27"/>
        <v>0</v>
      </c>
      <c r="F269" s="2" t="str">
        <f t="shared" si="25"/>
        <v/>
      </c>
      <c r="H269" s="56" t="s">
        <v>266</v>
      </c>
      <c r="I269" s="28"/>
      <c r="J269" s="29"/>
      <c r="K269" s="29"/>
      <c r="L269" s="30"/>
      <c r="M269" s="30"/>
      <c r="N269" s="36"/>
      <c r="O269" s="32"/>
      <c r="P269" s="33"/>
      <c r="Q269" s="34"/>
      <c r="R269" s="37"/>
      <c r="S269" s="14" t="str">
        <f t="shared" si="28"/>
        <v/>
      </c>
    </row>
    <row r="270" spans="2:19" x14ac:dyDescent="0.2">
      <c r="B270" s="2" t="str">
        <f t="shared" si="29"/>
        <v/>
      </c>
      <c r="C270" s="2" t="str">
        <f t="shared" si="30"/>
        <v/>
      </c>
      <c r="D270" s="2" t="str">
        <f t="shared" si="26"/>
        <v>Y</v>
      </c>
      <c r="E270" s="2">
        <f t="shared" si="27"/>
        <v>0</v>
      </c>
      <c r="F270" s="2" t="str">
        <f t="shared" ref="F270:F333" si="31">IF(O270="",B270,IF(WEEKNUM(O270)&lt;10,VALUE(CONCATENATE(YEAR(O270),"0",WEEKNUM(O270))),VALUE(CONCATENATE(YEAR(O270),WEEKNUM(O270)))))</f>
        <v/>
      </c>
      <c r="H270" s="56" t="s">
        <v>267</v>
      </c>
      <c r="I270" s="28"/>
      <c r="J270" s="29"/>
      <c r="K270" s="29"/>
      <c r="L270" s="30"/>
      <c r="M270" s="30"/>
      <c r="N270" s="36"/>
      <c r="O270" s="32"/>
      <c r="P270" s="33"/>
      <c r="Q270" s="34"/>
      <c r="R270" s="37"/>
      <c r="S270" s="14" t="str">
        <f t="shared" si="28"/>
        <v/>
      </c>
    </row>
    <row r="271" spans="2:19" x14ac:dyDescent="0.2">
      <c r="B271" s="2" t="str">
        <f t="shared" si="29"/>
        <v/>
      </c>
      <c r="C271" s="2" t="str">
        <f t="shared" si="30"/>
        <v/>
      </c>
      <c r="D271" s="2" t="str">
        <f t="shared" si="26"/>
        <v>Y</v>
      </c>
      <c r="E271" s="2">
        <f t="shared" si="27"/>
        <v>0</v>
      </c>
      <c r="F271" s="2" t="str">
        <f t="shared" si="31"/>
        <v/>
      </c>
      <c r="H271" s="56" t="s">
        <v>268</v>
      </c>
      <c r="I271" s="28"/>
      <c r="J271" s="29"/>
      <c r="K271" s="29"/>
      <c r="L271" s="30"/>
      <c r="M271" s="30"/>
      <c r="N271" s="36"/>
      <c r="O271" s="32"/>
      <c r="P271" s="33"/>
      <c r="Q271" s="34"/>
      <c r="R271" s="37"/>
      <c r="S271" s="14" t="str">
        <f t="shared" si="28"/>
        <v/>
      </c>
    </row>
    <row r="272" spans="2:19" x14ac:dyDescent="0.2">
      <c r="B272" s="2" t="str">
        <f t="shared" si="29"/>
        <v/>
      </c>
      <c r="C272" s="2" t="str">
        <f t="shared" si="30"/>
        <v/>
      </c>
      <c r="D272" s="2" t="str">
        <f t="shared" si="26"/>
        <v>Y</v>
      </c>
      <c r="E272" s="2">
        <f t="shared" si="27"/>
        <v>0</v>
      </c>
      <c r="F272" s="2" t="str">
        <f t="shared" si="31"/>
        <v/>
      </c>
      <c r="H272" s="56" t="s">
        <v>269</v>
      </c>
      <c r="I272" s="28"/>
      <c r="J272" s="29"/>
      <c r="K272" s="29"/>
      <c r="L272" s="30"/>
      <c r="M272" s="30"/>
      <c r="N272" s="36"/>
      <c r="O272" s="32"/>
      <c r="P272" s="33"/>
      <c r="Q272" s="34"/>
      <c r="R272" s="37"/>
      <c r="S272" s="14" t="str">
        <f t="shared" si="28"/>
        <v/>
      </c>
    </row>
    <row r="273" spans="2:19" x14ac:dyDescent="0.2">
      <c r="B273" s="2" t="str">
        <f t="shared" si="29"/>
        <v/>
      </c>
      <c r="C273" s="2" t="str">
        <f t="shared" si="30"/>
        <v/>
      </c>
      <c r="D273" s="2" t="str">
        <f t="shared" si="26"/>
        <v>Y</v>
      </c>
      <c r="E273" s="2">
        <f t="shared" si="27"/>
        <v>0</v>
      </c>
      <c r="F273" s="2" t="str">
        <f t="shared" si="31"/>
        <v/>
      </c>
      <c r="H273" s="56" t="s">
        <v>270</v>
      </c>
      <c r="I273" s="28"/>
      <c r="J273" s="29"/>
      <c r="K273" s="29"/>
      <c r="L273" s="30"/>
      <c r="M273" s="30"/>
      <c r="N273" s="36"/>
      <c r="O273" s="32"/>
      <c r="P273" s="33"/>
      <c r="Q273" s="34"/>
      <c r="R273" s="37"/>
      <c r="S273" s="14" t="str">
        <f t="shared" si="28"/>
        <v/>
      </c>
    </row>
    <row r="274" spans="2:19" x14ac:dyDescent="0.2">
      <c r="B274" s="2" t="str">
        <f t="shared" si="29"/>
        <v/>
      </c>
      <c r="C274" s="2" t="str">
        <f t="shared" si="30"/>
        <v/>
      </c>
      <c r="D274" s="2" t="str">
        <f t="shared" si="26"/>
        <v>Y</v>
      </c>
      <c r="E274" s="2">
        <f t="shared" si="27"/>
        <v>0</v>
      </c>
      <c r="F274" s="2" t="str">
        <f t="shared" si="31"/>
        <v/>
      </c>
      <c r="H274" s="56" t="s">
        <v>271</v>
      </c>
      <c r="I274" s="28"/>
      <c r="J274" s="29"/>
      <c r="K274" s="29"/>
      <c r="L274" s="30"/>
      <c r="M274" s="30"/>
      <c r="N274" s="36"/>
      <c r="O274" s="32"/>
      <c r="P274" s="33"/>
      <c r="Q274" s="34"/>
      <c r="R274" s="37"/>
      <c r="S274" s="14" t="str">
        <f t="shared" si="28"/>
        <v/>
      </c>
    </row>
    <row r="275" spans="2:19" x14ac:dyDescent="0.2">
      <c r="B275" s="2" t="str">
        <f t="shared" si="29"/>
        <v/>
      </c>
      <c r="C275" s="2" t="str">
        <f t="shared" si="30"/>
        <v/>
      </c>
      <c r="D275" s="2" t="str">
        <f t="shared" si="26"/>
        <v>Y</v>
      </c>
      <c r="E275" s="2">
        <f t="shared" si="27"/>
        <v>0</v>
      </c>
      <c r="F275" s="2" t="str">
        <f t="shared" si="31"/>
        <v/>
      </c>
      <c r="H275" s="56" t="s">
        <v>272</v>
      </c>
      <c r="I275" s="28"/>
      <c r="J275" s="29"/>
      <c r="K275" s="29"/>
      <c r="L275" s="30"/>
      <c r="M275" s="30"/>
      <c r="N275" s="36"/>
      <c r="O275" s="32"/>
      <c r="P275" s="33"/>
      <c r="Q275" s="34"/>
      <c r="R275" s="37"/>
      <c r="S275" s="14" t="str">
        <f t="shared" si="28"/>
        <v/>
      </c>
    </row>
    <row r="276" spans="2:19" x14ac:dyDescent="0.2">
      <c r="B276" s="2" t="str">
        <f t="shared" si="29"/>
        <v/>
      </c>
      <c r="C276" s="2" t="str">
        <f t="shared" si="30"/>
        <v/>
      </c>
      <c r="D276" s="2" t="str">
        <f t="shared" si="26"/>
        <v>Y</v>
      </c>
      <c r="E276" s="2">
        <f t="shared" si="27"/>
        <v>0</v>
      </c>
      <c r="F276" s="2" t="str">
        <f t="shared" si="31"/>
        <v/>
      </c>
      <c r="H276" s="56" t="s">
        <v>273</v>
      </c>
      <c r="I276" s="28"/>
      <c r="J276" s="29"/>
      <c r="K276" s="29"/>
      <c r="L276" s="30"/>
      <c r="M276" s="30"/>
      <c r="N276" s="36"/>
      <c r="O276" s="32"/>
      <c r="P276" s="33"/>
      <c r="Q276" s="34"/>
      <c r="R276" s="37"/>
      <c r="S276" s="14" t="str">
        <f t="shared" si="28"/>
        <v/>
      </c>
    </row>
    <row r="277" spans="2:19" x14ac:dyDescent="0.2">
      <c r="B277" s="2" t="str">
        <f t="shared" si="29"/>
        <v/>
      </c>
      <c r="C277" s="2" t="str">
        <f t="shared" si="30"/>
        <v/>
      </c>
      <c r="D277" s="2" t="str">
        <f t="shared" si="26"/>
        <v>Y</v>
      </c>
      <c r="E277" s="2">
        <f t="shared" si="27"/>
        <v>0</v>
      </c>
      <c r="F277" s="2" t="str">
        <f t="shared" si="31"/>
        <v/>
      </c>
      <c r="H277" s="56" t="s">
        <v>274</v>
      </c>
      <c r="I277" s="28"/>
      <c r="J277" s="29"/>
      <c r="K277" s="29"/>
      <c r="L277" s="30"/>
      <c r="M277" s="30"/>
      <c r="N277" s="36"/>
      <c r="O277" s="32"/>
      <c r="P277" s="33"/>
      <c r="Q277" s="34"/>
      <c r="R277" s="37"/>
      <c r="S277" s="14" t="str">
        <f t="shared" si="28"/>
        <v/>
      </c>
    </row>
    <row r="278" spans="2:19" x14ac:dyDescent="0.2">
      <c r="B278" s="2" t="str">
        <f t="shared" si="29"/>
        <v/>
      </c>
      <c r="C278" s="2" t="str">
        <f t="shared" si="30"/>
        <v/>
      </c>
      <c r="D278" s="2" t="str">
        <f t="shared" si="26"/>
        <v>Y</v>
      </c>
      <c r="E278" s="2">
        <f t="shared" si="27"/>
        <v>0</v>
      </c>
      <c r="F278" s="2" t="str">
        <f t="shared" si="31"/>
        <v/>
      </c>
      <c r="H278" s="56" t="s">
        <v>275</v>
      </c>
      <c r="I278" s="28"/>
      <c r="J278" s="29"/>
      <c r="K278" s="29"/>
      <c r="L278" s="30"/>
      <c r="M278" s="30"/>
      <c r="N278" s="36"/>
      <c r="O278" s="32"/>
      <c r="P278" s="33"/>
      <c r="Q278" s="34"/>
      <c r="R278" s="37"/>
      <c r="S278" s="14" t="str">
        <f t="shared" si="28"/>
        <v/>
      </c>
    </row>
    <row r="279" spans="2:19" x14ac:dyDescent="0.2">
      <c r="B279" s="2" t="str">
        <f t="shared" si="29"/>
        <v/>
      </c>
      <c r="C279" s="2" t="str">
        <f t="shared" si="30"/>
        <v/>
      </c>
      <c r="D279" s="2" t="str">
        <f t="shared" si="26"/>
        <v>Y</v>
      </c>
      <c r="E279" s="2">
        <f t="shared" si="27"/>
        <v>0</v>
      </c>
      <c r="F279" s="2" t="str">
        <f t="shared" si="31"/>
        <v/>
      </c>
      <c r="H279" s="56" t="s">
        <v>276</v>
      </c>
      <c r="I279" s="28"/>
      <c r="J279" s="29"/>
      <c r="K279" s="29"/>
      <c r="L279" s="30"/>
      <c r="M279" s="30"/>
      <c r="N279" s="36"/>
      <c r="O279" s="32"/>
      <c r="P279" s="33"/>
      <c r="Q279" s="34"/>
      <c r="R279" s="37"/>
      <c r="S279" s="14" t="str">
        <f t="shared" si="28"/>
        <v/>
      </c>
    </row>
    <row r="280" spans="2:19" x14ac:dyDescent="0.2">
      <c r="B280" s="2" t="str">
        <f t="shared" si="29"/>
        <v/>
      </c>
      <c r="C280" s="2" t="str">
        <f t="shared" si="30"/>
        <v/>
      </c>
      <c r="D280" s="2" t="str">
        <f t="shared" si="26"/>
        <v>Y</v>
      </c>
      <c r="E280" s="2">
        <f t="shared" si="27"/>
        <v>0</v>
      </c>
      <c r="F280" s="2" t="str">
        <f t="shared" si="31"/>
        <v/>
      </c>
      <c r="H280" s="56" t="s">
        <v>277</v>
      </c>
      <c r="I280" s="28"/>
      <c r="J280" s="29"/>
      <c r="K280" s="29"/>
      <c r="L280" s="30"/>
      <c r="M280" s="30"/>
      <c r="N280" s="36"/>
      <c r="O280" s="32"/>
      <c r="P280" s="33"/>
      <c r="Q280" s="34"/>
      <c r="R280" s="37"/>
      <c r="S280" s="14" t="str">
        <f t="shared" si="28"/>
        <v/>
      </c>
    </row>
    <row r="281" spans="2:19" x14ac:dyDescent="0.2">
      <c r="B281" s="2" t="str">
        <f t="shared" si="29"/>
        <v/>
      </c>
      <c r="C281" s="2" t="str">
        <f t="shared" si="30"/>
        <v/>
      </c>
      <c r="D281" s="2" t="str">
        <f t="shared" si="26"/>
        <v>Y</v>
      </c>
      <c r="E281" s="2">
        <f t="shared" si="27"/>
        <v>0</v>
      </c>
      <c r="F281" s="2" t="str">
        <f t="shared" si="31"/>
        <v/>
      </c>
      <c r="H281" s="56" t="s">
        <v>278</v>
      </c>
      <c r="I281" s="28"/>
      <c r="J281" s="29"/>
      <c r="K281" s="29"/>
      <c r="L281" s="30"/>
      <c r="M281" s="30"/>
      <c r="N281" s="36"/>
      <c r="O281" s="32"/>
      <c r="P281" s="33"/>
      <c r="Q281" s="34"/>
      <c r="R281" s="37"/>
      <c r="S281" s="14" t="str">
        <f t="shared" si="28"/>
        <v/>
      </c>
    </row>
    <row r="282" spans="2:19" x14ac:dyDescent="0.2">
      <c r="B282" s="2" t="str">
        <f t="shared" si="29"/>
        <v/>
      </c>
      <c r="C282" s="2" t="str">
        <f t="shared" si="30"/>
        <v/>
      </c>
      <c r="D282" s="2" t="str">
        <f t="shared" si="26"/>
        <v>Y</v>
      </c>
      <c r="E282" s="2">
        <f t="shared" si="27"/>
        <v>0</v>
      </c>
      <c r="F282" s="2" t="str">
        <f t="shared" si="31"/>
        <v/>
      </c>
      <c r="H282" s="56" t="s">
        <v>279</v>
      </c>
      <c r="I282" s="28"/>
      <c r="J282" s="29"/>
      <c r="K282" s="29"/>
      <c r="L282" s="30"/>
      <c r="M282" s="30"/>
      <c r="N282" s="36"/>
      <c r="O282" s="32"/>
      <c r="P282" s="33"/>
      <c r="Q282" s="34"/>
      <c r="R282" s="37"/>
      <c r="S282" s="14" t="str">
        <f t="shared" si="28"/>
        <v/>
      </c>
    </row>
    <row r="283" spans="2:19" x14ac:dyDescent="0.2">
      <c r="B283" s="2" t="str">
        <f t="shared" si="29"/>
        <v/>
      </c>
      <c r="C283" s="2" t="str">
        <f t="shared" si="30"/>
        <v/>
      </c>
      <c r="D283" s="2" t="str">
        <f t="shared" si="26"/>
        <v>Y</v>
      </c>
      <c r="E283" s="2">
        <f t="shared" si="27"/>
        <v>0</v>
      </c>
      <c r="F283" s="2" t="str">
        <f t="shared" si="31"/>
        <v/>
      </c>
      <c r="H283" s="56" t="s">
        <v>280</v>
      </c>
      <c r="I283" s="28"/>
      <c r="J283" s="29"/>
      <c r="K283" s="29"/>
      <c r="L283" s="30"/>
      <c r="M283" s="30"/>
      <c r="N283" s="36"/>
      <c r="O283" s="32"/>
      <c r="P283" s="33"/>
      <c r="Q283" s="34"/>
      <c r="R283" s="37"/>
      <c r="S283" s="14" t="str">
        <f t="shared" si="28"/>
        <v/>
      </c>
    </row>
    <row r="284" spans="2:19" x14ac:dyDescent="0.2">
      <c r="B284" s="2" t="str">
        <f t="shared" si="29"/>
        <v/>
      </c>
      <c r="C284" s="2" t="str">
        <f t="shared" si="30"/>
        <v/>
      </c>
      <c r="D284" s="2" t="str">
        <f t="shared" si="26"/>
        <v>Y</v>
      </c>
      <c r="E284" s="2">
        <f t="shared" si="27"/>
        <v>0</v>
      </c>
      <c r="F284" s="2" t="str">
        <f t="shared" si="31"/>
        <v/>
      </c>
      <c r="H284" s="56" t="s">
        <v>281</v>
      </c>
      <c r="I284" s="28"/>
      <c r="J284" s="29"/>
      <c r="K284" s="29"/>
      <c r="L284" s="30"/>
      <c r="M284" s="30"/>
      <c r="N284" s="36"/>
      <c r="O284" s="32"/>
      <c r="P284" s="33"/>
      <c r="Q284" s="34"/>
      <c r="R284" s="37"/>
      <c r="S284" s="14" t="str">
        <f t="shared" si="28"/>
        <v/>
      </c>
    </row>
    <row r="285" spans="2:19" x14ac:dyDescent="0.2">
      <c r="B285" s="2" t="str">
        <f t="shared" si="29"/>
        <v/>
      </c>
      <c r="C285" s="2" t="str">
        <f t="shared" si="30"/>
        <v/>
      </c>
      <c r="D285" s="2" t="str">
        <f t="shared" si="26"/>
        <v>Y</v>
      </c>
      <c r="E285" s="2">
        <f t="shared" si="27"/>
        <v>0</v>
      </c>
      <c r="F285" s="2" t="str">
        <f t="shared" si="31"/>
        <v/>
      </c>
      <c r="H285" s="56" t="s">
        <v>282</v>
      </c>
      <c r="I285" s="28"/>
      <c r="J285" s="29"/>
      <c r="K285" s="29"/>
      <c r="L285" s="30"/>
      <c r="M285" s="30"/>
      <c r="N285" s="36"/>
      <c r="O285" s="32"/>
      <c r="P285" s="33"/>
      <c r="Q285" s="34"/>
      <c r="R285" s="37"/>
      <c r="S285" s="14" t="str">
        <f t="shared" si="28"/>
        <v/>
      </c>
    </row>
    <row r="286" spans="2:19" x14ac:dyDescent="0.2">
      <c r="B286" s="2" t="str">
        <f t="shared" si="29"/>
        <v/>
      </c>
      <c r="C286" s="2" t="str">
        <f t="shared" si="30"/>
        <v/>
      </c>
      <c r="D286" s="2" t="str">
        <f t="shared" si="26"/>
        <v>Y</v>
      </c>
      <c r="E286" s="2">
        <f t="shared" si="27"/>
        <v>0</v>
      </c>
      <c r="F286" s="2" t="str">
        <f t="shared" si="31"/>
        <v/>
      </c>
      <c r="H286" s="56" t="s">
        <v>283</v>
      </c>
      <c r="I286" s="28"/>
      <c r="J286" s="29"/>
      <c r="K286" s="29"/>
      <c r="L286" s="30"/>
      <c r="M286" s="30"/>
      <c r="N286" s="36"/>
      <c r="O286" s="32"/>
      <c r="P286" s="33"/>
      <c r="Q286" s="34"/>
      <c r="R286" s="37"/>
      <c r="S286" s="14" t="str">
        <f t="shared" si="28"/>
        <v/>
      </c>
    </row>
    <row r="287" spans="2:19" x14ac:dyDescent="0.2">
      <c r="B287" s="2" t="str">
        <f t="shared" si="29"/>
        <v/>
      </c>
      <c r="C287" s="2" t="str">
        <f t="shared" si="30"/>
        <v/>
      </c>
      <c r="D287" s="2" t="str">
        <f t="shared" si="26"/>
        <v>Y</v>
      </c>
      <c r="E287" s="2">
        <f t="shared" si="27"/>
        <v>0</v>
      </c>
      <c r="F287" s="2" t="str">
        <f t="shared" si="31"/>
        <v/>
      </c>
      <c r="H287" s="56" t="s">
        <v>284</v>
      </c>
      <c r="I287" s="28"/>
      <c r="J287" s="29"/>
      <c r="K287" s="29"/>
      <c r="L287" s="30"/>
      <c r="M287" s="30"/>
      <c r="N287" s="36"/>
      <c r="O287" s="32"/>
      <c r="P287" s="33"/>
      <c r="Q287" s="34"/>
      <c r="R287" s="37"/>
      <c r="S287" s="14" t="str">
        <f t="shared" si="28"/>
        <v/>
      </c>
    </row>
    <row r="288" spans="2:19" x14ac:dyDescent="0.2">
      <c r="B288" s="2" t="str">
        <f t="shared" si="29"/>
        <v/>
      </c>
      <c r="C288" s="2" t="str">
        <f t="shared" si="30"/>
        <v/>
      </c>
      <c r="D288" s="2" t="str">
        <f t="shared" si="26"/>
        <v>Y</v>
      </c>
      <c r="E288" s="2">
        <f t="shared" si="27"/>
        <v>0</v>
      </c>
      <c r="F288" s="2" t="str">
        <f t="shared" si="31"/>
        <v/>
      </c>
      <c r="H288" s="56" t="s">
        <v>285</v>
      </c>
      <c r="I288" s="28"/>
      <c r="J288" s="29"/>
      <c r="K288" s="29"/>
      <c r="L288" s="30"/>
      <c r="M288" s="30"/>
      <c r="N288" s="36"/>
      <c r="O288" s="32"/>
      <c r="P288" s="33"/>
      <c r="Q288" s="34"/>
      <c r="R288" s="37"/>
      <c r="S288" s="14" t="str">
        <f t="shared" si="28"/>
        <v/>
      </c>
    </row>
    <row r="289" spans="2:19" x14ac:dyDescent="0.2">
      <c r="B289" s="2" t="str">
        <f t="shared" si="29"/>
        <v/>
      </c>
      <c r="C289" s="2" t="str">
        <f t="shared" si="30"/>
        <v/>
      </c>
      <c r="D289" s="2" t="str">
        <f t="shared" si="26"/>
        <v>Y</v>
      </c>
      <c r="E289" s="2">
        <f t="shared" si="27"/>
        <v>0</v>
      </c>
      <c r="F289" s="2" t="str">
        <f t="shared" si="31"/>
        <v/>
      </c>
      <c r="H289" s="56" t="s">
        <v>286</v>
      </c>
      <c r="I289" s="28"/>
      <c r="J289" s="29"/>
      <c r="K289" s="29"/>
      <c r="L289" s="30"/>
      <c r="M289" s="30"/>
      <c r="N289" s="36"/>
      <c r="O289" s="32"/>
      <c r="P289" s="33"/>
      <c r="Q289" s="34"/>
      <c r="R289" s="37"/>
      <c r="S289" s="14" t="str">
        <f t="shared" si="28"/>
        <v/>
      </c>
    </row>
    <row r="290" spans="2:19" x14ac:dyDescent="0.2">
      <c r="B290" s="2" t="str">
        <f t="shared" si="29"/>
        <v/>
      </c>
      <c r="C290" s="2" t="str">
        <f t="shared" si="30"/>
        <v/>
      </c>
      <c r="D290" s="2" t="str">
        <f t="shared" si="26"/>
        <v>Y</v>
      </c>
      <c r="E290" s="2">
        <f t="shared" si="27"/>
        <v>0</v>
      </c>
      <c r="F290" s="2" t="str">
        <f t="shared" si="31"/>
        <v/>
      </c>
      <c r="H290" s="56" t="s">
        <v>287</v>
      </c>
      <c r="I290" s="28"/>
      <c r="J290" s="29"/>
      <c r="K290" s="29"/>
      <c r="L290" s="30"/>
      <c r="M290" s="30"/>
      <c r="N290" s="36"/>
      <c r="O290" s="32"/>
      <c r="P290" s="33"/>
      <c r="Q290" s="34"/>
      <c r="R290" s="37"/>
      <c r="S290" s="14" t="str">
        <f t="shared" si="28"/>
        <v/>
      </c>
    </row>
    <row r="291" spans="2:19" x14ac:dyDescent="0.2">
      <c r="B291" s="2" t="str">
        <f t="shared" si="29"/>
        <v/>
      </c>
      <c r="C291" s="2" t="str">
        <f t="shared" si="30"/>
        <v/>
      </c>
      <c r="D291" s="2" t="str">
        <f t="shared" si="26"/>
        <v>Y</v>
      </c>
      <c r="E291" s="2">
        <f t="shared" si="27"/>
        <v>0</v>
      </c>
      <c r="F291" s="2" t="str">
        <f t="shared" si="31"/>
        <v/>
      </c>
      <c r="H291" s="56" t="s">
        <v>288</v>
      </c>
      <c r="I291" s="28"/>
      <c r="J291" s="29"/>
      <c r="K291" s="29"/>
      <c r="L291" s="30"/>
      <c r="M291" s="30"/>
      <c r="N291" s="36"/>
      <c r="O291" s="32"/>
      <c r="P291" s="33"/>
      <c r="Q291" s="34"/>
      <c r="R291" s="37"/>
      <c r="S291" s="14" t="str">
        <f t="shared" si="28"/>
        <v/>
      </c>
    </row>
    <row r="292" spans="2:19" x14ac:dyDescent="0.2">
      <c r="B292" s="2" t="str">
        <f t="shared" si="29"/>
        <v/>
      </c>
      <c r="C292" s="2" t="str">
        <f t="shared" si="30"/>
        <v/>
      </c>
      <c r="D292" s="2" t="str">
        <f t="shared" si="26"/>
        <v>Y</v>
      </c>
      <c r="E292" s="2">
        <f t="shared" si="27"/>
        <v>0</v>
      </c>
      <c r="F292" s="2" t="str">
        <f t="shared" si="31"/>
        <v/>
      </c>
      <c r="H292" s="56" t="s">
        <v>289</v>
      </c>
      <c r="I292" s="28"/>
      <c r="J292" s="29"/>
      <c r="K292" s="29"/>
      <c r="L292" s="30"/>
      <c r="M292" s="30"/>
      <c r="N292" s="36"/>
      <c r="O292" s="32"/>
      <c r="P292" s="33"/>
      <c r="Q292" s="34"/>
      <c r="R292" s="37"/>
      <c r="S292" s="14" t="str">
        <f t="shared" si="28"/>
        <v/>
      </c>
    </row>
    <row r="293" spans="2:19" x14ac:dyDescent="0.2">
      <c r="B293" s="2" t="str">
        <f t="shared" si="29"/>
        <v/>
      </c>
      <c r="C293" s="2" t="str">
        <f t="shared" si="30"/>
        <v/>
      </c>
      <c r="D293" s="2" t="str">
        <f t="shared" si="26"/>
        <v>Y</v>
      </c>
      <c r="E293" s="2">
        <f t="shared" si="27"/>
        <v>0</v>
      </c>
      <c r="F293" s="2" t="str">
        <f t="shared" si="31"/>
        <v/>
      </c>
      <c r="H293" s="56" t="s">
        <v>290</v>
      </c>
      <c r="I293" s="28"/>
      <c r="J293" s="29"/>
      <c r="K293" s="29"/>
      <c r="L293" s="30"/>
      <c r="M293" s="30"/>
      <c r="N293" s="36"/>
      <c r="O293" s="32"/>
      <c r="P293" s="33"/>
      <c r="Q293" s="34"/>
      <c r="R293" s="37"/>
      <c r="S293" s="14" t="str">
        <f t="shared" si="28"/>
        <v/>
      </c>
    </row>
    <row r="294" spans="2:19" x14ac:dyDescent="0.2">
      <c r="B294" s="2" t="str">
        <f t="shared" si="29"/>
        <v/>
      </c>
      <c r="C294" s="2" t="str">
        <f t="shared" si="30"/>
        <v/>
      </c>
      <c r="D294" s="2" t="str">
        <f t="shared" si="26"/>
        <v>Y</v>
      </c>
      <c r="E294" s="2">
        <f t="shared" si="27"/>
        <v>0</v>
      </c>
      <c r="F294" s="2" t="str">
        <f t="shared" si="31"/>
        <v/>
      </c>
      <c r="H294" s="56" t="s">
        <v>291</v>
      </c>
      <c r="I294" s="28"/>
      <c r="J294" s="29"/>
      <c r="K294" s="29"/>
      <c r="L294" s="30"/>
      <c r="M294" s="30"/>
      <c r="N294" s="36"/>
      <c r="O294" s="32"/>
      <c r="P294" s="33"/>
      <c r="Q294" s="34"/>
      <c r="R294" s="37"/>
      <c r="S294" s="14" t="str">
        <f t="shared" si="28"/>
        <v/>
      </c>
    </row>
    <row r="295" spans="2:19" x14ac:dyDescent="0.2">
      <c r="B295" s="2" t="str">
        <f t="shared" si="29"/>
        <v/>
      </c>
      <c r="C295" s="2" t="str">
        <f t="shared" si="30"/>
        <v/>
      </c>
      <c r="D295" s="2" t="str">
        <f t="shared" si="26"/>
        <v>Y</v>
      </c>
      <c r="E295" s="2">
        <f t="shared" si="27"/>
        <v>0</v>
      </c>
      <c r="F295" s="2" t="str">
        <f t="shared" si="31"/>
        <v/>
      </c>
      <c r="H295" s="56" t="s">
        <v>292</v>
      </c>
      <c r="I295" s="28"/>
      <c r="J295" s="29"/>
      <c r="K295" s="29"/>
      <c r="L295" s="30"/>
      <c r="M295" s="30"/>
      <c r="N295" s="36"/>
      <c r="O295" s="32"/>
      <c r="P295" s="33"/>
      <c r="Q295" s="34"/>
      <c r="R295" s="37"/>
      <c r="S295" s="14" t="str">
        <f t="shared" si="28"/>
        <v/>
      </c>
    </row>
    <row r="296" spans="2:19" x14ac:dyDescent="0.2">
      <c r="B296" s="2" t="str">
        <f t="shared" si="29"/>
        <v/>
      </c>
      <c r="C296" s="2" t="str">
        <f t="shared" si="30"/>
        <v/>
      </c>
      <c r="D296" s="2" t="str">
        <f t="shared" si="26"/>
        <v>Y</v>
      </c>
      <c r="E296" s="2">
        <f t="shared" si="27"/>
        <v>0</v>
      </c>
      <c r="F296" s="2" t="str">
        <f t="shared" si="31"/>
        <v/>
      </c>
      <c r="H296" s="56" t="s">
        <v>293</v>
      </c>
      <c r="I296" s="28"/>
      <c r="J296" s="29"/>
      <c r="K296" s="29"/>
      <c r="L296" s="30"/>
      <c r="M296" s="30"/>
      <c r="N296" s="36"/>
      <c r="O296" s="32"/>
      <c r="P296" s="33"/>
      <c r="Q296" s="34"/>
      <c r="R296" s="37"/>
      <c r="S296" s="14" t="str">
        <f t="shared" si="28"/>
        <v/>
      </c>
    </row>
    <row r="297" spans="2:19" x14ac:dyDescent="0.2">
      <c r="B297" s="2" t="str">
        <f t="shared" si="29"/>
        <v/>
      </c>
      <c r="C297" s="2" t="str">
        <f t="shared" si="30"/>
        <v/>
      </c>
      <c r="D297" s="2" t="str">
        <f t="shared" si="26"/>
        <v>Y</v>
      </c>
      <c r="E297" s="2">
        <f t="shared" si="27"/>
        <v>0</v>
      </c>
      <c r="F297" s="2" t="str">
        <f t="shared" si="31"/>
        <v/>
      </c>
      <c r="H297" s="56" t="s">
        <v>294</v>
      </c>
      <c r="I297" s="28"/>
      <c r="J297" s="29"/>
      <c r="K297" s="29"/>
      <c r="L297" s="30"/>
      <c r="M297" s="30"/>
      <c r="N297" s="36"/>
      <c r="O297" s="32"/>
      <c r="P297" s="33"/>
      <c r="Q297" s="34"/>
      <c r="R297" s="37"/>
      <c r="S297" s="14" t="str">
        <f t="shared" si="28"/>
        <v/>
      </c>
    </row>
    <row r="298" spans="2:19" x14ac:dyDescent="0.2">
      <c r="B298" s="2" t="str">
        <f t="shared" si="29"/>
        <v/>
      </c>
      <c r="C298" s="2" t="str">
        <f t="shared" si="30"/>
        <v/>
      </c>
      <c r="D298" s="2" t="str">
        <f t="shared" si="26"/>
        <v>Y</v>
      </c>
      <c r="E298" s="2">
        <f t="shared" si="27"/>
        <v>0</v>
      </c>
      <c r="F298" s="2" t="str">
        <f t="shared" si="31"/>
        <v/>
      </c>
      <c r="H298" s="56" t="s">
        <v>295</v>
      </c>
      <c r="I298" s="28"/>
      <c r="J298" s="29"/>
      <c r="K298" s="29"/>
      <c r="L298" s="30"/>
      <c r="M298" s="30"/>
      <c r="N298" s="36"/>
      <c r="O298" s="32"/>
      <c r="P298" s="33"/>
      <c r="Q298" s="34"/>
      <c r="R298" s="37"/>
      <c r="S298" s="14" t="str">
        <f t="shared" si="28"/>
        <v/>
      </c>
    </row>
    <row r="299" spans="2:19" x14ac:dyDescent="0.2">
      <c r="B299" s="2" t="str">
        <f t="shared" si="29"/>
        <v/>
      </c>
      <c r="C299" s="2" t="str">
        <f t="shared" si="30"/>
        <v/>
      </c>
      <c r="D299" s="2" t="str">
        <f t="shared" si="26"/>
        <v>Y</v>
      </c>
      <c r="E299" s="2">
        <f t="shared" si="27"/>
        <v>0</v>
      </c>
      <c r="F299" s="2" t="str">
        <f t="shared" si="31"/>
        <v/>
      </c>
      <c r="H299" s="56" t="s">
        <v>296</v>
      </c>
      <c r="I299" s="28"/>
      <c r="J299" s="29"/>
      <c r="K299" s="29"/>
      <c r="L299" s="30"/>
      <c r="M299" s="30"/>
      <c r="N299" s="36"/>
      <c r="O299" s="32"/>
      <c r="P299" s="33"/>
      <c r="Q299" s="34"/>
      <c r="R299" s="37"/>
      <c r="S299" s="14" t="str">
        <f t="shared" si="28"/>
        <v/>
      </c>
    </row>
    <row r="300" spans="2:19" x14ac:dyDescent="0.2">
      <c r="B300" s="2" t="str">
        <f t="shared" si="29"/>
        <v/>
      </c>
      <c r="C300" s="2" t="str">
        <f t="shared" si="30"/>
        <v/>
      </c>
      <c r="D300" s="2" t="str">
        <f t="shared" si="26"/>
        <v>Y</v>
      </c>
      <c r="E300" s="2">
        <f t="shared" si="27"/>
        <v>0</v>
      </c>
      <c r="F300" s="2" t="str">
        <f t="shared" si="31"/>
        <v/>
      </c>
      <c r="H300" s="56" t="s">
        <v>297</v>
      </c>
      <c r="I300" s="28"/>
      <c r="J300" s="29"/>
      <c r="K300" s="29"/>
      <c r="L300" s="30"/>
      <c r="M300" s="30"/>
      <c r="N300" s="36"/>
      <c r="O300" s="32"/>
      <c r="P300" s="33"/>
      <c r="Q300" s="34"/>
      <c r="R300" s="37"/>
      <c r="S300" s="14" t="str">
        <f t="shared" si="28"/>
        <v/>
      </c>
    </row>
    <row r="301" spans="2:19" x14ac:dyDescent="0.2">
      <c r="B301" s="2" t="str">
        <f t="shared" si="29"/>
        <v/>
      </c>
      <c r="C301" s="2" t="str">
        <f t="shared" si="30"/>
        <v/>
      </c>
      <c r="D301" s="2" t="str">
        <f t="shared" si="26"/>
        <v>Y</v>
      </c>
      <c r="E301" s="2">
        <f t="shared" si="27"/>
        <v>0</v>
      </c>
      <c r="F301" s="2" t="str">
        <f t="shared" si="31"/>
        <v/>
      </c>
      <c r="H301" s="56" t="s">
        <v>298</v>
      </c>
      <c r="I301" s="28"/>
      <c r="J301" s="29"/>
      <c r="K301" s="29"/>
      <c r="L301" s="30"/>
      <c r="M301" s="30"/>
      <c r="N301" s="36"/>
      <c r="O301" s="32"/>
      <c r="P301" s="33"/>
      <c r="Q301" s="34"/>
      <c r="R301" s="37"/>
      <c r="S301" s="14" t="str">
        <f t="shared" si="28"/>
        <v/>
      </c>
    </row>
    <row r="302" spans="2:19" x14ac:dyDescent="0.2">
      <c r="B302" s="2" t="str">
        <f t="shared" si="29"/>
        <v/>
      </c>
      <c r="C302" s="2" t="str">
        <f t="shared" si="30"/>
        <v/>
      </c>
      <c r="D302" s="2" t="str">
        <f t="shared" si="26"/>
        <v>Y</v>
      </c>
      <c r="E302" s="2">
        <f t="shared" si="27"/>
        <v>0</v>
      </c>
      <c r="F302" s="2" t="str">
        <f t="shared" si="31"/>
        <v/>
      </c>
      <c r="H302" s="56" t="s">
        <v>299</v>
      </c>
      <c r="I302" s="28"/>
      <c r="J302" s="29"/>
      <c r="K302" s="29"/>
      <c r="L302" s="30"/>
      <c r="M302" s="30"/>
      <c r="N302" s="36"/>
      <c r="O302" s="32"/>
      <c r="P302" s="33"/>
      <c r="Q302" s="34"/>
      <c r="R302" s="37"/>
      <c r="S302" s="14" t="str">
        <f t="shared" si="28"/>
        <v/>
      </c>
    </row>
    <row r="303" spans="2:19" x14ac:dyDescent="0.2">
      <c r="B303" s="2" t="str">
        <f t="shared" si="29"/>
        <v/>
      </c>
      <c r="C303" s="2" t="str">
        <f t="shared" si="30"/>
        <v/>
      </c>
      <c r="D303" s="2" t="str">
        <f t="shared" si="26"/>
        <v>Y</v>
      </c>
      <c r="E303" s="2">
        <f t="shared" si="27"/>
        <v>0</v>
      </c>
      <c r="F303" s="2" t="str">
        <f t="shared" si="31"/>
        <v/>
      </c>
      <c r="H303" s="56" t="s">
        <v>300</v>
      </c>
      <c r="I303" s="28"/>
      <c r="J303" s="29"/>
      <c r="K303" s="29"/>
      <c r="L303" s="30"/>
      <c r="M303" s="30"/>
      <c r="N303" s="36"/>
      <c r="O303" s="32"/>
      <c r="P303" s="33"/>
      <c r="Q303" s="34"/>
      <c r="R303" s="37"/>
      <c r="S303" s="14" t="str">
        <f t="shared" si="28"/>
        <v/>
      </c>
    </row>
    <row r="304" spans="2:19" x14ac:dyDescent="0.2">
      <c r="B304" s="2" t="str">
        <f t="shared" si="29"/>
        <v/>
      </c>
      <c r="C304" s="2" t="str">
        <f t="shared" si="30"/>
        <v/>
      </c>
      <c r="D304" s="2" t="str">
        <f t="shared" si="26"/>
        <v>Y</v>
      </c>
      <c r="E304" s="2">
        <f t="shared" si="27"/>
        <v>0</v>
      </c>
      <c r="F304" s="2" t="str">
        <f t="shared" si="31"/>
        <v/>
      </c>
      <c r="H304" s="56" t="s">
        <v>301</v>
      </c>
      <c r="I304" s="28"/>
      <c r="J304" s="29"/>
      <c r="K304" s="29"/>
      <c r="L304" s="30"/>
      <c r="M304" s="30"/>
      <c r="N304" s="36"/>
      <c r="O304" s="32"/>
      <c r="P304" s="33"/>
      <c r="Q304" s="34"/>
      <c r="R304" s="37"/>
      <c r="S304" s="14" t="str">
        <f t="shared" si="28"/>
        <v/>
      </c>
    </row>
    <row r="305" spans="2:19" x14ac:dyDescent="0.2">
      <c r="B305" s="2" t="str">
        <f t="shared" si="29"/>
        <v/>
      </c>
      <c r="C305" s="2" t="str">
        <f t="shared" si="30"/>
        <v/>
      </c>
      <c r="D305" s="2" t="str">
        <f t="shared" si="26"/>
        <v>Y</v>
      </c>
      <c r="E305" s="2">
        <f t="shared" si="27"/>
        <v>0</v>
      </c>
      <c r="F305" s="2" t="str">
        <f t="shared" si="31"/>
        <v/>
      </c>
      <c r="H305" s="56" t="s">
        <v>302</v>
      </c>
      <c r="I305" s="28"/>
      <c r="J305" s="29"/>
      <c r="K305" s="29"/>
      <c r="L305" s="30"/>
      <c r="M305" s="30"/>
      <c r="N305" s="36"/>
      <c r="O305" s="32"/>
      <c r="P305" s="33"/>
      <c r="Q305" s="34"/>
      <c r="R305" s="37"/>
      <c r="S305" s="14" t="str">
        <f t="shared" si="28"/>
        <v/>
      </c>
    </row>
    <row r="306" spans="2:19" x14ac:dyDescent="0.2">
      <c r="B306" s="2" t="str">
        <f t="shared" si="29"/>
        <v/>
      </c>
      <c r="C306" s="2" t="str">
        <f t="shared" si="30"/>
        <v/>
      </c>
      <c r="D306" s="2" t="str">
        <f t="shared" si="26"/>
        <v>Y</v>
      </c>
      <c r="E306" s="2">
        <f t="shared" si="27"/>
        <v>0</v>
      </c>
      <c r="F306" s="2" t="str">
        <f t="shared" si="31"/>
        <v/>
      </c>
      <c r="H306" s="56" t="s">
        <v>303</v>
      </c>
      <c r="I306" s="28"/>
      <c r="J306" s="29"/>
      <c r="K306" s="29"/>
      <c r="L306" s="30"/>
      <c r="M306" s="30"/>
      <c r="N306" s="36"/>
      <c r="O306" s="32"/>
      <c r="P306" s="33"/>
      <c r="Q306" s="34"/>
      <c r="R306" s="37"/>
      <c r="S306" s="14" t="str">
        <f t="shared" si="28"/>
        <v/>
      </c>
    </row>
    <row r="307" spans="2:19" x14ac:dyDescent="0.2">
      <c r="B307" s="2" t="str">
        <f t="shared" si="29"/>
        <v/>
      </c>
      <c r="C307" s="2" t="str">
        <f t="shared" si="30"/>
        <v/>
      </c>
      <c r="D307" s="2" t="str">
        <f t="shared" si="26"/>
        <v>Y</v>
      </c>
      <c r="E307" s="2">
        <f t="shared" si="27"/>
        <v>0</v>
      </c>
      <c r="F307" s="2" t="str">
        <f t="shared" si="31"/>
        <v/>
      </c>
      <c r="H307" s="56" t="s">
        <v>304</v>
      </c>
      <c r="I307" s="28"/>
      <c r="J307" s="29"/>
      <c r="K307" s="29"/>
      <c r="L307" s="30"/>
      <c r="M307" s="30"/>
      <c r="N307" s="36"/>
      <c r="O307" s="32"/>
      <c r="P307" s="33"/>
      <c r="Q307" s="34"/>
      <c r="R307" s="37"/>
      <c r="S307" s="14" t="str">
        <f t="shared" si="28"/>
        <v/>
      </c>
    </row>
    <row r="308" spans="2:19" x14ac:dyDescent="0.2">
      <c r="B308" s="2" t="str">
        <f t="shared" si="29"/>
        <v/>
      </c>
      <c r="C308" s="2" t="str">
        <f t="shared" si="30"/>
        <v/>
      </c>
      <c r="D308" s="2" t="str">
        <f t="shared" si="26"/>
        <v>Y</v>
      </c>
      <c r="E308" s="2">
        <f t="shared" si="27"/>
        <v>0</v>
      </c>
      <c r="F308" s="2" t="str">
        <f t="shared" si="31"/>
        <v/>
      </c>
      <c r="H308" s="56" t="s">
        <v>305</v>
      </c>
      <c r="I308" s="28"/>
      <c r="J308" s="29"/>
      <c r="K308" s="29"/>
      <c r="L308" s="30"/>
      <c r="M308" s="30"/>
      <c r="N308" s="36"/>
      <c r="O308" s="32"/>
      <c r="P308" s="33"/>
      <c r="Q308" s="34"/>
      <c r="R308" s="37"/>
      <c r="S308" s="14" t="str">
        <f t="shared" si="28"/>
        <v/>
      </c>
    </row>
    <row r="309" spans="2:19" x14ac:dyDescent="0.2">
      <c r="B309" s="2" t="str">
        <f t="shared" si="29"/>
        <v/>
      </c>
      <c r="C309" s="2" t="str">
        <f t="shared" si="30"/>
        <v/>
      </c>
      <c r="D309" s="2" t="str">
        <f t="shared" si="26"/>
        <v>Y</v>
      </c>
      <c r="E309" s="2">
        <f t="shared" si="27"/>
        <v>0</v>
      </c>
      <c r="F309" s="2" t="str">
        <f t="shared" si="31"/>
        <v/>
      </c>
      <c r="H309" s="56" t="s">
        <v>306</v>
      </c>
      <c r="I309" s="28"/>
      <c r="J309" s="29"/>
      <c r="K309" s="29"/>
      <c r="L309" s="30"/>
      <c r="M309" s="30"/>
      <c r="N309" s="36"/>
      <c r="O309" s="32"/>
      <c r="P309" s="33"/>
      <c r="Q309" s="34"/>
      <c r="R309" s="37"/>
      <c r="S309" s="14" t="str">
        <f t="shared" si="28"/>
        <v/>
      </c>
    </row>
    <row r="310" spans="2:19" x14ac:dyDescent="0.2">
      <c r="B310" s="2" t="str">
        <f t="shared" si="29"/>
        <v/>
      </c>
      <c r="C310" s="2" t="str">
        <f t="shared" si="30"/>
        <v/>
      </c>
      <c r="D310" s="2" t="str">
        <f t="shared" si="26"/>
        <v>Y</v>
      </c>
      <c r="E310" s="2">
        <f t="shared" si="27"/>
        <v>0</v>
      </c>
      <c r="F310" s="2" t="str">
        <f t="shared" si="31"/>
        <v/>
      </c>
      <c r="H310" s="56" t="s">
        <v>307</v>
      </c>
      <c r="I310" s="28"/>
      <c r="J310" s="29"/>
      <c r="K310" s="29"/>
      <c r="L310" s="30"/>
      <c r="M310" s="30"/>
      <c r="N310" s="36"/>
      <c r="O310" s="32"/>
      <c r="P310" s="33"/>
      <c r="Q310" s="34"/>
      <c r="R310" s="37"/>
      <c r="S310" s="14" t="str">
        <f t="shared" si="28"/>
        <v/>
      </c>
    </row>
    <row r="311" spans="2:19" x14ac:dyDescent="0.2">
      <c r="B311" s="2" t="str">
        <f t="shared" si="29"/>
        <v/>
      </c>
      <c r="C311" s="2" t="str">
        <f t="shared" si="30"/>
        <v/>
      </c>
      <c r="D311" s="2" t="str">
        <f t="shared" si="26"/>
        <v>Y</v>
      </c>
      <c r="E311" s="2">
        <f t="shared" si="27"/>
        <v>0</v>
      </c>
      <c r="F311" s="2" t="str">
        <f t="shared" si="31"/>
        <v/>
      </c>
      <c r="H311" s="56" t="s">
        <v>308</v>
      </c>
      <c r="I311" s="28"/>
      <c r="J311" s="29"/>
      <c r="K311" s="29"/>
      <c r="L311" s="30"/>
      <c r="M311" s="30"/>
      <c r="N311" s="36"/>
      <c r="O311" s="32"/>
      <c r="P311" s="33"/>
      <c r="Q311" s="34"/>
      <c r="R311" s="37"/>
      <c r="S311" s="14" t="str">
        <f t="shared" si="28"/>
        <v/>
      </c>
    </row>
    <row r="312" spans="2:19" x14ac:dyDescent="0.2">
      <c r="B312" s="2" t="str">
        <f t="shared" si="29"/>
        <v/>
      </c>
      <c r="C312" s="2" t="str">
        <f t="shared" si="30"/>
        <v/>
      </c>
      <c r="D312" s="2" t="str">
        <f t="shared" si="26"/>
        <v>Y</v>
      </c>
      <c r="E312" s="2">
        <f t="shared" si="27"/>
        <v>0</v>
      </c>
      <c r="F312" s="2" t="str">
        <f t="shared" si="31"/>
        <v/>
      </c>
      <c r="H312" s="56" t="s">
        <v>309</v>
      </c>
      <c r="I312" s="28"/>
      <c r="J312" s="29"/>
      <c r="K312" s="29"/>
      <c r="L312" s="30"/>
      <c r="M312" s="30"/>
      <c r="N312" s="36"/>
      <c r="O312" s="32"/>
      <c r="P312" s="33"/>
      <c r="Q312" s="34"/>
      <c r="R312" s="37"/>
      <c r="S312" s="14" t="str">
        <f t="shared" si="28"/>
        <v/>
      </c>
    </row>
    <row r="313" spans="2:19" x14ac:dyDescent="0.2">
      <c r="B313" s="2" t="str">
        <f t="shared" si="29"/>
        <v/>
      </c>
      <c r="C313" s="2" t="str">
        <f t="shared" si="30"/>
        <v/>
      </c>
      <c r="D313" s="2" t="str">
        <f t="shared" si="26"/>
        <v>Y</v>
      </c>
      <c r="E313" s="2">
        <f t="shared" si="27"/>
        <v>0</v>
      </c>
      <c r="F313" s="2" t="str">
        <f t="shared" si="31"/>
        <v/>
      </c>
      <c r="H313" s="56" t="s">
        <v>310</v>
      </c>
      <c r="I313" s="28"/>
      <c r="J313" s="29"/>
      <c r="K313" s="29"/>
      <c r="L313" s="30"/>
      <c r="M313" s="30"/>
      <c r="N313" s="36"/>
      <c r="O313" s="32"/>
      <c r="P313" s="33"/>
      <c r="Q313" s="34"/>
      <c r="R313" s="37"/>
      <c r="S313" s="14" t="str">
        <f t="shared" si="28"/>
        <v/>
      </c>
    </row>
    <row r="314" spans="2:19" x14ac:dyDescent="0.2">
      <c r="B314" s="2" t="str">
        <f t="shared" si="29"/>
        <v/>
      </c>
      <c r="C314" s="2" t="str">
        <f t="shared" si="30"/>
        <v/>
      </c>
      <c r="D314" s="2" t="str">
        <f t="shared" si="26"/>
        <v>Y</v>
      </c>
      <c r="E314" s="2">
        <f t="shared" si="27"/>
        <v>0</v>
      </c>
      <c r="F314" s="2" t="str">
        <f t="shared" si="31"/>
        <v/>
      </c>
      <c r="H314" s="56" t="s">
        <v>311</v>
      </c>
      <c r="I314" s="28"/>
      <c r="J314" s="29"/>
      <c r="K314" s="29"/>
      <c r="L314" s="30"/>
      <c r="M314" s="30"/>
      <c r="N314" s="36"/>
      <c r="O314" s="32"/>
      <c r="P314" s="33"/>
      <c r="Q314" s="34"/>
      <c r="R314" s="37"/>
      <c r="S314" s="14" t="str">
        <f t="shared" si="28"/>
        <v/>
      </c>
    </row>
    <row r="315" spans="2:19" x14ac:dyDescent="0.2">
      <c r="B315" s="2" t="str">
        <f t="shared" si="29"/>
        <v/>
      </c>
      <c r="C315" s="2" t="str">
        <f t="shared" si="30"/>
        <v/>
      </c>
      <c r="D315" s="2" t="str">
        <f t="shared" si="26"/>
        <v>Y</v>
      </c>
      <c r="E315" s="2">
        <f t="shared" si="27"/>
        <v>0</v>
      </c>
      <c r="F315" s="2" t="str">
        <f t="shared" si="31"/>
        <v/>
      </c>
      <c r="H315" s="56" t="s">
        <v>312</v>
      </c>
      <c r="I315" s="28"/>
      <c r="J315" s="29"/>
      <c r="K315" s="29"/>
      <c r="L315" s="30"/>
      <c r="M315" s="30"/>
      <c r="N315" s="36"/>
      <c r="O315" s="32"/>
      <c r="P315" s="33"/>
      <c r="Q315" s="34"/>
      <c r="R315" s="37"/>
      <c r="S315" s="14" t="str">
        <f t="shared" si="28"/>
        <v/>
      </c>
    </row>
    <row r="316" spans="2:19" x14ac:dyDescent="0.2">
      <c r="B316" s="2" t="str">
        <f t="shared" si="29"/>
        <v/>
      </c>
      <c r="C316" s="2" t="str">
        <f t="shared" si="30"/>
        <v/>
      </c>
      <c r="D316" s="2" t="str">
        <f t="shared" si="26"/>
        <v>Y</v>
      </c>
      <c r="E316" s="2">
        <f t="shared" si="27"/>
        <v>0</v>
      </c>
      <c r="F316" s="2" t="str">
        <f t="shared" si="31"/>
        <v/>
      </c>
      <c r="H316" s="56" t="s">
        <v>313</v>
      </c>
      <c r="I316" s="28"/>
      <c r="J316" s="29"/>
      <c r="K316" s="29"/>
      <c r="L316" s="30"/>
      <c r="M316" s="30"/>
      <c r="N316" s="36"/>
      <c r="O316" s="32"/>
      <c r="P316" s="33"/>
      <c r="Q316" s="34"/>
      <c r="R316" s="37"/>
      <c r="S316" s="14" t="str">
        <f t="shared" si="28"/>
        <v/>
      </c>
    </row>
    <row r="317" spans="2:19" x14ac:dyDescent="0.2">
      <c r="B317" s="2" t="str">
        <f t="shared" si="29"/>
        <v/>
      </c>
      <c r="C317" s="2" t="str">
        <f t="shared" si="30"/>
        <v/>
      </c>
      <c r="D317" s="2" t="str">
        <f t="shared" si="26"/>
        <v>Y</v>
      </c>
      <c r="E317" s="2">
        <f t="shared" si="27"/>
        <v>0</v>
      </c>
      <c r="F317" s="2" t="str">
        <f t="shared" si="31"/>
        <v/>
      </c>
      <c r="H317" s="56" t="s">
        <v>314</v>
      </c>
      <c r="I317" s="28"/>
      <c r="J317" s="29"/>
      <c r="K317" s="29"/>
      <c r="L317" s="30"/>
      <c r="M317" s="30"/>
      <c r="N317" s="36"/>
      <c r="O317" s="32"/>
      <c r="P317" s="33"/>
      <c r="Q317" s="34"/>
      <c r="R317" s="37"/>
      <c r="S317" s="14" t="str">
        <f t="shared" si="28"/>
        <v/>
      </c>
    </row>
    <row r="318" spans="2:19" x14ac:dyDescent="0.2">
      <c r="B318" s="2" t="str">
        <f t="shared" si="29"/>
        <v/>
      </c>
      <c r="C318" s="2" t="str">
        <f t="shared" si="30"/>
        <v/>
      </c>
      <c r="D318" s="2" t="str">
        <f t="shared" si="26"/>
        <v>Y</v>
      </c>
      <c r="E318" s="2">
        <f t="shared" si="27"/>
        <v>0</v>
      </c>
      <c r="F318" s="2" t="str">
        <f t="shared" si="31"/>
        <v/>
      </c>
      <c r="H318" s="56" t="s">
        <v>315</v>
      </c>
      <c r="I318" s="28"/>
      <c r="J318" s="29"/>
      <c r="K318" s="29"/>
      <c r="L318" s="30"/>
      <c r="M318" s="30"/>
      <c r="N318" s="36"/>
      <c r="O318" s="32"/>
      <c r="P318" s="33"/>
      <c r="Q318" s="34"/>
      <c r="R318" s="37"/>
      <c r="S318" s="14" t="str">
        <f t="shared" si="28"/>
        <v/>
      </c>
    </row>
    <row r="319" spans="2:19" x14ac:dyDescent="0.2">
      <c r="B319" s="2" t="str">
        <f t="shared" si="29"/>
        <v/>
      </c>
      <c r="C319" s="2" t="str">
        <f t="shared" si="30"/>
        <v/>
      </c>
      <c r="D319" s="2" t="str">
        <f t="shared" si="26"/>
        <v>Y</v>
      </c>
      <c r="E319" s="2">
        <f t="shared" si="27"/>
        <v>0</v>
      </c>
      <c r="F319" s="2" t="str">
        <f t="shared" si="31"/>
        <v/>
      </c>
      <c r="H319" s="56" t="s">
        <v>316</v>
      </c>
      <c r="I319" s="28"/>
      <c r="J319" s="29"/>
      <c r="K319" s="29"/>
      <c r="L319" s="30"/>
      <c r="M319" s="30"/>
      <c r="N319" s="36"/>
      <c r="O319" s="32"/>
      <c r="P319" s="33"/>
      <c r="Q319" s="34"/>
      <c r="R319" s="37"/>
      <c r="S319" s="14" t="str">
        <f t="shared" si="28"/>
        <v/>
      </c>
    </row>
    <row r="320" spans="2:19" x14ac:dyDescent="0.2">
      <c r="B320" s="2" t="str">
        <f t="shared" si="29"/>
        <v/>
      </c>
      <c r="C320" s="2" t="str">
        <f t="shared" si="30"/>
        <v/>
      </c>
      <c r="D320" s="2" t="str">
        <f t="shared" si="26"/>
        <v>Y</v>
      </c>
      <c r="E320" s="2">
        <f t="shared" si="27"/>
        <v>0</v>
      </c>
      <c r="F320" s="2" t="str">
        <f t="shared" si="31"/>
        <v/>
      </c>
      <c r="H320" s="56" t="s">
        <v>317</v>
      </c>
      <c r="I320" s="28"/>
      <c r="J320" s="29"/>
      <c r="K320" s="29"/>
      <c r="L320" s="30"/>
      <c r="M320" s="30"/>
      <c r="N320" s="36"/>
      <c r="O320" s="32"/>
      <c r="P320" s="33"/>
      <c r="Q320" s="34"/>
      <c r="R320" s="37"/>
      <c r="S320" s="14" t="str">
        <f t="shared" si="28"/>
        <v/>
      </c>
    </row>
    <row r="321" spans="2:19" x14ac:dyDescent="0.2">
      <c r="B321" s="2" t="str">
        <f t="shared" si="29"/>
        <v/>
      </c>
      <c r="C321" s="2" t="str">
        <f t="shared" si="30"/>
        <v/>
      </c>
      <c r="D321" s="2" t="str">
        <f t="shared" si="26"/>
        <v>Y</v>
      </c>
      <c r="E321" s="2">
        <f t="shared" si="27"/>
        <v>0</v>
      </c>
      <c r="F321" s="2" t="str">
        <f t="shared" si="31"/>
        <v/>
      </c>
      <c r="H321" s="56" t="s">
        <v>318</v>
      </c>
      <c r="I321" s="28"/>
      <c r="J321" s="29"/>
      <c r="K321" s="29"/>
      <c r="L321" s="30"/>
      <c r="M321" s="30"/>
      <c r="N321" s="36"/>
      <c r="O321" s="32"/>
      <c r="P321" s="33"/>
      <c r="Q321" s="34"/>
      <c r="R321" s="37"/>
      <c r="S321" s="14" t="str">
        <f t="shared" si="28"/>
        <v/>
      </c>
    </row>
    <row r="322" spans="2:19" x14ac:dyDescent="0.2">
      <c r="B322" s="2" t="str">
        <f t="shared" si="29"/>
        <v/>
      </c>
      <c r="C322" s="2" t="str">
        <f t="shared" si="30"/>
        <v/>
      </c>
      <c r="D322" s="2" t="str">
        <f t="shared" si="26"/>
        <v>Y</v>
      </c>
      <c r="E322" s="2">
        <f t="shared" si="27"/>
        <v>0</v>
      </c>
      <c r="F322" s="2" t="str">
        <f t="shared" si="31"/>
        <v/>
      </c>
      <c r="H322" s="56" t="s">
        <v>319</v>
      </c>
      <c r="I322" s="28"/>
      <c r="J322" s="29"/>
      <c r="K322" s="29"/>
      <c r="L322" s="30"/>
      <c r="M322" s="30"/>
      <c r="N322" s="36"/>
      <c r="O322" s="32"/>
      <c r="P322" s="33"/>
      <c r="Q322" s="34"/>
      <c r="R322" s="37"/>
      <c r="S322" s="14" t="str">
        <f t="shared" si="28"/>
        <v/>
      </c>
    </row>
    <row r="323" spans="2:19" x14ac:dyDescent="0.2">
      <c r="B323" s="2" t="str">
        <f t="shared" si="29"/>
        <v/>
      </c>
      <c r="C323" s="2" t="str">
        <f t="shared" si="30"/>
        <v/>
      </c>
      <c r="D323" s="2" t="str">
        <f t="shared" si="26"/>
        <v>Y</v>
      </c>
      <c r="E323" s="2">
        <f t="shared" si="27"/>
        <v>0</v>
      </c>
      <c r="F323" s="2" t="str">
        <f t="shared" si="31"/>
        <v/>
      </c>
      <c r="H323" s="56" t="s">
        <v>320</v>
      </c>
      <c r="I323" s="28"/>
      <c r="J323" s="29"/>
      <c r="K323" s="29"/>
      <c r="L323" s="30"/>
      <c r="M323" s="30"/>
      <c r="N323" s="36"/>
      <c r="O323" s="32"/>
      <c r="P323" s="33"/>
      <c r="Q323" s="34"/>
      <c r="R323" s="37"/>
      <c r="S323" s="14" t="str">
        <f t="shared" si="28"/>
        <v/>
      </c>
    </row>
    <row r="324" spans="2:19" x14ac:dyDescent="0.2">
      <c r="B324" s="2" t="str">
        <f t="shared" si="29"/>
        <v/>
      </c>
      <c r="C324" s="2" t="str">
        <f t="shared" si="30"/>
        <v/>
      </c>
      <c r="D324" s="2" t="str">
        <f t="shared" si="26"/>
        <v>Y</v>
      </c>
      <c r="E324" s="2">
        <f t="shared" si="27"/>
        <v>0</v>
      </c>
      <c r="F324" s="2" t="str">
        <f t="shared" si="31"/>
        <v/>
      </c>
      <c r="H324" s="56" t="s">
        <v>321</v>
      </c>
      <c r="I324" s="28"/>
      <c r="J324" s="29"/>
      <c r="K324" s="29"/>
      <c r="L324" s="30"/>
      <c r="M324" s="30"/>
      <c r="N324" s="36"/>
      <c r="O324" s="32"/>
      <c r="P324" s="33"/>
      <c r="Q324" s="34"/>
      <c r="R324" s="37"/>
      <c r="S324" s="14" t="str">
        <f t="shared" si="28"/>
        <v/>
      </c>
    </row>
    <row r="325" spans="2:19" x14ac:dyDescent="0.2">
      <c r="B325" s="2" t="str">
        <f t="shared" si="29"/>
        <v/>
      </c>
      <c r="C325" s="2" t="str">
        <f t="shared" si="30"/>
        <v/>
      </c>
      <c r="D325" s="2" t="str">
        <f t="shared" si="26"/>
        <v>Y</v>
      </c>
      <c r="E325" s="2">
        <f t="shared" si="27"/>
        <v>0</v>
      </c>
      <c r="F325" s="2" t="str">
        <f t="shared" si="31"/>
        <v/>
      </c>
      <c r="H325" s="56" t="s">
        <v>322</v>
      </c>
      <c r="I325" s="28"/>
      <c r="J325" s="29"/>
      <c r="K325" s="29"/>
      <c r="L325" s="30"/>
      <c r="M325" s="30"/>
      <c r="N325" s="36"/>
      <c r="O325" s="32"/>
      <c r="P325" s="33"/>
      <c r="Q325" s="34"/>
      <c r="R325" s="37"/>
      <c r="S325" s="14" t="str">
        <f t="shared" si="28"/>
        <v/>
      </c>
    </row>
    <row r="326" spans="2:19" x14ac:dyDescent="0.2">
      <c r="B326" s="2" t="str">
        <f t="shared" si="29"/>
        <v/>
      </c>
      <c r="C326" s="2" t="str">
        <f t="shared" si="30"/>
        <v/>
      </c>
      <c r="D326" s="2" t="str">
        <f t="shared" si="26"/>
        <v>Y</v>
      </c>
      <c r="E326" s="2">
        <f t="shared" si="27"/>
        <v>0</v>
      </c>
      <c r="F326" s="2" t="str">
        <f t="shared" si="31"/>
        <v/>
      </c>
      <c r="H326" s="56" t="s">
        <v>323</v>
      </c>
      <c r="I326" s="28"/>
      <c r="J326" s="29"/>
      <c r="K326" s="29"/>
      <c r="L326" s="30"/>
      <c r="M326" s="30"/>
      <c r="N326" s="36"/>
      <c r="O326" s="32"/>
      <c r="P326" s="33"/>
      <c r="Q326" s="34"/>
      <c r="R326" s="37"/>
      <c r="S326" s="14" t="str">
        <f t="shared" si="28"/>
        <v/>
      </c>
    </row>
    <row r="327" spans="2:19" x14ac:dyDescent="0.2">
      <c r="B327" s="2" t="str">
        <f t="shared" si="29"/>
        <v/>
      </c>
      <c r="C327" s="2" t="str">
        <f t="shared" si="30"/>
        <v/>
      </c>
      <c r="D327" s="2" t="str">
        <f t="shared" si="26"/>
        <v>Y</v>
      </c>
      <c r="E327" s="2">
        <f t="shared" si="27"/>
        <v>0</v>
      </c>
      <c r="F327" s="2" t="str">
        <f t="shared" si="31"/>
        <v/>
      </c>
      <c r="H327" s="56" t="s">
        <v>324</v>
      </c>
      <c r="I327" s="28"/>
      <c r="J327" s="29"/>
      <c r="K327" s="29"/>
      <c r="L327" s="30"/>
      <c r="M327" s="30"/>
      <c r="N327" s="36"/>
      <c r="O327" s="32"/>
      <c r="P327" s="33"/>
      <c r="Q327" s="34"/>
      <c r="R327" s="37"/>
      <c r="S327" s="14" t="str">
        <f t="shared" si="28"/>
        <v/>
      </c>
    </row>
    <row r="328" spans="2:19" x14ac:dyDescent="0.2">
      <c r="B328" s="2" t="str">
        <f t="shared" si="29"/>
        <v/>
      </c>
      <c r="C328" s="2" t="str">
        <f t="shared" si="30"/>
        <v/>
      </c>
      <c r="D328" s="2" t="str">
        <f t="shared" si="26"/>
        <v>Y</v>
      </c>
      <c r="E328" s="2">
        <f t="shared" si="27"/>
        <v>0</v>
      </c>
      <c r="F328" s="2" t="str">
        <f t="shared" si="31"/>
        <v/>
      </c>
      <c r="H328" s="56" t="s">
        <v>325</v>
      </c>
      <c r="I328" s="28"/>
      <c r="J328" s="29"/>
      <c r="K328" s="29"/>
      <c r="L328" s="30"/>
      <c r="M328" s="30"/>
      <c r="N328" s="36"/>
      <c r="O328" s="32"/>
      <c r="P328" s="33"/>
      <c r="Q328" s="34"/>
      <c r="R328" s="37"/>
      <c r="S328" s="14" t="str">
        <f t="shared" si="28"/>
        <v/>
      </c>
    </row>
    <row r="329" spans="2:19" x14ac:dyDescent="0.2">
      <c r="B329" s="2" t="str">
        <f t="shared" si="29"/>
        <v/>
      </c>
      <c r="C329" s="2" t="str">
        <f t="shared" si="30"/>
        <v/>
      </c>
      <c r="D329" s="2" t="str">
        <f t="shared" si="26"/>
        <v>Y</v>
      </c>
      <c r="E329" s="2">
        <f t="shared" si="27"/>
        <v>0</v>
      </c>
      <c r="F329" s="2" t="str">
        <f t="shared" si="31"/>
        <v/>
      </c>
      <c r="H329" s="56" t="s">
        <v>326</v>
      </c>
      <c r="I329" s="28"/>
      <c r="J329" s="29"/>
      <c r="K329" s="29"/>
      <c r="L329" s="30"/>
      <c r="M329" s="30"/>
      <c r="N329" s="36"/>
      <c r="O329" s="32"/>
      <c r="P329" s="33"/>
      <c r="Q329" s="34"/>
      <c r="R329" s="37"/>
      <c r="S329" s="14" t="str">
        <f t="shared" si="28"/>
        <v/>
      </c>
    </row>
    <row r="330" spans="2:19" x14ac:dyDescent="0.2">
      <c r="B330" s="2" t="str">
        <f t="shared" si="29"/>
        <v/>
      </c>
      <c r="C330" s="2" t="str">
        <f t="shared" si="30"/>
        <v/>
      </c>
      <c r="D330" s="2" t="str">
        <f t="shared" si="26"/>
        <v>Y</v>
      </c>
      <c r="E330" s="2">
        <f t="shared" si="27"/>
        <v>0</v>
      </c>
      <c r="F330" s="2" t="str">
        <f t="shared" si="31"/>
        <v/>
      </c>
      <c r="H330" s="56" t="s">
        <v>327</v>
      </c>
      <c r="I330" s="28"/>
      <c r="J330" s="29"/>
      <c r="K330" s="29"/>
      <c r="L330" s="30"/>
      <c r="M330" s="30"/>
      <c r="N330" s="36"/>
      <c r="O330" s="32"/>
      <c r="P330" s="33"/>
      <c r="Q330" s="34"/>
      <c r="R330" s="37"/>
      <c r="S330" s="14" t="str">
        <f t="shared" si="28"/>
        <v/>
      </c>
    </row>
    <row r="331" spans="2:19" x14ac:dyDescent="0.2">
      <c r="B331" s="2" t="str">
        <f t="shared" si="29"/>
        <v/>
      </c>
      <c r="C331" s="2" t="str">
        <f t="shared" si="30"/>
        <v/>
      </c>
      <c r="D331" s="2" t="str">
        <f t="shared" ref="D331:D394" si="32">IF(OR(P331=Not_started,P331=In_progress),"N",IF(OR(P331=N_A,P331=Suspended,P331=Canceled),"","Y"))</f>
        <v>Y</v>
      </c>
      <c r="E331" s="2">
        <f t="shared" ref="E331:E394" si="33">IF(OR(P331=Not_started,P331=In_progress,P331=Applied,P331=Closed),1,0)</f>
        <v>0</v>
      </c>
      <c r="F331" s="2" t="str">
        <f t="shared" si="31"/>
        <v/>
      </c>
      <c r="H331" s="56" t="s">
        <v>328</v>
      </c>
      <c r="I331" s="28"/>
      <c r="J331" s="29"/>
      <c r="K331" s="29"/>
      <c r="L331" s="30"/>
      <c r="M331" s="30"/>
      <c r="N331" s="36"/>
      <c r="O331" s="32"/>
      <c r="P331" s="33"/>
      <c r="Q331" s="34"/>
      <c r="R331" s="37"/>
      <c r="S331" s="14" t="str">
        <f t="shared" ref="S331:S394" si="34">IF(ISERROR(VLOOKUP(K331,LB_PROJECTS,2,FALSE)),"",VLOOKUP(K331,LB_PROJECTS,2,FALSE))</f>
        <v/>
      </c>
    </row>
    <row r="332" spans="2:19" x14ac:dyDescent="0.2">
      <c r="B332" s="2" t="str">
        <f t="shared" ref="B332:B395" si="35">IF(N332="","",IF(WEEKNUM(N332)&lt;10,VALUE(CONCATENATE(YEAR(N332),"0",WEEKNUM(N332))),VALUE(CONCATENATE(YEAR(N332),WEEKNUM(N332)))))</f>
        <v/>
      </c>
      <c r="C332" s="2" t="str">
        <f t="shared" ref="C332:C395" si="36">IF(Q332="","",IF(WEEKNUM(Q332)&lt;10,VALUE(CONCATENATE(YEAR(Q332),"0",WEEKNUM(Q332))),VALUE(CONCATENATE(YEAR(Q332),WEEKNUM(Q332)))))</f>
        <v/>
      </c>
      <c r="D332" s="2" t="str">
        <f t="shared" si="32"/>
        <v>Y</v>
      </c>
      <c r="E332" s="2">
        <f t="shared" si="33"/>
        <v>0</v>
      </c>
      <c r="F332" s="2" t="str">
        <f t="shared" si="31"/>
        <v/>
      </c>
      <c r="H332" s="56" t="s">
        <v>329</v>
      </c>
      <c r="I332" s="28"/>
      <c r="J332" s="29"/>
      <c r="K332" s="29"/>
      <c r="L332" s="30"/>
      <c r="M332" s="30"/>
      <c r="N332" s="36"/>
      <c r="O332" s="32"/>
      <c r="P332" s="33"/>
      <c r="Q332" s="34"/>
      <c r="R332" s="37"/>
      <c r="S332" s="14" t="str">
        <f t="shared" si="34"/>
        <v/>
      </c>
    </row>
    <row r="333" spans="2:19" x14ac:dyDescent="0.2">
      <c r="B333" s="2" t="str">
        <f t="shared" si="35"/>
        <v/>
      </c>
      <c r="C333" s="2" t="str">
        <f t="shared" si="36"/>
        <v/>
      </c>
      <c r="D333" s="2" t="str">
        <f t="shared" si="32"/>
        <v>Y</v>
      </c>
      <c r="E333" s="2">
        <f t="shared" si="33"/>
        <v>0</v>
      </c>
      <c r="F333" s="2" t="str">
        <f t="shared" si="31"/>
        <v/>
      </c>
      <c r="H333" s="56" t="s">
        <v>330</v>
      </c>
      <c r="I333" s="28"/>
      <c r="J333" s="29"/>
      <c r="K333" s="29"/>
      <c r="L333" s="30"/>
      <c r="M333" s="30"/>
      <c r="N333" s="36"/>
      <c r="O333" s="32"/>
      <c r="P333" s="33"/>
      <c r="Q333" s="34"/>
      <c r="R333" s="37"/>
      <c r="S333" s="14" t="str">
        <f t="shared" si="34"/>
        <v/>
      </c>
    </row>
    <row r="334" spans="2:19" x14ac:dyDescent="0.2">
      <c r="B334" s="2" t="str">
        <f t="shared" si="35"/>
        <v/>
      </c>
      <c r="C334" s="2" t="str">
        <f t="shared" si="36"/>
        <v/>
      </c>
      <c r="D334" s="2" t="str">
        <f t="shared" si="32"/>
        <v>Y</v>
      </c>
      <c r="E334" s="2">
        <f t="shared" si="33"/>
        <v>0</v>
      </c>
      <c r="F334" s="2" t="str">
        <f t="shared" ref="F334:F397" si="37">IF(O334="",B334,IF(WEEKNUM(O334)&lt;10,VALUE(CONCATENATE(YEAR(O334),"0",WEEKNUM(O334))),VALUE(CONCATENATE(YEAR(O334),WEEKNUM(O334)))))</f>
        <v/>
      </c>
      <c r="H334" s="56" t="s">
        <v>331</v>
      </c>
      <c r="I334" s="28"/>
      <c r="J334" s="29"/>
      <c r="K334" s="29"/>
      <c r="L334" s="30"/>
      <c r="M334" s="30"/>
      <c r="N334" s="36"/>
      <c r="O334" s="32"/>
      <c r="P334" s="33"/>
      <c r="Q334" s="34"/>
      <c r="R334" s="37"/>
      <c r="S334" s="14" t="str">
        <f t="shared" si="34"/>
        <v/>
      </c>
    </row>
    <row r="335" spans="2:19" x14ac:dyDescent="0.2">
      <c r="B335" s="2" t="str">
        <f t="shared" si="35"/>
        <v/>
      </c>
      <c r="C335" s="2" t="str">
        <f t="shared" si="36"/>
        <v/>
      </c>
      <c r="D335" s="2" t="str">
        <f t="shared" si="32"/>
        <v>Y</v>
      </c>
      <c r="E335" s="2">
        <f t="shared" si="33"/>
        <v>0</v>
      </c>
      <c r="F335" s="2" t="str">
        <f t="shared" si="37"/>
        <v/>
      </c>
      <c r="H335" s="56" t="s">
        <v>332</v>
      </c>
      <c r="I335" s="28"/>
      <c r="J335" s="29"/>
      <c r="K335" s="29"/>
      <c r="L335" s="30"/>
      <c r="M335" s="30"/>
      <c r="N335" s="36"/>
      <c r="O335" s="32"/>
      <c r="P335" s="33"/>
      <c r="Q335" s="34"/>
      <c r="R335" s="37"/>
      <c r="S335" s="14" t="str">
        <f t="shared" si="34"/>
        <v/>
      </c>
    </row>
    <row r="336" spans="2:19" x14ac:dyDescent="0.2">
      <c r="B336" s="2" t="str">
        <f t="shared" si="35"/>
        <v/>
      </c>
      <c r="C336" s="2" t="str">
        <f t="shared" si="36"/>
        <v/>
      </c>
      <c r="D336" s="2" t="str">
        <f t="shared" si="32"/>
        <v>Y</v>
      </c>
      <c r="E336" s="2">
        <f t="shared" si="33"/>
        <v>0</v>
      </c>
      <c r="F336" s="2" t="str">
        <f t="shared" si="37"/>
        <v/>
      </c>
      <c r="H336" s="56" t="s">
        <v>333</v>
      </c>
      <c r="I336" s="28"/>
      <c r="J336" s="29"/>
      <c r="K336" s="29"/>
      <c r="L336" s="30"/>
      <c r="M336" s="30"/>
      <c r="N336" s="36"/>
      <c r="O336" s="32"/>
      <c r="P336" s="33"/>
      <c r="Q336" s="34"/>
      <c r="R336" s="37"/>
      <c r="S336" s="14" t="str">
        <f t="shared" si="34"/>
        <v/>
      </c>
    </row>
    <row r="337" spans="2:19" x14ac:dyDescent="0.2">
      <c r="B337" s="2" t="str">
        <f t="shared" si="35"/>
        <v/>
      </c>
      <c r="C337" s="2" t="str">
        <f t="shared" si="36"/>
        <v/>
      </c>
      <c r="D337" s="2" t="str">
        <f t="shared" si="32"/>
        <v>Y</v>
      </c>
      <c r="E337" s="2">
        <f t="shared" si="33"/>
        <v>0</v>
      </c>
      <c r="F337" s="2" t="str">
        <f t="shared" si="37"/>
        <v/>
      </c>
      <c r="H337" s="56" t="s">
        <v>334</v>
      </c>
      <c r="I337" s="28"/>
      <c r="J337" s="29"/>
      <c r="K337" s="29"/>
      <c r="L337" s="30"/>
      <c r="M337" s="30"/>
      <c r="N337" s="36"/>
      <c r="O337" s="32"/>
      <c r="P337" s="33"/>
      <c r="Q337" s="34"/>
      <c r="R337" s="37"/>
      <c r="S337" s="14" t="str">
        <f t="shared" si="34"/>
        <v/>
      </c>
    </row>
    <row r="338" spans="2:19" x14ac:dyDescent="0.2">
      <c r="B338" s="2" t="str">
        <f t="shared" si="35"/>
        <v/>
      </c>
      <c r="C338" s="2" t="str">
        <f t="shared" si="36"/>
        <v/>
      </c>
      <c r="D338" s="2" t="str">
        <f t="shared" si="32"/>
        <v>Y</v>
      </c>
      <c r="E338" s="2">
        <f t="shared" si="33"/>
        <v>0</v>
      </c>
      <c r="F338" s="2" t="str">
        <f t="shared" si="37"/>
        <v/>
      </c>
      <c r="H338" s="56" t="s">
        <v>335</v>
      </c>
      <c r="I338" s="28"/>
      <c r="J338" s="29"/>
      <c r="K338" s="29"/>
      <c r="L338" s="30"/>
      <c r="M338" s="30"/>
      <c r="N338" s="36"/>
      <c r="O338" s="32"/>
      <c r="P338" s="33"/>
      <c r="Q338" s="34"/>
      <c r="R338" s="37"/>
      <c r="S338" s="14" t="str">
        <f t="shared" si="34"/>
        <v/>
      </c>
    </row>
    <row r="339" spans="2:19" x14ac:dyDescent="0.2">
      <c r="B339" s="2" t="str">
        <f t="shared" si="35"/>
        <v/>
      </c>
      <c r="C339" s="2" t="str">
        <f t="shared" si="36"/>
        <v/>
      </c>
      <c r="D339" s="2" t="str">
        <f t="shared" si="32"/>
        <v>Y</v>
      </c>
      <c r="E339" s="2">
        <f t="shared" si="33"/>
        <v>0</v>
      </c>
      <c r="F339" s="2" t="str">
        <f t="shared" si="37"/>
        <v/>
      </c>
      <c r="H339" s="56" t="s">
        <v>336</v>
      </c>
      <c r="I339" s="28"/>
      <c r="J339" s="29"/>
      <c r="K339" s="29"/>
      <c r="L339" s="30"/>
      <c r="M339" s="30"/>
      <c r="N339" s="36"/>
      <c r="O339" s="32"/>
      <c r="P339" s="33"/>
      <c r="Q339" s="34"/>
      <c r="R339" s="37"/>
      <c r="S339" s="14" t="str">
        <f t="shared" si="34"/>
        <v/>
      </c>
    </row>
    <row r="340" spans="2:19" x14ac:dyDescent="0.2">
      <c r="B340" s="2" t="str">
        <f t="shared" si="35"/>
        <v/>
      </c>
      <c r="C340" s="2" t="str">
        <f t="shared" si="36"/>
        <v/>
      </c>
      <c r="D340" s="2" t="str">
        <f t="shared" si="32"/>
        <v>Y</v>
      </c>
      <c r="E340" s="2">
        <f t="shared" si="33"/>
        <v>0</v>
      </c>
      <c r="F340" s="2" t="str">
        <f t="shared" si="37"/>
        <v/>
      </c>
      <c r="H340" s="56" t="s">
        <v>337</v>
      </c>
      <c r="I340" s="28"/>
      <c r="J340" s="29"/>
      <c r="K340" s="29"/>
      <c r="L340" s="30"/>
      <c r="M340" s="30"/>
      <c r="N340" s="36"/>
      <c r="O340" s="32"/>
      <c r="P340" s="33"/>
      <c r="Q340" s="34"/>
      <c r="R340" s="37"/>
      <c r="S340" s="14" t="str">
        <f t="shared" si="34"/>
        <v/>
      </c>
    </row>
    <row r="341" spans="2:19" x14ac:dyDescent="0.2">
      <c r="B341" s="2" t="str">
        <f t="shared" si="35"/>
        <v/>
      </c>
      <c r="C341" s="2" t="str">
        <f t="shared" si="36"/>
        <v/>
      </c>
      <c r="D341" s="2" t="str">
        <f t="shared" si="32"/>
        <v>Y</v>
      </c>
      <c r="E341" s="2">
        <f t="shared" si="33"/>
        <v>0</v>
      </c>
      <c r="F341" s="2" t="str">
        <f t="shared" si="37"/>
        <v/>
      </c>
      <c r="H341" s="56" t="s">
        <v>338</v>
      </c>
      <c r="I341" s="28"/>
      <c r="J341" s="29"/>
      <c r="K341" s="29"/>
      <c r="L341" s="30"/>
      <c r="M341" s="30"/>
      <c r="N341" s="36"/>
      <c r="O341" s="32"/>
      <c r="P341" s="33"/>
      <c r="Q341" s="34"/>
      <c r="R341" s="37"/>
      <c r="S341" s="14" t="str">
        <f t="shared" si="34"/>
        <v/>
      </c>
    </row>
    <row r="342" spans="2:19" x14ac:dyDescent="0.2">
      <c r="B342" s="2" t="str">
        <f t="shared" si="35"/>
        <v/>
      </c>
      <c r="C342" s="2" t="str">
        <f t="shared" si="36"/>
        <v/>
      </c>
      <c r="D342" s="2" t="str">
        <f t="shared" si="32"/>
        <v>Y</v>
      </c>
      <c r="E342" s="2">
        <f t="shared" si="33"/>
        <v>0</v>
      </c>
      <c r="F342" s="2" t="str">
        <f t="shared" si="37"/>
        <v/>
      </c>
      <c r="H342" s="56" t="s">
        <v>339</v>
      </c>
      <c r="I342" s="28"/>
      <c r="J342" s="29"/>
      <c r="K342" s="29"/>
      <c r="L342" s="30"/>
      <c r="M342" s="30"/>
      <c r="N342" s="36"/>
      <c r="O342" s="32"/>
      <c r="P342" s="33"/>
      <c r="Q342" s="34"/>
      <c r="R342" s="37"/>
      <c r="S342" s="14" t="str">
        <f t="shared" si="34"/>
        <v/>
      </c>
    </row>
    <row r="343" spans="2:19" x14ac:dyDescent="0.2">
      <c r="B343" s="2" t="str">
        <f t="shared" si="35"/>
        <v/>
      </c>
      <c r="C343" s="2" t="str">
        <f t="shared" si="36"/>
        <v/>
      </c>
      <c r="D343" s="2" t="str">
        <f t="shared" si="32"/>
        <v>Y</v>
      </c>
      <c r="E343" s="2">
        <f t="shared" si="33"/>
        <v>0</v>
      </c>
      <c r="F343" s="2" t="str">
        <f t="shared" si="37"/>
        <v/>
      </c>
      <c r="H343" s="56" t="s">
        <v>340</v>
      </c>
      <c r="I343" s="28"/>
      <c r="J343" s="29"/>
      <c r="K343" s="29"/>
      <c r="L343" s="30"/>
      <c r="M343" s="30"/>
      <c r="N343" s="36"/>
      <c r="O343" s="32"/>
      <c r="P343" s="33"/>
      <c r="Q343" s="34"/>
      <c r="R343" s="37"/>
      <c r="S343" s="14" t="str">
        <f t="shared" si="34"/>
        <v/>
      </c>
    </row>
    <row r="344" spans="2:19" x14ac:dyDescent="0.2">
      <c r="B344" s="2" t="str">
        <f t="shared" si="35"/>
        <v/>
      </c>
      <c r="C344" s="2" t="str">
        <f t="shared" si="36"/>
        <v/>
      </c>
      <c r="D344" s="2" t="str">
        <f t="shared" si="32"/>
        <v>Y</v>
      </c>
      <c r="E344" s="2">
        <f t="shared" si="33"/>
        <v>0</v>
      </c>
      <c r="F344" s="2" t="str">
        <f t="shared" si="37"/>
        <v/>
      </c>
      <c r="H344" s="56" t="s">
        <v>341</v>
      </c>
      <c r="I344" s="28"/>
      <c r="J344" s="29"/>
      <c r="K344" s="29"/>
      <c r="L344" s="30"/>
      <c r="M344" s="30"/>
      <c r="N344" s="36"/>
      <c r="O344" s="32"/>
      <c r="P344" s="33"/>
      <c r="Q344" s="34"/>
      <c r="R344" s="37"/>
      <c r="S344" s="14" t="str">
        <f t="shared" si="34"/>
        <v/>
      </c>
    </row>
    <row r="345" spans="2:19" x14ac:dyDescent="0.2">
      <c r="B345" s="2" t="str">
        <f t="shared" si="35"/>
        <v/>
      </c>
      <c r="C345" s="2" t="str">
        <f t="shared" si="36"/>
        <v/>
      </c>
      <c r="D345" s="2" t="str">
        <f t="shared" si="32"/>
        <v>Y</v>
      </c>
      <c r="E345" s="2">
        <f t="shared" si="33"/>
        <v>0</v>
      </c>
      <c r="F345" s="2" t="str">
        <f t="shared" si="37"/>
        <v/>
      </c>
      <c r="H345" s="56" t="s">
        <v>342</v>
      </c>
      <c r="I345" s="28"/>
      <c r="J345" s="29"/>
      <c r="K345" s="29"/>
      <c r="L345" s="30"/>
      <c r="M345" s="30"/>
      <c r="N345" s="36"/>
      <c r="O345" s="32"/>
      <c r="P345" s="33"/>
      <c r="Q345" s="34"/>
      <c r="R345" s="37"/>
      <c r="S345" s="14" t="str">
        <f t="shared" si="34"/>
        <v/>
      </c>
    </row>
    <row r="346" spans="2:19" x14ac:dyDescent="0.2">
      <c r="B346" s="2" t="str">
        <f t="shared" si="35"/>
        <v/>
      </c>
      <c r="C346" s="2" t="str">
        <f t="shared" si="36"/>
        <v/>
      </c>
      <c r="D346" s="2" t="str">
        <f t="shared" si="32"/>
        <v>Y</v>
      </c>
      <c r="E346" s="2">
        <f t="shared" si="33"/>
        <v>0</v>
      </c>
      <c r="F346" s="2" t="str">
        <f t="shared" si="37"/>
        <v/>
      </c>
      <c r="H346" s="56" t="s">
        <v>343</v>
      </c>
      <c r="I346" s="28"/>
      <c r="J346" s="29"/>
      <c r="K346" s="29"/>
      <c r="L346" s="30"/>
      <c r="M346" s="30"/>
      <c r="N346" s="36"/>
      <c r="O346" s="32"/>
      <c r="P346" s="33"/>
      <c r="Q346" s="34"/>
      <c r="R346" s="37"/>
      <c r="S346" s="14" t="str">
        <f t="shared" si="34"/>
        <v/>
      </c>
    </row>
    <row r="347" spans="2:19" x14ac:dyDescent="0.2">
      <c r="B347" s="2" t="str">
        <f t="shared" si="35"/>
        <v/>
      </c>
      <c r="C347" s="2" t="str">
        <f t="shared" si="36"/>
        <v/>
      </c>
      <c r="D347" s="2" t="str">
        <f t="shared" si="32"/>
        <v>Y</v>
      </c>
      <c r="E347" s="2">
        <f t="shared" si="33"/>
        <v>0</v>
      </c>
      <c r="F347" s="2" t="str">
        <f t="shared" si="37"/>
        <v/>
      </c>
      <c r="H347" s="56" t="s">
        <v>344</v>
      </c>
      <c r="I347" s="28"/>
      <c r="J347" s="29"/>
      <c r="K347" s="29"/>
      <c r="L347" s="30"/>
      <c r="M347" s="30"/>
      <c r="N347" s="36"/>
      <c r="O347" s="32"/>
      <c r="P347" s="33"/>
      <c r="Q347" s="34"/>
      <c r="R347" s="37"/>
      <c r="S347" s="14" t="str">
        <f t="shared" si="34"/>
        <v/>
      </c>
    </row>
    <row r="348" spans="2:19" x14ac:dyDescent="0.2">
      <c r="B348" s="2" t="str">
        <f t="shared" si="35"/>
        <v/>
      </c>
      <c r="C348" s="2" t="str">
        <f t="shared" si="36"/>
        <v/>
      </c>
      <c r="D348" s="2" t="str">
        <f t="shared" si="32"/>
        <v>Y</v>
      </c>
      <c r="E348" s="2">
        <f t="shared" si="33"/>
        <v>0</v>
      </c>
      <c r="F348" s="2" t="str">
        <f t="shared" si="37"/>
        <v/>
      </c>
      <c r="H348" s="56" t="s">
        <v>345</v>
      </c>
      <c r="I348" s="28"/>
      <c r="J348" s="29"/>
      <c r="K348" s="29"/>
      <c r="L348" s="30"/>
      <c r="M348" s="30"/>
      <c r="N348" s="36"/>
      <c r="O348" s="32"/>
      <c r="P348" s="33"/>
      <c r="Q348" s="34"/>
      <c r="R348" s="37"/>
      <c r="S348" s="14" t="str">
        <f t="shared" si="34"/>
        <v/>
      </c>
    </row>
    <row r="349" spans="2:19" x14ac:dyDescent="0.2">
      <c r="B349" s="2" t="str">
        <f t="shared" si="35"/>
        <v/>
      </c>
      <c r="C349" s="2" t="str">
        <f t="shared" si="36"/>
        <v/>
      </c>
      <c r="D349" s="2" t="str">
        <f t="shared" si="32"/>
        <v>Y</v>
      </c>
      <c r="E349" s="2">
        <f t="shared" si="33"/>
        <v>0</v>
      </c>
      <c r="F349" s="2" t="str">
        <f t="shared" si="37"/>
        <v/>
      </c>
      <c r="H349" s="56" t="s">
        <v>346</v>
      </c>
      <c r="I349" s="28"/>
      <c r="J349" s="29"/>
      <c r="K349" s="29"/>
      <c r="L349" s="30"/>
      <c r="M349" s="30"/>
      <c r="N349" s="36"/>
      <c r="O349" s="32"/>
      <c r="P349" s="33"/>
      <c r="Q349" s="34"/>
      <c r="R349" s="37"/>
      <c r="S349" s="14" t="str">
        <f t="shared" si="34"/>
        <v/>
      </c>
    </row>
    <row r="350" spans="2:19" x14ac:dyDescent="0.2">
      <c r="B350" s="2" t="str">
        <f t="shared" si="35"/>
        <v/>
      </c>
      <c r="C350" s="2" t="str">
        <f t="shared" si="36"/>
        <v/>
      </c>
      <c r="D350" s="2" t="str">
        <f t="shared" si="32"/>
        <v>Y</v>
      </c>
      <c r="E350" s="2">
        <f t="shared" si="33"/>
        <v>0</v>
      </c>
      <c r="F350" s="2" t="str">
        <f t="shared" si="37"/>
        <v/>
      </c>
      <c r="H350" s="56" t="s">
        <v>347</v>
      </c>
      <c r="I350" s="28"/>
      <c r="J350" s="29"/>
      <c r="K350" s="29"/>
      <c r="L350" s="30"/>
      <c r="M350" s="30"/>
      <c r="N350" s="36"/>
      <c r="O350" s="32"/>
      <c r="P350" s="33"/>
      <c r="Q350" s="34"/>
      <c r="R350" s="37"/>
      <c r="S350" s="14" t="str">
        <f t="shared" si="34"/>
        <v/>
      </c>
    </row>
    <row r="351" spans="2:19" x14ac:dyDescent="0.2">
      <c r="B351" s="2" t="str">
        <f t="shared" si="35"/>
        <v/>
      </c>
      <c r="C351" s="2" t="str">
        <f t="shared" si="36"/>
        <v/>
      </c>
      <c r="D351" s="2" t="str">
        <f t="shared" si="32"/>
        <v>Y</v>
      </c>
      <c r="E351" s="2">
        <f t="shared" si="33"/>
        <v>0</v>
      </c>
      <c r="F351" s="2" t="str">
        <f t="shared" si="37"/>
        <v/>
      </c>
      <c r="H351" s="56" t="s">
        <v>348</v>
      </c>
      <c r="I351" s="28"/>
      <c r="J351" s="29"/>
      <c r="K351" s="29"/>
      <c r="L351" s="30"/>
      <c r="M351" s="30"/>
      <c r="N351" s="36"/>
      <c r="O351" s="32"/>
      <c r="P351" s="33"/>
      <c r="Q351" s="34"/>
      <c r="R351" s="37"/>
      <c r="S351" s="14" t="str">
        <f t="shared" si="34"/>
        <v/>
      </c>
    </row>
    <row r="352" spans="2:19" x14ac:dyDescent="0.2">
      <c r="B352" s="2" t="str">
        <f t="shared" si="35"/>
        <v/>
      </c>
      <c r="C352" s="2" t="str">
        <f t="shared" si="36"/>
        <v/>
      </c>
      <c r="D352" s="2" t="str">
        <f t="shared" si="32"/>
        <v>Y</v>
      </c>
      <c r="E352" s="2">
        <f t="shared" si="33"/>
        <v>0</v>
      </c>
      <c r="F352" s="2" t="str">
        <f t="shared" si="37"/>
        <v/>
      </c>
      <c r="H352" s="56" t="s">
        <v>349</v>
      </c>
      <c r="I352" s="28"/>
      <c r="J352" s="29"/>
      <c r="K352" s="29"/>
      <c r="L352" s="30"/>
      <c r="M352" s="30"/>
      <c r="N352" s="36"/>
      <c r="O352" s="32"/>
      <c r="P352" s="33"/>
      <c r="Q352" s="34"/>
      <c r="R352" s="37"/>
      <c r="S352" s="14" t="str">
        <f t="shared" si="34"/>
        <v/>
      </c>
    </row>
    <row r="353" spans="2:19" x14ac:dyDescent="0.2">
      <c r="B353" s="2" t="str">
        <f t="shared" si="35"/>
        <v/>
      </c>
      <c r="C353" s="2" t="str">
        <f t="shared" si="36"/>
        <v/>
      </c>
      <c r="D353" s="2" t="str">
        <f t="shared" si="32"/>
        <v>Y</v>
      </c>
      <c r="E353" s="2">
        <f t="shared" si="33"/>
        <v>0</v>
      </c>
      <c r="F353" s="2" t="str">
        <f t="shared" si="37"/>
        <v/>
      </c>
      <c r="H353" s="56" t="s">
        <v>350</v>
      </c>
      <c r="I353" s="28"/>
      <c r="J353" s="29"/>
      <c r="K353" s="29"/>
      <c r="L353" s="30"/>
      <c r="M353" s="30"/>
      <c r="N353" s="36"/>
      <c r="O353" s="32"/>
      <c r="P353" s="33"/>
      <c r="Q353" s="34"/>
      <c r="R353" s="37"/>
      <c r="S353" s="14" t="str">
        <f t="shared" si="34"/>
        <v/>
      </c>
    </row>
    <row r="354" spans="2:19" x14ac:dyDescent="0.2">
      <c r="B354" s="2" t="str">
        <f t="shared" si="35"/>
        <v/>
      </c>
      <c r="C354" s="2" t="str">
        <f t="shared" si="36"/>
        <v/>
      </c>
      <c r="D354" s="2" t="str">
        <f t="shared" si="32"/>
        <v>Y</v>
      </c>
      <c r="E354" s="2">
        <f t="shared" si="33"/>
        <v>0</v>
      </c>
      <c r="F354" s="2" t="str">
        <f t="shared" si="37"/>
        <v/>
      </c>
      <c r="H354" s="56" t="s">
        <v>351</v>
      </c>
      <c r="I354" s="28"/>
      <c r="J354" s="29"/>
      <c r="K354" s="29"/>
      <c r="L354" s="30"/>
      <c r="M354" s="30"/>
      <c r="N354" s="36"/>
      <c r="O354" s="32"/>
      <c r="P354" s="33"/>
      <c r="Q354" s="34"/>
      <c r="R354" s="37"/>
      <c r="S354" s="14" t="str">
        <f t="shared" si="34"/>
        <v/>
      </c>
    </row>
    <row r="355" spans="2:19" x14ac:dyDescent="0.2">
      <c r="B355" s="2" t="str">
        <f t="shared" si="35"/>
        <v/>
      </c>
      <c r="C355" s="2" t="str">
        <f t="shared" si="36"/>
        <v/>
      </c>
      <c r="D355" s="2" t="str">
        <f t="shared" si="32"/>
        <v>Y</v>
      </c>
      <c r="E355" s="2">
        <f t="shared" si="33"/>
        <v>0</v>
      </c>
      <c r="F355" s="2" t="str">
        <f t="shared" si="37"/>
        <v/>
      </c>
      <c r="H355" s="56" t="s">
        <v>352</v>
      </c>
      <c r="I355" s="28"/>
      <c r="J355" s="29"/>
      <c r="K355" s="29"/>
      <c r="L355" s="30"/>
      <c r="M355" s="30"/>
      <c r="N355" s="36"/>
      <c r="O355" s="32"/>
      <c r="P355" s="33"/>
      <c r="Q355" s="34"/>
      <c r="R355" s="37"/>
      <c r="S355" s="14" t="str">
        <f t="shared" si="34"/>
        <v/>
      </c>
    </row>
    <row r="356" spans="2:19" x14ac:dyDescent="0.2">
      <c r="B356" s="2" t="str">
        <f t="shared" si="35"/>
        <v/>
      </c>
      <c r="C356" s="2" t="str">
        <f t="shared" si="36"/>
        <v/>
      </c>
      <c r="D356" s="2" t="str">
        <f t="shared" si="32"/>
        <v>Y</v>
      </c>
      <c r="E356" s="2">
        <f t="shared" si="33"/>
        <v>0</v>
      </c>
      <c r="F356" s="2" t="str">
        <f t="shared" si="37"/>
        <v/>
      </c>
      <c r="H356" s="56" t="s">
        <v>353</v>
      </c>
      <c r="I356" s="28"/>
      <c r="J356" s="29"/>
      <c r="K356" s="29"/>
      <c r="L356" s="30"/>
      <c r="M356" s="30"/>
      <c r="N356" s="36"/>
      <c r="O356" s="32"/>
      <c r="P356" s="33"/>
      <c r="Q356" s="34"/>
      <c r="R356" s="37"/>
      <c r="S356" s="14" t="str">
        <f t="shared" si="34"/>
        <v/>
      </c>
    </row>
    <row r="357" spans="2:19" x14ac:dyDescent="0.2">
      <c r="B357" s="2" t="str">
        <f t="shared" si="35"/>
        <v/>
      </c>
      <c r="C357" s="2" t="str">
        <f t="shared" si="36"/>
        <v/>
      </c>
      <c r="D357" s="2" t="str">
        <f t="shared" si="32"/>
        <v>Y</v>
      </c>
      <c r="E357" s="2">
        <f t="shared" si="33"/>
        <v>0</v>
      </c>
      <c r="F357" s="2" t="str">
        <f t="shared" si="37"/>
        <v/>
      </c>
      <c r="H357" s="56" t="s">
        <v>354</v>
      </c>
      <c r="I357" s="28"/>
      <c r="J357" s="29"/>
      <c r="K357" s="29"/>
      <c r="L357" s="30"/>
      <c r="M357" s="30"/>
      <c r="N357" s="36"/>
      <c r="O357" s="32"/>
      <c r="P357" s="33"/>
      <c r="Q357" s="34"/>
      <c r="R357" s="37"/>
      <c r="S357" s="14" t="str">
        <f t="shared" si="34"/>
        <v/>
      </c>
    </row>
    <row r="358" spans="2:19" x14ac:dyDescent="0.2">
      <c r="B358" s="2" t="str">
        <f t="shared" si="35"/>
        <v/>
      </c>
      <c r="C358" s="2" t="str">
        <f t="shared" si="36"/>
        <v/>
      </c>
      <c r="D358" s="2" t="str">
        <f t="shared" si="32"/>
        <v>Y</v>
      </c>
      <c r="E358" s="2">
        <f t="shared" si="33"/>
        <v>0</v>
      </c>
      <c r="F358" s="2" t="str">
        <f t="shared" si="37"/>
        <v/>
      </c>
      <c r="H358" s="56" t="s">
        <v>355</v>
      </c>
      <c r="I358" s="28"/>
      <c r="J358" s="29"/>
      <c r="K358" s="29"/>
      <c r="L358" s="30"/>
      <c r="M358" s="30"/>
      <c r="N358" s="36"/>
      <c r="O358" s="32"/>
      <c r="P358" s="33"/>
      <c r="Q358" s="34"/>
      <c r="R358" s="37"/>
      <c r="S358" s="14" t="str">
        <f t="shared" si="34"/>
        <v/>
      </c>
    </row>
    <row r="359" spans="2:19" x14ac:dyDescent="0.2">
      <c r="B359" s="2" t="str">
        <f t="shared" si="35"/>
        <v/>
      </c>
      <c r="C359" s="2" t="str">
        <f t="shared" si="36"/>
        <v/>
      </c>
      <c r="D359" s="2" t="str">
        <f t="shared" si="32"/>
        <v>Y</v>
      </c>
      <c r="E359" s="2">
        <f t="shared" si="33"/>
        <v>0</v>
      </c>
      <c r="F359" s="2" t="str">
        <f t="shared" si="37"/>
        <v/>
      </c>
      <c r="H359" s="56" t="s">
        <v>356</v>
      </c>
      <c r="I359" s="28"/>
      <c r="J359" s="29"/>
      <c r="K359" s="29"/>
      <c r="L359" s="30"/>
      <c r="M359" s="30"/>
      <c r="N359" s="36"/>
      <c r="O359" s="32"/>
      <c r="P359" s="33"/>
      <c r="Q359" s="34"/>
      <c r="R359" s="37"/>
      <c r="S359" s="14" t="str">
        <f t="shared" si="34"/>
        <v/>
      </c>
    </row>
    <row r="360" spans="2:19" x14ac:dyDescent="0.2">
      <c r="B360" s="2" t="str">
        <f t="shared" si="35"/>
        <v/>
      </c>
      <c r="C360" s="2" t="str">
        <f t="shared" si="36"/>
        <v/>
      </c>
      <c r="D360" s="2" t="str">
        <f t="shared" si="32"/>
        <v>Y</v>
      </c>
      <c r="E360" s="2">
        <f t="shared" si="33"/>
        <v>0</v>
      </c>
      <c r="F360" s="2" t="str">
        <f t="shared" si="37"/>
        <v/>
      </c>
      <c r="H360" s="56" t="s">
        <v>357</v>
      </c>
      <c r="I360" s="28"/>
      <c r="J360" s="29"/>
      <c r="K360" s="29"/>
      <c r="L360" s="30"/>
      <c r="M360" s="30"/>
      <c r="N360" s="36"/>
      <c r="O360" s="32"/>
      <c r="P360" s="33"/>
      <c r="Q360" s="34"/>
      <c r="R360" s="37"/>
      <c r="S360" s="14" t="str">
        <f t="shared" si="34"/>
        <v/>
      </c>
    </row>
    <row r="361" spans="2:19" x14ac:dyDescent="0.2">
      <c r="B361" s="2" t="str">
        <f t="shared" si="35"/>
        <v/>
      </c>
      <c r="C361" s="2" t="str">
        <f t="shared" si="36"/>
        <v/>
      </c>
      <c r="D361" s="2" t="str">
        <f t="shared" si="32"/>
        <v>Y</v>
      </c>
      <c r="E361" s="2">
        <f t="shared" si="33"/>
        <v>0</v>
      </c>
      <c r="F361" s="2" t="str">
        <f t="shared" si="37"/>
        <v/>
      </c>
      <c r="H361" s="56" t="s">
        <v>358</v>
      </c>
      <c r="I361" s="28"/>
      <c r="J361" s="29"/>
      <c r="K361" s="29"/>
      <c r="L361" s="30"/>
      <c r="M361" s="30"/>
      <c r="N361" s="36"/>
      <c r="O361" s="32"/>
      <c r="P361" s="33"/>
      <c r="Q361" s="34"/>
      <c r="R361" s="37"/>
      <c r="S361" s="14" t="str">
        <f t="shared" si="34"/>
        <v/>
      </c>
    </row>
    <row r="362" spans="2:19" x14ac:dyDescent="0.2">
      <c r="B362" s="2" t="str">
        <f t="shared" si="35"/>
        <v/>
      </c>
      <c r="C362" s="2" t="str">
        <f t="shared" si="36"/>
        <v/>
      </c>
      <c r="D362" s="2" t="str">
        <f t="shared" si="32"/>
        <v>Y</v>
      </c>
      <c r="E362" s="2">
        <f t="shared" si="33"/>
        <v>0</v>
      </c>
      <c r="F362" s="2" t="str">
        <f t="shared" si="37"/>
        <v/>
      </c>
      <c r="H362" s="56" t="s">
        <v>359</v>
      </c>
      <c r="I362" s="28"/>
      <c r="J362" s="29"/>
      <c r="K362" s="29"/>
      <c r="L362" s="30"/>
      <c r="M362" s="30"/>
      <c r="N362" s="36"/>
      <c r="O362" s="32"/>
      <c r="P362" s="33"/>
      <c r="Q362" s="34"/>
      <c r="R362" s="37"/>
      <c r="S362" s="14" t="str">
        <f t="shared" si="34"/>
        <v/>
      </c>
    </row>
    <row r="363" spans="2:19" x14ac:dyDescent="0.2">
      <c r="B363" s="2" t="str">
        <f t="shared" si="35"/>
        <v/>
      </c>
      <c r="C363" s="2" t="str">
        <f t="shared" si="36"/>
        <v/>
      </c>
      <c r="D363" s="2" t="str">
        <f t="shared" si="32"/>
        <v>Y</v>
      </c>
      <c r="E363" s="2">
        <f t="shared" si="33"/>
        <v>0</v>
      </c>
      <c r="F363" s="2" t="str">
        <f t="shared" si="37"/>
        <v/>
      </c>
      <c r="H363" s="56" t="s">
        <v>360</v>
      </c>
      <c r="I363" s="28"/>
      <c r="J363" s="29"/>
      <c r="K363" s="29"/>
      <c r="L363" s="30"/>
      <c r="M363" s="30"/>
      <c r="N363" s="36"/>
      <c r="O363" s="32"/>
      <c r="P363" s="33"/>
      <c r="Q363" s="34"/>
      <c r="R363" s="37"/>
      <c r="S363" s="14" t="str">
        <f t="shared" si="34"/>
        <v/>
      </c>
    </row>
    <row r="364" spans="2:19" x14ac:dyDescent="0.2">
      <c r="B364" s="2" t="str">
        <f t="shared" si="35"/>
        <v/>
      </c>
      <c r="C364" s="2" t="str">
        <f t="shared" si="36"/>
        <v/>
      </c>
      <c r="D364" s="2" t="str">
        <f t="shared" si="32"/>
        <v>Y</v>
      </c>
      <c r="E364" s="2">
        <f t="shared" si="33"/>
        <v>0</v>
      </c>
      <c r="F364" s="2" t="str">
        <f t="shared" si="37"/>
        <v/>
      </c>
      <c r="H364" s="56" t="s">
        <v>361</v>
      </c>
      <c r="I364" s="28"/>
      <c r="J364" s="29"/>
      <c r="K364" s="29"/>
      <c r="L364" s="30"/>
      <c r="M364" s="30"/>
      <c r="N364" s="36"/>
      <c r="O364" s="32"/>
      <c r="P364" s="33"/>
      <c r="Q364" s="34"/>
      <c r="R364" s="37"/>
      <c r="S364" s="14" t="str">
        <f t="shared" si="34"/>
        <v/>
      </c>
    </row>
    <row r="365" spans="2:19" x14ac:dyDescent="0.2">
      <c r="B365" s="2" t="str">
        <f t="shared" si="35"/>
        <v/>
      </c>
      <c r="C365" s="2" t="str">
        <f t="shared" si="36"/>
        <v/>
      </c>
      <c r="D365" s="2" t="str">
        <f t="shared" si="32"/>
        <v>Y</v>
      </c>
      <c r="E365" s="2">
        <f t="shared" si="33"/>
        <v>0</v>
      </c>
      <c r="F365" s="2" t="str">
        <f t="shared" si="37"/>
        <v/>
      </c>
      <c r="H365" s="56" t="s">
        <v>362</v>
      </c>
      <c r="I365" s="28"/>
      <c r="J365" s="29"/>
      <c r="K365" s="29"/>
      <c r="L365" s="30"/>
      <c r="M365" s="30"/>
      <c r="N365" s="36"/>
      <c r="O365" s="32"/>
      <c r="P365" s="33"/>
      <c r="Q365" s="34"/>
      <c r="R365" s="37"/>
      <c r="S365" s="14" t="str">
        <f t="shared" si="34"/>
        <v/>
      </c>
    </row>
    <row r="366" spans="2:19" x14ac:dyDescent="0.2">
      <c r="B366" s="2" t="str">
        <f t="shared" si="35"/>
        <v/>
      </c>
      <c r="C366" s="2" t="str">
        <f t="shared" si="36"/>
        <v/>
      </c>
      <c r="D366" s="2" t="str">
        <f t="shared" si="32"/>
        <v>Y</v>
      </c>
      <c r="E366" s="2">
        <f t="shared" si="33"/>
        <v>0</v>
      </c>
      <c r="F366" s="2" t="str">
        <f t="shared" si="37"/>
        <v/>
      </c>
      <c r="H366" s="56" t="s">
        <v>363</v>
      </c>
      <c r="I366" s="28"/>
      <c r="J366" s="29"/>
      <c r="K366" s="29"/>
      <c r="L366" s="30"/>
      <c r="M366" s="30"/>
      <c r="N366" s="36"/>
      <c r="O366" s="32"/>
      <c r="P366" s="33"/>
      <c r="Q366" s="34"/>
      <c r="R366" s="37"/>
      <c r="S366" s="14" t="str">
        <f t="shared" si="34"/>
        <v/>
      </c>
    </row>
    <row r="367" spans="2:19" x14ac:dyDescent="0.2">
      <c r="B367" s="2" t="str">
        <f t="shared" si="35"/>
        <v/>
      </c>
      <c r="C367" s="2" t="str">
        <f t="shared" si="36"/>
        <v/>
      </c>
      <c r="D367" s="2" t="str">
        <f t="shared" si="32"/>
        <v>Y</v>
      </c>
      <c r="E367" s="2">
        <f t="shared" si="33"/>
        <v>0</v>
      </c>
      <c r="F367" s="2" t="str">
        <f t="shared" si="37"/>
        <v/>
      </c>
      <c r="H367" s="56" t="s">
        <v>364</v>
      </c>
      <c r="I367" s="28"/>
      <c r="J367" s="29"/>
      <c r="K367" s="29"/>
      <c r="L367" s="30"/>
      <c r="M367" s="30"/>
      <c r="N367" s="36"/>
      <c r="O367" s="32"/>
      <c r="P367" s="33"/>
      <c r="Q367" s="34"/>
      <c r="R367" s="37"/>
      <c r="S367" s="14" t="str">
        <f t="shared" si="34"/>
        <v/>
      </c>
    </row>
    <row r="368" spans="2:19" x14ac:dyDescent="0.2">
      <c r="B368" s="2" t="str">
        <f t="shared" si="35"/>
        <v/>
      </c>
      <c r="C368" s="2" t="str">
        <f t="shared" si="36"/>
        <v/>
      </c>
      <c r="D368" s="2" t="str">
        <f t="shared" si="32"/>
        <v>Y</v>
      </c>
      <c r="E368" s="2">
        <f t="shared" si="33"/>
        <v>0</v>
      </c>
      <c r="F368" s="2" t="str">
        <f t="shared" si="37"/>
        <v/>
      </c>
      <c r="H368" s="56" t="s">
        <v>365</v>
      </c>
      <c r="I368" s="28"/>
      <c r="J368" s="29"/>
      <c r="K368" s="29"/>
      <c r="L368" s="30"/>
      <c r="M368" s="30"/>
      <c r="N368" s="36"/>
      <c r="O368" s="32"/>
      <c r="P368" s="33"/>
      <c r="Q368" s="34"/>
      <c r="R368" s="37"/>
      <c r="S368" s="14" t="str">
        <f t="shared" si="34"/>
        <v/>
      </c>
    </row>
    <row r="369" spans="2:19" x14ac:dyDescent="0.2">
      <c r="B369" s="2" t="str">
        <f t="shared" si="35"/>
        <v/>
      </c>
      <c r="C369" s="2" t="str">
        <f t="shared" si="36"/>
        <v/>
      </c>
      <c r="D369" s="2" t="str">
        <f t="shared" si="32"/>
        <v>Y</v>
      </c>
      <c r="E369" s="2">
        <f t="shared" si="33"/>
        <v>0</v>
      </c>
      <c r="F369" s="2" t="str">
        <f t="shared" si="37"/>
        <v/>
      </c>
      <c r="H369" s="56" t="s">
        <v>366</v>
      </c>
      <c r="I369" s="28"/>
      <c r="J369" s="29"/>
      <c r="K369" s="29"/>
      <c r="L369" s="30"/>
      <c r="M369" s="30"/>
      <c r="N369" s="36"/>
      <c r="O369" s="32"/>
      <c r="P369" s="33"/>
      <c r="Q369" s="34"/>
      <c r="R369" s="37"/>
      <c r="S369" s="14" t="str">
        <f t="shared" si="34"/>
        <v/>
      </c>
    </row>
    <row r="370" spans="2:19" x14ac:dyDescent="0.2">
      <c r="B370" s="2" t="str">
        <f t="shared" si="35"/>
        <v/>
      </c>
      <c r="C370" s="2" t="str">
        <f t="shared" si="36"/>
        <v/>
      </c>
      <c r="D370" s="2" t="str">
        <f t="shared" si="32"/>
        <v>Y</v>
      </c>
      <c r="E370" s="2">
        <f t="shared" si="33"/>
        <v>0</v>
      </c>
      <c r="F370" s="2" t="str">
        <f t="shared" si="37"/>
        <v/>
      </c>
      <c r="H370" s="56" t="s">
        <v>367</v>
      </c>
      <c r="I370" s="28"/>
      <c r="J370" s="29"/>
      <c r="K370" s="29"/>
      <c r="L370" s="30"/>
      <c r="M370" s="30"/>
      <c r="N370" s="36"/>
      <c r="O370" s="32"/>
      <c r="P370" s="33"/>
      <c r="Q370" s="34"/>
      <c r="R370" s="37"/>
      <c r="S370" s="14" t="str">
        <f t="shared" si="34"/>
        <v/>
      </c>
    </row>
    <row r="371" spans="2:19" x14ac:dyDescent="0.2">
      <c r="B371" s="2" t="str">
        <f t="shared" si="35"/>
        <v/>
      </c>
      <c r="C371" s="2" t="str">
        <f t="shared" si="36"/>
        <v/>
      </c>
      <c r="D371" s="2" t="str">
        <f t="shared" si="32"/>
        <v>Y</v>
      </c>
      <c r="E371" s="2">
        <f t="shared" si="33"/>
        <v>0</v>
      </c>
      <c r="F371" s="2" t="str">
        <f t="shared" si="37"/>
        <v/>
      </c>
      <c r="H371" s="56" t="s">
        <v>368</v>
      </c>
      <c r="I371" s="28"/>
      <c r="J371" s="29"/>
      <c r="K371" s="29"/>
      <c r="L371" s="30"/>
      <c r="M371" s="30"/>
      <c r="N371" s="36"/>
      <c r="O371" s="32"/>
      <c r="P371" s="33"/>
      <c r="Q371" s="34"/>
      <c r="R371" s="37"/>
      <c r="S371" s="14" t="str">
        <f t="shared" si="34"/>
        <v/>
      </c>
    </row>
    <row r="372" spans="2:19" x14ac:dyDescent="0.2">
      <c r="B372" s="2" t="str">
        <f t="shared" si="35"/>
        <v/>
      </c>
      <c r="C372" s="2" t="str">
        <f t="shared" si="36"/>
        <v/>
      </c>
      <c r="D372" s="2" t="str">
        <f t="shared" si="32"/>
        <v>Y</v>
      </c>
      <c r="E372" s="2">
        <f t="shared" si="33"/>
        <v>0</v>
      </c>
      <c r="F372" s="2" t="str">
        <f t="shared" si="37"/>
        <v/>
      </c>
      <c r="H372" s="56" t="s">
        <v>369</v>
      </c>
      <c r="I372" s="28"/>
      <c r="J372" s="29"/>
      <c r="K372" s="29"/>
      <c r="L372" s="30"/>
      <c r="M372" s="30"/>
      <c r="N372" s="36"/>
      <c r="O372" s="32"/>
      <c r="P372" s="33"/>
      <c r="Q372" s="34"/>
      <c r="R372" s="37"/>
      <c r="S372" s="14" t="str">
        <f t="shared" si="34"/>
        <v/>
      </c>
    </row>
    <row r="373" spans="2:19" x14ac:dyDescent="0.2">
      <c r="B373" s="2" t="str">
        <f t="shared" si="35"/>
        <v/>
      </c>
      <c r="C373" s="2" t="str">
        <f t="shared" si="36"/>
        <v/>
      </c>
      <c r="D373" s="2" t="str">
        <f t="shared" si="32"/>
        <v>Y</v>
      </c>
      <c r="E373" s="2">
        <f t="shared" si="33"/>
        <v>0</v>
      </c>
      <c r="F373" s="2" t="str">
        <f t="shared" si="37"/>
        <v/>
      </c>
      <c r="H373" s="56" t="s">
        <v>370</v>
      </c>
      <c r="I373" s="28"/>
      <c r="J373" s="29"/>
      <c r="K373" s="29"/>
      <c r="L373" s="30"/>
      <c r="M373" s="30"/>
      <c r="N373" s="36"/>
      <c r="O373" s="32"/>
      <c r="P373" s="33"/>
      <c r="Q373" s="34"/>
      <c r="R373" s="37"/>
      <c r="S373" s="14" t="str">
        <f t="shared" si="34"/>
        <v/>
      </c>
    </row>
    <row r="374" spans="2:19" x14ac:dyDescent="0.2">
      <c r="B374" s="2" t="str">
        <f t="shared" si="35"/>
        <v/>
      </c>
      <c r="C374" s="2" t="str">
        <f t="shared" si="36"/>
        <v/>
      </c>
      <c r="D374" s="2" t="str">
        <f t="shared" si="32"/>
        <v>Y</v>
      </c>
      <c r="E374" s="2">
        <f t="shared" si="33"/>
        <v>0</v>
      </c>
      <c r="F374" s="2" t="str">
        <f t="shared" si="37"/>
        <v/>
      </c>
      <c r="H374" s="56" t="s">
        <v>371</v>
      </c>
      <c r="I374" s="28"/>
      <c r="J374" s="29"/>
      <c r="K374" s="29"/>
      <c r="L374" s="30"/>
      <c r="M374" s="30"/>
      <c r="N374" s="36"/>
      <c r="O374" s="32"/>
      <c r="P374" s="33"/>
      <c r="Q374" s="34"/>
      <c r="R374" s="37"/>
      <c r="S374" s="14" t="str">
        <f t="shared" si="34"/>
        <v/>
      </c>
    </row>
    <row r="375" spans="2:19" x14ac:dyDescent="0.2">
      <c r="B375" s="2" t="str">
        <f t="shared" si="35"/>
        <v/>
      </c>
      <c r="C375" s="2" t="str">
        <f t="shared" si="36"/>
        <v/>
      </c>
      <c r="D375" s="2" t="str">
        <f t="shared" si="32"/>
        <v>Y</v>
      </c>
      <c r="E375" s="2">
        <f t="shared" si="33"/>
        <v>0</v>
      </c>
      <c r="F375" s="2" t="str">
        <f t="shared" si="37"/>
        <v/>
      </c>
      <c r="H375" s="56" t="s">
        <v>372</v>
      </c>
      <c r="I375" s="28"/>
      <c r="J375" s="29"/>
      <c r="K375" s="29"/>
      <c r="L375" s="30"/>
      <c r="M375" s="30"/>
      <c r="N375" s="36"/>
      <c r="O375" s="32"/>
      <c r="P375" s="33"/>
      <c r="Q375" s="34"/>
      <c r="R375" s="37"/>
      <c r="S375" s="14" t="str">
        <f t="shared" si="34"/>
        <v/>
      </c>
    </row>
    <row r="376" spans="2:19" x14ac:dyDescent="0.2">
      <c r="B376" s="2" t="str">
        <f t="shared" si="35"/>
        <v/>
      </c>
      <c r="C376" s="2" t="str">
        <f t="shared" si="36"/>
        <v/>
      </c>
      <c r="D376" s="2" t="str">
        <f t="shared" si="32"/>
        <v>Y</v>
      </c>
      <c r="E376" s="2">
        <f t="shared" si="33"/>
        <v>0</v>
      </c>
      <c r="F376" s="2" t="str">
        <f t="shared" si="37"/>
        <v/>
      </c>
      <c r="H376" s="56" t="s">
        <v>373</v>
      </c>
      <c r="I376" s="28"/>
      <c r="J376" s="29"/>
      <c r="K376" s="29"/>
      <c r="L376" s="30"/>
      <c r="M376" s="30"/>
      <c r="N376" s="36"/>
      <c r="O376" s="32"/>
      <c r="P376" s="33"/>
      <c r="Q376" s="34"/>
      <c r="R376" s="37"/>
      <c r="S376" s="14" t="str">
        <f t="shared" si="34"/>
        <v/>
      </c>
    </row>
    <row r="377" spans="2:19" x14ac:dyDescent="0.2">
      <c r="B377" s="2" t="str">
        <f t="shared" si="35"/>
        <v/>
      </c>
      <c r="C377" s="2" t="str">
        <f t="shared" si="36"/>
        <v/>
      </c>
      <c r="D377" s="2" t="str">
        <f t="shared" si="32"/>
        <v>Y</v>
      </c>
      <c r="E377" s="2">
        <f t="shared" si="33"/>
        <v>0</v>
      </c>
      <c r="F377" s="2" t="str">
        <f t="shared" si="37"/>
        <v/>
      </c>
      <c r="H377" s="56" t="s">
        <v>374</v>
      </c>
      <c r="I377" s="28"/>
      <c r="J377" s="29"/>
      <c r="K377" s="29"/>
      <c r="L377" s="30"/>
      <c r="M377" s="30"/>
      <c r="N377" s="36"/>
      <c r="O377" s="32"/>
      <c r="P377" s="33"/>
      <c r="Q377" s="34"/>
      <c r="R377" s="37"/>
      <c r="S377" s="14" t="str">
        <f t="shared" si="34"/>
        <v/>
      </c>
    </row>
    <row r="378" spans="2:19" x14ac:dyDescent="0.2">
      <c r="B378" s="2" t="str">
        <f t="shared" si="35"/>
        <v/>
      </c>
      <c r="C378" s="2" t="str">
        <f t="shared" si="36"/>
        <v/>
      </c>
      <c r="D378" s="2" t="str">
        <f t="shared" si="32"/>
        <v>Y</v>
      </c>
      <c r="E378" s="2">
        <f t="shared" si="33"/>
        <v>0</v>
      </c>
      <c r="F378" s="2" t="str">
        <f t="shared" si="37"/>
        <v/>
      </c>
      <c r="H378" s="56" t="s">
        <v>375</v>
      </c>
      <c r="I378" s="28"/>
      <c r="J378" s="29"/>
      <c r="K378" s="29"/>
      <c r="L378" s="30"/>
      <c r="M378" s="30"/>
      <c r="N378" s="36"/>
      <c r="O378" s="32"/>
      <c r="P378" s="33"/>
      <c r="Q378" s="34"/>
      <c r="R378" s="37"/>
      <c r="S378" s="14" t="str">
        <f t="shared" si="34"/>
        <v/>
      </c>
    </row>
    <row r="379" spans="2:19" x14ac:dyDescent="0.2">
      <c r="B379" s="2" t="str">
        <f t="shared" si="35"/>
        <v/>
      </c>
      <c r="C379" s="2" t="str">
        <f t="shared" si="36"/>
        <v/>
      </c>
      <c r="D379" s="2" t="str">
        <f t="shared" si="32"/>
        <v>Y</v>
      </c>
      <c r="E379" s="2">
        <f t="shared" si="33"/>
        <v>0</v>
      </c>
      <c r="F379" s="2" t="str">
        <f t="shared" si="37"/>
        <v/>
      </c>
      <c r="H379" s="56" t="s">
        <v>376</v>
      </c>
      <c r="I379" s="28"/>
      <c r="J379" s="29"/>
      <c r="K379" s="29"/>
      <c r="L379" s="30"/>
      <c r="M379" s="30"/>
      <c r="N379" s="36"/>
      <c r="O379" s="32"/>
      <c r="P379" s="33"/>
      <c r="Q379" s="34"/>
      <c r="R379" s="37"/>
      <c r="S379" s="14" t="str">
        <f t="shared" si="34"/>
        <v/>
      </c>
    </row>
    <row r="380" spans="2:19" x14ac:dyDescent="0.2">
      <c r="B380" s="2" t="str">
        <f t="shared" si="35"/>
        <v/>
      </c>
      <c r="C380" s="2" t="str">
        <f t="shared" si="36"/>
        <v/>
      </c>
      <c r="D380" s="2" t="str">
        <f t="shared" si="32"/>
        <v>Y</v>
      </c>
      <c r="E380" s="2">
        <f t="shared" si="33"/>
        <v>0</v>
      </c>
      <c r="F380" s="2" t="str">
        <f t="shared" si="37"/>
        <v/>
      </c>
      <c r="H380" s="56" t="s">
        <v>377</v>
      </c>
      <c r="I380" s="28"/>
      <c r="J380" s="29"/>
      <c r="K380" s="29"/>
      <c r="L380" s="30"/>
      <c r="M380" s="30"/>
      <c r="N380" s="36"/>
      <c r="O380" s="32"/>
      <c r="P380" s="33"/>
      <c r="Q380" s="34"/>
      <c r="R380" s="37"/>
      <c r="S380" s="14" t="str">
        <f t="shared" si="34"/>
        <v/>
      </c>
    </row>
    <row r="381" spans="2:19" x14ac:dyDescent="0.2">
      <c r="B381" s="2" t="str">
        <f t="shared" si="35"/>
        <v/>
      </c>
      <c r="C381" s="2" t="str">
        <f t="shared" si="36"/>
        <v/>
      </c>
      <c r="D381" s="2" t="str">
        <f t="shared" si="32"/>
        <v>Y</v>
      </c>
      <c r="E381" s="2">
        <f t="shared" si="33"/>
        <v>0</v>
      </c>
      <c r="F381" s="2" t="str">
        <f t="shared" si="37"/>
        <v/>
      </c>
      <c r="H381" s="56" t="s">
        <v>378</v>
      </c>
      <c r="I381" s="28"/>
      <c r="J381" s="29"/>
      <c r="K381" s="29"/>
      <c r="L381" s="30"/>
      <c r="M381" s="30"/>
      <c r="N381" s="36"/>
      <c r="O381" s="32"/>
      <c r="P381" s="33"/>
      <c r="Q381" s="34"/>
      <c r="R381" s="37"/>
      <c r="S381" s="14" t="str">
        <f t="shared" si="34"/>
        <v/>
      </c>
    </row>
    <row r="382" spans="2:19" x14ac:dyDescent="0.2">
      <c r="B382" s="2" t="str">
        <f t="shared" si="35"/>
        <v/>
      </c>
      <c r="C382" s="2" t="str">
        <f t="shared" si="36"/>
        <v/>
      </c>
      <c r="D382" s="2" t="str">
        <f t="shared" si="32"/>
        <v>Y</v>
      </c>
      <c r="E382" s="2">
        <f t="shared" si="33"/>
        <v>0</v>
      </c>
      <c r="F382" s="2" t="str">
        <f t="shared" si="37"/>
        <v/>
      </c>
      <c r="H382" s="56" t="s">
        <v>379</v>
      </c>
      <c r="I382" s="28"/>
      <c r="J382" s="29"/>
      <c r="K382" s="29"/>
      <c r="L382" s="30"/>
      <c r="M382" s="30"/>
      <c r="N382" s="36"/>
      <c r="O382" s="32"/>
      <c r="P382" s="33"/>
      <c r="Q382" s="34"/>
      <c r="R382" s="37"/>
      <c r="S382" s="14" t="str">
        <f t="shared" si="34"/>
        <v/>
      </c>
    </row>
    <row r="383" spans="2:19" x14ac:dyDescent="0.2">
      <c r="B383" s="2" t="str">
        <f t="shared" si="35"/>
        <v/>
      </c>
      <c r="C383" s="2" t="str">
        <f t="shared" si="36"/>
        <v/>
      </c>
      <c r="D383" s="2" t="str">
        <f t="shared" si="32"/>
        <v>Y</v>
      </c>
      <c r="E383" s="2">
        <f t="shared" si="33"/>
        <v>0</v>
      </c>
      <c r="F383" s="2" t="str">
        <f t="shared" si="37"/>
        <v/>
      </c>
      <c r="H383" s="56" t="s">
        <v>380</v>
      </c>
      <c r="I383" s="28"/>
      <c r="J383" s="29"/>
      <c r="K383" s="29"/>
      <c r="L383" s="30"/>
      <c r="M383" s="30"/>
      <c r="N383" s="36"/>
      <c r="O383" s="32"/>
      <c r="P383" s="33"/>
      <c r="Q383" s="34"/>
      <c r="R383" s="37"/>
      <c r="S383" s="14" t="str">
        <f t="shared" si="34"/>
        <v/>
      </c>
    </row>
    <row r="384" spans="2:19" x14ac:dyDescent="0.2">
      <c r="B384" s="2" t="str">
        <f t="shared" si="35"/>
        <v/>
      </c>
      <c r="C384" s="2" t="str">
        <f t="shared" si="36"/>
        <v/>
      </c>
      <c r="D384" s="2" t="str">
        <f t="shared" si="32"/>
        <v>Y</v>
      </c>
      <c r="E384" s="2">
        <f t="shared" si="33"/>
        <v>0</v>
      </c>
      <c r="F384" s="2" t="str">
        <f t="shared" si="37"/>
        <v/>
      </c>
      <c r="H384" s="56" t="s">
        <v>381</v>
      </c>
      <c r="I384" s="28"/>
      <c r="J384" s="29"/>
      <c r="K384" s="29"/>
      <c r="L384" s="30"/>
      <c r="M384" s="30"/>
      <c r="N384" s="36"/>
      <c r="O384" s="32"/>
      <c r="P384" s="33"/>
      <c r="Q384" s="34"/>
      <c r="R384" s="37"/>
      <c r="S384" s="14" t="str">
        <f t="shared" si="34"/>
        <v/>
      </c>
    </row>
    <row r="385" spans="2:19" x14ac:dyDescent="0.2">
      <c r="B385" s="2" t="str">
        <f t="shared" si="35"/>
        <v/>
      </c>
      <c r="C385" s="2" t="str">
        <f t="shared" si="36"/>
        <v/>
      </c>
      <c r="D385" s="2" t="str">
        <f t="shared" si="32"/>
        <v>Y</v>
      </c>
      <c r="E385" s="2">
        <f t="shared" si="33"/>
        <v>0</v>
      </c>
      <c r="F385" s="2" t="str">
        <f t="shared" si="37"/>
        <v/>
      </c>
      <c r="H385" s="56" t="s">
        <v>382</v>
      </c>
      <c r="I385" s="28"/>
      <c r="J385" s="29"/>
      <c r="K385" s="29"/>
      <c r="L385" s="30"/>
      <c r="M385" s="30"/>
      <c r="N385" s="36"/>
      <c r="O385" s="32"/>
      <c r="P385" s="33"/>
      <c r="Q385" s="34"/>
      <c r="R385" s="37"/>
      <c r="S385" s="14" t="str">
        <f t="shared" si="34"/>
        <v/>
      </c>
    </row>
    <row r="386" spans="2:19" x14ac:dyDescent="0.2">
      <c r="B386" s="2" t="str">
        <f t="shared" si="35"/>
        <v/>
      </c>
      <c r="C386" s="2" t="str">
        <f t="shared" si="36"/>
        <v/>
      </c>
      <c r="D386" s="2" t="str">
        <f t="shared" si="32"/>
        <v>Y</v>
      </c>
      <c r="E386" s="2">
        <f t="shared" si="33"/>
        <v>0</v>
      </c>
      <c r="F386" s="2" t="str">
        <f t="shared" si="37"/>
        <v/>
      </c>
      <c r="H386" s="56" t="s">
        <v>383</v>
      </c>
      <c r="I386" s="28"/>
      <c r="J386" s="29"/>
      <c r="K386" s="29"/>
      <c r="L386" s="30"/>
      <c r="M386" s="30"/>
      <c r="N386" s="36"/>
      <c r="O386" s="32"/>
      <c r="P386" s="33"/>
      <c r="Q386" s="34"/>
      <c r="R386" s="37"/>
      <c r="S386" s="14" t="str">
        <f t="shared" si="34"/>
        <v/>
      </c>
    </row>
    <row r="387" spans="2:19" x14ac:dyDescent="0.2">
      <c r="B387" s="2" t="str">
        <f t="shared" si="35"/>
        <v/>
      </c>
      <c r="C387" s="2" t="str">
        <f t="shared" si="36"/>
        <v/>
      </c>
      <c r="D387" s="2" t="str">
        <f t="shared" si="32"/>
        <v>Y</v>
      </c>
      <c r="E387" s="2">
        <f t="shared" si="33"/>
        <v>0</v>
      </c>
      <c r="F387" s="2" t="str">
        <f t="shared" si="37"/>
        <v/>
      </c>
      <c r="H387" s="56" t="s">
        <v>384</v>
      </c>
      <c r="I387" s="28"/>
      <c r="J387" s="29"/>
      <c r="K387" s="29"/>
      <c r="L387" s="30"/>
      <c r="M387" s="30"/>
      <c r="N387" s="36"/>
      <c r="O387" s="32"/>
      <c r="P387" s="33"/>
      <c r="Q387" s="34"/>
      <c r="R387" s="37"/>
      <c r="S387" s="14" t="str">
        <f t="shared" si="34"/>
        <v/>
      </c>
    </row>
    <row r="388" spans="2:19" x14ac:dyDescent="0.2">
      <c r="B388" s="2" t="str">
        <f t="shared" si="35"/>
        <v/>
      </c>
      <c r="C388" s="2" t="str">
        <f t="shared" si="36"/>
        <v/>
      </c>
      <c r="D388" s="2" t="str">
        <f t="shared" si="32"/>
        <v>Y</v>
      </c>
      <c r="E388" s="2">
        <f t="shared" si="33"/>
        <v>0</v>
      </c>
      <c r="F388" s="2" t="str">
        <f t="shared" si="37"/>
        <v/>
      </c>
      <c r="H388" s="56" t="s">
        <v>385</v>
      </c>
      <c r="I388" s="28"/>
      <c r="J388" s="29"/>
      <c r="K388" s="29"/>
      <c r="L388" s="30"/>
      <c r="M388" s="30"/>
      <c r="N388" s="36"/>
      <c r="O388" s="32"/>
      <c r="P388" s="33"/>
      <c r="Q388" s="34"/>
      <c r="R388" s="37"/>
      <c r="S388" s="14" t="str">
        <f t="shared" si="34"/>
        <v/>
      </c>
    </row>
    <row r="389" spans="2:19" x14ac:dyDescent="0.2">
      <c r="B389" s="2" t="str">
        <f t="shared" si="35"/>
        <v/>
      </c>
      <c r="C389" s="2" t="str">
        <f t="shared" si="36"/>
        <v/>
      </c>
      <c r="D389" s="2" t="str">
        <f t="shared" si="32"/>
        <v>Y</v>
      </c>
      <c r="E389" s="2">
        <f t="shared" si="33"/>
        <v>0</v>
      </c>
      <c r="F389" s="2" t="str">
        <f t="shared" si="37"/>
        <v/>
      </c>
      <c r="H389" s="56" t="s">
        <v>386</v>
      </c>
      <c r="I389" s="28"/>
      <c r="J389" s="29"/>
      <c r="K389" s="29"/>
      <c r="L389" s="30"/>
      <c r="M389" s="30"/>
      <c r="N389" s="36"/>
      <c r="O389" s="32"/>
      <c r="P389" s="33"/>
      <c r="Q389" s="34"/>
      <c r="R389" s="37"/>
      <c r="S389" s="14" t="str">
        <f t="shared" si="34"/>
        <v/>
      </c>
    </row>
    <row r="390" spans="2:19" x14ac:dyDescent="0.2">
      <c r="B390" s="2" t="str">
        <f t="shared" si="35"/>
        <v/>
      </c>
      <c r="C390" s="2" t="str">
        <f t="shared" si="36"/>
        <v/>
      </c>
      <c r="D390" s="2" t="str">
        <f t="shared" si="32"/>
        <v>Y</v>
      </c>
      <c r="E390" s="2">
        <f t="shared" si="33"/>
        <v>0</v>
      </c>
      <c r="F390" s="2" t="str">
        <f t="shared" si="37"/>
        <v/>
      </c>
      <c r="H390" s="56" t="s">
        <v>387</v>
      </c>
      <c r="I390" s="28"/>
      <c r="J390" s="29"/>
      <c r="K390" s="29"/>
      <c r="L390" s="30"/>
      <c r="M390" s="30"/>
      <c r="N390" s="36"/>
      <c r="O390" s="32"/>
      <c r="P390" s="33"/>
      <c r="Q390" s="34"/>
      <c r="R390" s="37"/>
      <c r="S390" s="14" t="str">
        <f t="shared" si="34"/>
        <v/>
      </c>
    </row>
    <row r="391" spans="2:19" x14ac:dyDescent="0.2">
      <c r="B391" s="2" t="str">
        <f t="shared" si="35"/>
        <v/>
      </c>
      <c r="C391" s="2" t="str">
        <f t="shared" si="36"/>
        <v/>
      </c>
      <c r="D391" s="2" t="str">
        <f t="shared" si="32"/>
        <v>Y</v>
      </c>
      <c r="E391" s="2">
        <f t="shared" si="33"/>
        <v>0</v>
      </c>
      <c r="F391" s="2" t="str">
        <f t="shared" si="37"/>
        <v/>
      </c>
      <c r="H391" s="56" t="s">
        <v>388</v>
      </c>
      <c r="I391" s="28"/>
      <c r="J391" s="29"/>
      <c r="K391" s="29"/>
      <c r="L391" s="30"/>
      <c r="M391" s="30"/>
      <c r="N391" s="36"/>
      <c r="O391" s="32"/>
      <c r="P391" s="33"/>
      <c r="Q391" s="34"/>
      <c r="R391" s="37"/>
      <c r="S391" s="14" t="str">
        <f t="shared" si="34"/>
        <v/>
      </c>
    </row>
    <row r="392" spans="2:19" x14ac:dyDescent="0.2">
      <c r="B392" s="2" t="str">
        <f t="shared" si="35"/>
        <v/>
      </c>
      <c r="C392" s="2" t="str">
        <f t="shared" si="36"/>
        <v/>
      </c>
      <c r="D392" s="2" t="str">
        <f t="shared" si="32"/>
        <v>Y</v>
      </c>
      <c r="E392" s="2">
        <f t="shared" si="33"/>
        <v>0</v>
      </c>
      <c r="F392" s="2" t="str">
        <f t="shared" si="37"/>
        <v/>
      </c>
      <c r="H392" s="56" t="s">
        <v>389</v>
      </c>
      <c r="I392" s="28"/>
      <c r="J392" s="29"/>
      <c r="K392" s="29"/>
      <c r="L392" s="30"/>
      <c r="M392" s="30"/>
      <c r="N392" s="36"/>
      <c r="O392" s="32"/>
      <c r="P392" s="33"/>
      <c r="Q392" s="34"/>
      <c r="R392" s="37"/>
      <c r="S392" s="14" t="str">
        <f t="shared" si="34"/>
        <v/>
      </c>
    </row>
    <row r="393" spans="2:19" x14ac:dyDescent="0.2">
      <c r="B393" s="2" t="str">
        <f t="shared" si="35"/>
        <v/>
      </c>
      <c r="C393" s="2" t="str">
        <f t="shared" si="36"/>
        <v/>
      </c>
      <c r="D393" s="2" t="str">
        <f t="shared" si="32"/>
        <v>Y</v>
      </c>
      <c r="E393" s="2">
        <f t="shared" si="33"/>
        <v>0</v>
      </c>
      <c r="F393" s="2" t="str">
        <f t="shared" si="37"/>
        <v/>
      </c>
      <c r="H393" s="56" t="s">
        <v>390</v>
      </c>
      <c r="I393" s="28"/>
      <c r="J393" s="29"/>
      <c r="K393" s="29"/>
      <c r="L393" s="30"/>
      <c r="M393" s="30"/>
      <c r="N393" s="36"/>
      <c r="O393" s="32"/>
      <c r="P393" s="33"/>
      <c r="Q393" s="34"/>
      <c r="R393" s="37"/>
      <c r="S393" s="14" t="str">
        <f t="shared" si="34"/>
        <v/>
      </c>
    </row>
    <row r="394" spans="2:19" x14ac:dyDescent="0.2">
      <c r="B394" s="2" t="str">
        <f t="shared" si="35"/>
        <v/>
      </c>
      <c r="C394" s="2" t="str">
        <f t="shared" si="36"/>
        <v/>
      </c>
      <c r="D394" s="2" t="str">
        <f t="shared" si="32"/>
        <v>Y</v>
      </c>
      <c r="E394" s="2">
        <f t="shared" si="33"/>
        <v>0</v>
      </c>
      <c r="F394" s="2" t="str">
        <f t="shared" si="37"/>
        <v/>
      </c>
      <c r="H394" s="56" t="s">
        <v>391</v>
      </c>
      <c r="I394" s="28"/>
      <c r="J394" s="29"/>
      <c r="K394" s="29"/>
      <c r="L394" s="30"/>
      <c r="M394" s="30"/>
      <c r="N394" s="36"/>
      <c r="O394" s="32"/>
      <c r="P394" s="33"/>
      <c r="Q394" s="34"/>
      <c r="R394" s="37"/>
      <c r="S394" s="14" t="str">
        <f t="shared" si="34"/>
        <v/>
      </c>
    </row>
    <row r="395" spans="2:19" x14ac:dyDescent="0.2">
      <c r="B395" s="2" t="str">
        <f t="shared" si="35"/>
        <v/>
      </c>
      <c r="C395" s="2" t="str">
        <f t="shared" si="36"/>
        <v/>
      </c>
      <c r="D395" s="2" t="str">
        <f t="shared" ref="D395:D458" si="38">IF(OR(P395=Not_started,P395=In_progress),"N",IF(OR(P395=N_A,P395=Suspended,P395=Canceled),"","Y"))</f>
        <v>Y</v>
      </c>
      <c r="E395" s="2">
        <f t="shared" ref="E395:E458" si="39">IF(OR(P395=Not_started,P395=In_progress,P395=Applied,P395=Closed),1,0)</f>
        <v>0</v>
      </c>
      <c r="F395" s="2" t="str">
        <f t="shared" si="37"/>
        <v/>
      </c>
      <c r="H395" s="56" t="s">
        <v>392</v>
      </c>
      <c r="I395" s="28"/>
      <c r="J395" s="29"/>
      <c r="K395" s="29"/>
      <c r="L395" s="30"/>
      <c r="M395" s="30"/>
      <c r="N395" s="36"/>
      <c r="O395" s="32"/>
      <c r="P395" s="33"/>
      <c r="Q395" s="34"/>
      <c r="R395" s="37"/>
      <c r="S395" s="14" t="str">
        <f t="shared" ref="S395:S458" si="40">IF(ISERROR(VLOOKUP(K395,LB_PROJECTS,2,FALSE)),"",VLOOKUP(K395,LB_PROJECTS,2,FALSE))</f>
        <v/>
      </c>
    </row>
    <row r="396" spans="2:19" x14ac:dyDescent="0.2">
      <c r="B396" s="2" t="str">
        <f t="shared" ref="B396:B459" si="41">IF(N396="","",IF(WEEKNUM(N396)&lt;10,VALUE(CONCATENATE(YEAR(N396),"0",WEEKNUM(N396))),VALUE(CONCATENATE(YEAR(N396),WEEKNUM(N396)))))</f>
        <v/>
      </c>
      <c r="C396" s="2" t="str">
        <f t="shared" ref="C396:C459" si="42">IF(Q396="","",IF(WEEKNUM(Q396)&lt;10,VALUE(CONCATENATE(YEAR(Q396),"0",WEEKNUM(Q396))),VALUE(CONCATENATE(YEAR(Q396),WEEKNUM(Q396)))))</f>
        <v/>
      </c>
      <c r="D396" s="2" t="str">
        <f t="shared" si="38"/>
        <v>Y</v>
      </c>
      <c r="E396" s="2">
        <f t="shared" si="39"/>
        <v>0</v>
      </c>
      <c r="F396" s="2" t="str">
        <f t="shared" si="37"/>
        <v/>
      </c>
      <c r="H396" s="56" t="s">
        <v>393</v>
      </c>
      <c r="I396" s="28"/>
      <c r="J396" s="29"/>
      <c r="K396" s="29"/>
      <c r="L396" s="30"/>
      <c r="M396" s="30"/>
      <c r="N396" s="36"/>
      <c r="O396" s="32"/>
      <c r="P396" s="33"/>
      <c r="Q396" s="34"/>
      <c r="R396" s="37"/>
      <c r="S396" s="14" t="str">
        <f t="shared" si="40"/>
        <v/>
      </c>
    </row>
    <row r="397" spans="2:19" x14ac:dyDescent="0.2">
      <c r="B397" s="2" t="str">
        <f t="shared" si="41"/>
        <v/>
      </c>
      <c r="C397" s="2" t="str">
        <f t="shared" si="42"/>
        <v/>
      </c>
      <c r="D397" s="2" t="str">
        <f t="shared" si="38"/>
        <v>Y</v>
      </c>
      <c r="E397" s="2">
        <f t="shared" si="39"/>
        <v>0</v>
      </c>
      <c r="F397" s="2" t="str">
        <f t="shared" si="37"/>
        <v/>
      </c>
      <c r="H397" s="56" t="s">
        <v>394</v>
      </c>
      <c r="I397" s="28"/>
      <c r="J397" s="29"/>
      <c r="K397" s="29"/>
      <c r="L397" s="30"/>
      <c r="M397" s="30"/>
      <c r="N397" s="36"/>
      <c r="O397" s="32"/>
      <c r="P397" s="33"/>
      <c r="Q397" s="34"/>
      <c r="R397" s="37"/>
      <c r="S397" s="14" t="str">
        <f t="shared" si="40"/>
        <v/>
      </c>
    </row>
    <row r="398" spans="2:19" x14ac:dyDescent="0.2">
      <c r="B398" s="2" t="str">
        <f t="shared" si="41"/>
        <v/>
      </c>
      <c r="C398" s="2" t="str">
        <f t="shared" si="42"/>
        <v/>
      </c>
      <c r="D398" s="2" t="str">
        <f t="shared" si="38"/>
        <v>Y</v>
      </c>
      <c r="E398" s="2">
        <f t="shared" si="39"/>
        <v>0</v>
      </c>
      <c r="F398" s="2" t="str">
        <f t="shared" ref="F398:F461" si="43">IF(O398="",B398,IF(WEEKNUM(O398)&lt;10,VALUE(CONCATENATE(YEAR(O398),"0",WEEKNUM(O398))),VALUE(CONCATENATE(YEAR(O398),WEEKNUM(O398)))))</f>
        <v/>
      </c>
      <c r="H398" s="56" t="s">
        <v>395</v>
      </c>
      <c r="I398" s="28"/>
      <c r="J398" s="29"/>
      <c r="K398" s="29"/>
      <c r="L398" s="30"/>
      <c r="M398" s="30"/>
      <c r="N398" s="36"/>
      <c r="O398" s="32"/>
      <c r="P398" s="33"/>
      <c r="Q398" s="34"/>
      <c r="R398" s="37"/>
      <c r="S398" s="14" t="str">
        <f t="shared" si="40"/>
        <v/>
      </c>
    </row>
    <row r="399" spans="2:19" x14ac:dyDescent="0.2">
      <c r="B399" s="2" t="str">
        <f t="shared" si="41"/>
        <v/>
      </c>
      <c r="C399" s="2" t="str">
        <f t="shared" si="42"/>
        <v/>
      </c>
      <c r="D399" s="2" t="str">
        <f t="shared" si="38"/>
        <v>Y</v>
      </c>
      <c r="E399" s="2">
        <f t="shared" si="39"/>
        <v>0</v>
      </c>
      <c r="F399" s="2" t="str">
        <f t="shared" si="43"/>
        <v/>
      </c>
      <c r="H399" s="56" t="s">
        <v>396</v>
      </c>
      <c r="I399" s="28"/>
      <c r="J399" s="29"/>
      <c r="K399" s="29"/>
      <c r="L399" s="30"/>
      <c r="M399" s="30"/>
      <c r="N399" s="36"/>
      <c r="O399" s="32"/>
      <c r="P399" s="33"/>
      <c r="Q399" s="34"/>
      <c r="R399" s="37"/>
      <c r="S399" s="14" t="str">
        <f t="shared" si="40"/>
        <v/>
      </c>
    </row>
    <row r="400" spans="2:19" x14ac:dyDescent="0.2">
      <c r="B400" s="2" t="str">
        <f t="shared" si="41"/>
        <v/>
      </c>
      <c r="C400" s="2" t="str">
        <f t="shared" si="42"/>
        <v/>
      </c>
      <c r="D400" s="2" t="str">
        <f t="shared" si="38"/>
        <v>Y</v>
      </c>
      <c r="E400" s="2">
        <f t="shared" si="39"/>
        <v>0</v>
      </c>
      <c r="F400" s="2" t="str">
        <f t="shared" si="43"/>
        <v/>
      </c>
      <c r="H400" s="56" t="s">
        <v>397</v>
      </c>
      <c r="I400" s="28"/>
      <c r="J400" s="29"/>
      <c r="K400" s="29"/>
      <c r="L400" s="30"/>
      <c r="M400" s="30"/>
      <c r="N400" s="36"/>
      <c r="O400" s="32"/>
      <c r="P400" s="33"/>
      <c r="Q400" s="34"/>
      <c r="R400" s="37"/>
      <c r="S400" s="14" t="str">
        <f t="shared" si="40"/>
        <v/>
      </c>
    </row>
    <row r="401" spans="2:19" x14ac:dyDescent="0.2">
      <c r="B401" s="2" t="str">
        <f t="shared" si="41"/>
        <v/>
      </c>
      <c r="C401" s="2" t="str">
        <f t="shared" si="42"/>
        <v/>
      </c>
      <c r="D401" s="2" t="str">
        <f t="shared" si="38"/>
        <v>Y</v>
      </c>
      <c r="E401" s="2">
        <f t="shared" si="39"/>
        <v>0</v>
      </c>
      <c r="F401" s="2" t="str">
        <f t="shared" si="43"/>
        <v/>
      </c>
      <c r="H401" s="56" t="s">
        <v>398</v>
      </c>
      <c r="I401" s="28"/>
      <c r="J401" s="29"/>
      <c r="K401" s="29"/>
      <c r="L401" s="30"/>
      <c r="M401" s="30"/>
      <c r="N401" s="36"/>
      <c r="O401" s="32"/>
      <c r="P401" s="33"/>
      <c r="Q401" s="34"/>
      <c r="R401" s="37"/>
      <c r="S401" s="14" t="str">
        <f t="shared" si="40"/>
        <v/>
      </c>
    </row>
    <row r="402" spans="2:19" x14ac:dyDescent="0.2">
      <c r="B402" s="2" t="str">
        <f t="shared" si="41"/>
        <v/>
      </c>
      <c r="C402" s="2" t="str">
        <f t="shared" si="42"/>
        <v/>
      </c>
      <c r="D402" s="2" t="str">
        <f t="shared" si="38"/>
        <v>Y</v>
      </c>
      <c r="E402" s="2">
        <f t="shared" si="39"/>
        <v>0</v>
      </c>
      <c r="F402" s="2" t="str">
        <f t="shared" si="43"/>
        <v/>
      </c>
      <c r="H402" s="56" t="s">
        <v>399</v>
      </c>
      <c r="I402" s="28"/>
      <c r="J402" s="29"/>
      <c r="K402" s="29"/>
      <c r="L402" s="30"/>
      <c r="M402" s="30"/>
      <c r="N402" s="36"/>
      <c r="O402" s="32"/>
      <c r="P402" s="33"/>
      <c r="Q402" s="34"/>
      <c r="R402" s="37"/>
      <c r="S402" s="14" t="str">
        <f t="shared" si="40"/>
        <v/>
      </c>
    </row>
    <row r="403" spans="2:19" x14ac:dyDescent="0.2">
      <c r="B403" s="2" t="str">
        <f t="shared" si="41"/>
        <v/>
      </c>
      <c r="C403" s="2" t="str">
        <f t="shared" si="42"/>
        <v/>
      </c>
      <c r="D403" s="2" t="str">
        <f t="shared" si="38"/>
        <v>Y</v>
      </c>
      <c r="E403" s="2">
        <f t="shared" si="39"/>
        <v>0</v>
      </c>
      <c r="F403" s="2" t="str">
        <f t="shared" si="43"/>
        <v/>
      </c>
      <c r="H403" s="56" t="s">
        <v>400</v>
      </c>
      <c r="I403" s="28"/>
      <c r="J403" s="29"/>
      <c r="K403" s="29"/>
      <c r="L403" s="30"/>
      <c r="M403" s="30"/>
      <c r="N403" s="36"/>
      <c r="O403" s="32"/>
      <c r="P403" s="33"/>
      <c r="Q403" s="34"/>
      <c r="R403" s="37"/>
      <c r="S403" s="14" t="str">
        <f t="shared" si="40"/>
        <v/>
      </c>
    </row>
    <row r="404" spans="2:19" x14ac:dyDescent="0.2">
      <c r="B404" s="2" t="str">
        <f t="shared" si="41"/>
        <v/>
      </c>
      <c r="C404" s="2" t="str">
        <f t="shared" si="42"/>
        <v/>
      </c>
      <c r="D404" s="2" t="str">
        <f t="shared" si="38"/>
        <v>Y</v>
      </c>
      <c r="E404" s="2">
        <f t="shared" si="39"/>
        <v>0</v>
      </c>
      <c r="F404" s="2" t="str">
        <f t="shared" si="43"/>
        <v/>
      </c>
      <c r="H404" s="56" t="s">
        <v>401</v>
      </c>
      <c r="I404" s="28"/>
      <c r="J404" s="29"/>
      <c r="K404" s="29"/>
      <c r="L404" s="30"/>
      <c r="M404" s="30"/>
      <c r="N404" s="36"/>
      <c r="O404" s="32"/>
      <c r="P404" s="33"/>
      <c r="Q404" s="34"/>
      <c r="R404" s="37"/>
      <c r="S404" s="14" t="str">
        <f t="shared" si="40"/>
        <v/>
      </c>
    </row>
    <row r="405" spans="2:19" x14ac:dyDescent="0.2">
      <c r="B405" s="2" t="str">
        <f t="shared" si="41"/>
        <v/>
      </c>
      <c r="C405" s="2" t="str">
        <f t="shared" si="42"/>
        <v/>
      </c>
      <c r="D405" s="2" t="str">
        <f t="shared" si="38"/>
        <v>Y</v>
      </c>
      <c r="E405" s="2">
        <f t="shared" si="39"/>
        <v>0</v>
      </c>
      <c r="F405" s="2" t="str">
        <f t="shared" si="43"/>
        <v/>
      </c>
      <c r="H405" s="56" t="s">
        <v>402</v>
      </c>
      <c r="I405" s="28"/>
      <c r="J405" s="29"/>
      <c r="K405" s="29"/>
      <c r="L405" s="30"/>
      <c r="M405" s="30"/>
      <c r="N405" s="36"/>
      <c r="O405" s="32"/>
      <c r="P405" s="33"/>
      <c r="Q405" s="34"/>
      <c r="R405" s="37"/>
      <c r="S405" s="14" t="str">
        <f t="shared" si="40"/>
        <v/>
      </c>
    </row>
    <row r="406" spans="2:19" x14ac:dyDescent="0.2">
      <c r="B406" s="2" t="str">
        <f t="shared" si="41"/>
        <v/>
      </c>
      <c r="C406" s="2" t="str">
        <f t="shared" si="42"/>
        <v/>
      </c>
      <c r="D406" s="2" t="str">
        <f t="shared" si="38"/>
        <v>Y</v>
      </c>
      <c r="E406" s="2">
        <f t="shared" si="39"/>
        <v>0</v>
      </c>
      <c r="F406" s="2" t="str">
        <f t="shared" si="43"/>
        <v/>
      </c>
      <c r="H406" s="56" t="s">
        <v>403</v>
      </c>
      <c r="I406" s="28"/>
      <c r="J406" s="29"/>
      <c r="K406" s="29"/>
      <c r="L406" s="30"/>
      <c r="M406" s="30"/>
      <c r="N406" s="36"/>
      <c r="O406" s="32"/>
      <c r="P406" s="33"/>
      <c r="Q406" s="34"/>
      <c r="R406" s="37"/>
      <c r="S406" s="14" t="str">
        <f t="shared" si="40"/>
        <v/>
      </c>
    </row>
    <row r="407" spans="2:19" x14ac:dyDescent="0.2">
      <c r="B407" s="2" t="str">
        <f t="shared" si="41"/>
        <v/>
      </c>
      <c r="C407" s="2" t="str">
        <f t="shared" si="42"/>
        <v/>
      </c>
      <c r="D407" s="2" t="str">
        <f t="shared" si="38"/>
        <v>Y</v>
      </c>
      <c r="E407" s="2">
        <f t="shared" si="39"/>
        <v>0</v>
      </c>
      <c r="F407" s="2" t="str">
        <f t="shared" si="43"/>
        <v/>
      </c>
      <c r="H407" s="56" t="s">
        <v>404</v>
      </c>
      <c r="I407" s="28"/>
      <c r="J407" s="29"/>
      <c r="K407" s="29"/>
      <c r="L407" s="30"/>
      <c r="M407" s="30"/>
      <c r="N407" s="36"/>
      <c r="O407" s="32"/>
      <c r="P407" s="33"/>
      <c r="Q407" s="34"/>
      <c r="R407" s="37"/>
      <c r="S407" s="14" t="str">
        <f t="shared" si="40"/>
        <v/>
      </c>
    </row>
    <row r="408" spans="2:19" x14ac:dyDescent="0.2">
      <c r="B408" s="2" t="str">
        <f t="shared" si="41"/>
        <v/>
      </c>
      <c r="C408" s="2" t="str">
        <f t="shared" si="42"/>
        <v/>
      </c>
      <c r="D408" s="2" t="str">
        <f t="shared" si="38"/>
        <v>Y</v>
      </c>
      <c r="E408" s="2">
        <f t="shared" si="39"/>
        <v>0</v>
      </c>
      <c r="F408" s="2" t="str">
        <f t="shared" si="43"/>
        <v/>
      </c>
      <c r="H408" s="56" t="s">
        <v>405</v>
      </c>
      <c r="I408" s="28"/>
      <c r="J408" s="29"/>
      <c r="K408" s="29"/>
      <c r="L408" s="30"/>
      <c r="M408" s="30"/>
      <c r="N408" s="36"/>
      <c r="O408" s="32"/>
      <c r="P408" s="33"/>
      <c r="Q408" s="34"/>
      <c r="R408" s="37"/>
      <c r="S408" s="14" t="str">
        <f t="shared" si="40"/>
        <v/>
      </c>
    </row>
    <row r="409" spans="2:19" x14ac:dyDescent="0.2">
      <c r="B409" s="2" t="str">
        <f t="shared" si="41"/>
        <v/>
      </c>
      <c r="C409" s="2" t="str">
        <f t="shared" si="42"/>
        <v/>
      </c>
      <c r="D409" s="2" t="str">
        <f t="shared" si="38"/>
        <v>Y</v>
      </c>
      <c r="E409" s="2">
        <f t="shared" si="39"/>
        <v>0</v>
      </c>
      <c r="F409" s="2" t="str">
        <f t="shared" si="43"/>
        <v/>
      </c>
      <c r="H409" s="56" t="s">
        <v>406</v>
      </c>
      <c r="I409" s="28"/>
      <c r="J409" s="29"/>
      <c r="K409" s="29"/>
      <c r="L409" s="30"/>
      <c r="M409" s="30"/>
      <c r="N409" s="36"/>
      <c r="O409" s="32"/>
      <c r="P409" s="33"/>
      <c r="Q409" s="34"/>
      <c r="R409" s="37"/>
      <c r="S409" s="14" t="str">
        <f t="shared" si="40"/>
        <v/>
      </c>
    </row>
    <row r="410" spans="2:19" x14ac:dyDescent="0.2">
      <c r="B410" s="2" t="str">
        <f t="shared" si="41"/>
        <v/>
      </c>
      <c r="C410" s="2" t="str">
        <f t="shared" si="42"/>
        <v/>
      </c>
      <c r="D410" s="2" t="str">
        <f t="shared" si="38"/>
        <v>Y</v>
      </c>
      <c r="E410" s="2">
        <f t="shared" si="39"/>
        <v>0</v>
      </c>
      <c r="F410" s="2" t="str">
        <f t="shared" si="43"/>
        <v/>
      </c>
      <c r="H410" s="56" t="s">
        <v>407</v>
      </c>
      <c r="I410" s="28"/>
      <c r="J410" s="29"/>
      <c r="K410" s="29"/>
      <c r="L410" s="30"/>
      <c r="M410" s="30"/>
      <c r="N410" s="36"/>
      <c r="O410" s="32"/>
      <c r="P410" s="33"/>
      <c r="Q410" s="34"/>
      <c r="R410" s="37"/>
      <c r="S410" s="14" t="str">
        <f t="shared" si="40"/>
        <v/>
      </c>
    </row>
    <row r="411" spans="2:19" x14ac:dyDescent="0.2">
      <c r="B411" s="2" t="str">
        <f t="shared" si="41"/>
        <v/>
      </c>
      <c r="C411" s="2" t="str">
        <f t="shared" si="42"/>
        <v/>
      </c>
      <c r="D411" s="2" t="str">
        <f t="shared" si="38"/>
        <v>Y</v>
      </c>
      <c r="E411" s="2">
        <f t="shared" si="39"/>
        <v>0</v>
      </c>
      <c r="F411" s="2" t="str">
        <f t="shared" si="43"/>
        <v/>
      </c>
      <c r="H411" s="56" t="s">
        <v>408</v>
      </c>
      <c r="I411" s="28"/>
      <c r="J411" s="29"/>
      <c r="K411" s="29"/>
      <c r="L411" s="30"/>
      <c r="M411" s="30"/>
      <c r="N411" s="36"/>
      <c r="O411" s="32"/>
      <c r="P411" s="33"/>
      <c r="Q411" s="34"/>
      <c r="R411" s="37"/>
      <c r="S411" s="14" t="str">
        <f t="shared" si="40"/>
        <v/>
      </c>
    </row>
    <row r="412" spans="2:19" x14ac:dyDescent="0.2">
      <c r="B412" s="2" t="str">
        <f t="shared" si="41"/>
        <v/>
      </c>
      <c r="C412" s="2" t="str">
        <f t="shared" si="42"/>
        <v/>
      </c>
      <c r="D412" s="2" t="str">
        <f t="shared" si="38"/>
        <v>Y</v>
      </c>
      <c r="E412" s="2">
        <f t="shared" si="39"/>
        <v>0</v>
      </c>
      <c r="F412" s="2" t="str">
        <f t="shared" si="43"/>
        <v/>
      </c>
      <c r="H412" s="56" t="s">
        <v>409</v>
      </c>
      <c r="I412" s="28"/>
      <c r="J412" s="29"/>
      <c r="K412" s="29"/>
      <c r="L412" s="30"/>
      <c r="M412" s="30"/>
      <c r="N412" s="36"/>
      <c r="O412" s="32"/>
      <c r="P412" s="33"/>
      <c r="Q412" s="34"/>
      <c r="R412" s="37"/>
      <c r="S412" s="14" t="str">
        <f t="shared" si="40"/>
        <v/>
      </c>
    </row>
    <row r="413" spans="2:19" x14ac:dyDescent="0.2">
      <c r="B413" s="2" t="str">
        <f t="shared" si="41"/>
        <v/>
      </c>
      <c r="C413" s="2" t="str">
        <f t="shared" si="42"/>
        <v/>
      </c>
      <c r="D413" s="2" t="str">
        <f t="shared" si="38"/>
        <v>Y</v>
      </c>
      <c r="E413" s="2">
        <f t="shared" si="39"/>
        <v>0</v>
      </c>
      <c r="F413" s="2" t="str">
        <f t="shared" si="43"/>
        <v/>
      </c>
      <c r="H413" s="56" t="s">
        <v>410</v>
      </c>
      <c r="I413" s="28"/>
      <c r="J413" s="29"/>
      <c r="K413" s="29"/>
      <c r="L413" s="30"/>
      <c r="M413" s="30"/>
      <c r="N413" s="36"/>
      <c r="O413" s="32"/>
      <c r="P413" s="33"/>
      <c r="Q413" s="34"/>
      <c r="R413" s="37"/>
      <c r="S413" s="14" t="str">
        <f t="shared" si="40"/>
        <v/>
      </c>
    </row>
    <row r="414" spans="2:19" x14ac:dyDescent="0.2">
      <c r="B414" s="2" t="str">
        <f t="shared" si="41"/>
        <v/>
      </c>
      <c r="C414" s="2" t="str">
        <f t="shared" si="42"/>
        <v/>
      </c>
      <c r="D414" s="2" t="str">
        <f t="shared" si="38"/>
        <v>Y</v>
      </c>
      <c r="E414" s="2">
        <f t="shared" si="39"/>
        <v>0</v>
      </c>
      <c r="F414" s="2" t="str">
        <f t="shared" si="43"/>
        <v/>
      </c>
      <c r="H414" s="56" t="s">
        <v>411</v>
      </c>
      <c r="I414" s="28"/>
      <c r="J414" s="29"/>
      <c r="K414" s="29"/>
      <c r="L414" s="30"/>
      <c r="M414" s="30"/>
      <c r="N414" s="36"/>
      <c r="O414" s="32"/>
      <c r="P414" s="33"/>
      <c r="Q414" s="34"/>
      <c r="R414" s="37"/>
      <c r="S414" s="14" t="str">
        <f t="shared" si="40"/>
        <v/>
      </c>
    </row>
    <row r="415" spans="2:19" x14ac:dyDescent="0.2">
      <c r="B415" s="2" t="str">
        <f t="shared" si="41"/>
        <v/>
      </c>
      <c r="C415" s="2" t="str">
        <f t="shared" si="42"/>
        <v/>
      </c>
      <c r="D415" s="2" t="str">
        <f t="shared" si="38"/>
        <v>Y</v>
      </c>
      <c r="E415" s="2">
        <f t="shared" si="39"/>
        <v>0</v>
      </c>
      <c r="F415" s="2" t="str">
        <f t="shared" si="43"/>
        <v/>
      </c>
      <c r="H415" s="56" t="s">
        <v>412</v>
      </c>
      <c r="I415" s="28"/>
      <c r="J415" s="29"/>
      <c r="K415" s="29"/>
      <c r="L415" s="30"/>
      <c r="M415" s="30"/>
      <c r="N415" s="36"/>
      <c r="O415" s="32"/>
      <c r="P415" s="33"/>
      <c r="Q415" s="34"/>
      <c r="R415" s="37"/>
      <c r="S415" s="14" t="str">
        <f t="shared" si="40"/>
        <v/>
      </c>
    </row>
    <row r="416" spans="2:19" x14ac:dyDescent="0.2">
      <c r="B416" s="2" t="str">
        <f t="shared" si="41"/>
        <v/>
      </c>
      <c r="C416" s="2" t="str">
        <f t="shared" si="42"/>
        <v/>
      </c>
      <c r="D416" s="2" t="str">
        <f t="shared" si="38"/>
        <v>Y</v>
      </c>
      <c r="E416" s="2">
        <f t="shared" si="39"/>
        <v>0</v>
      </c>
      <c r="F416" s="2" t="str">
        <f t="shared" si="43"/>
        <v/>
      </c>
      <c r="H416" s="56" t="s">
        <v>413</v>
      </c>
      <c r="I416" s="28"/>
      <c r="J416" s="29"/>
      <c r="K416" s="29"/>
      <c r="L416" s="30"/>
      <c r="M416" s="30"/>
      <c r="N416" s="36"/>
      <c r="O416" s="32"/>
      <c r="P416" s="33"/>
      <c r="Q416" s="34"/>
      <c r="R416" s="37"/>
      <c r="S416" s="14" t="str">
        <f t="shared" si="40"/>
        <v/>
      </c>
    </row>
    <row r="417" spans="2:19" x14ac:dyDescent="0.2">
      <c r="B417" s="2" t="str">
        <f t="shared" si="41"/>
        <v/>
      </c>
      <c r="C417" s="2" t="str">
        <f t="shared" si="42"/>
        <v/>
      </c>
      <c r="D417" s="2" t="str">
        <f t="shared" si="38"/>
        <v>Y</v>
      </c>
      <c r="E417" s="2">
        <f t="shared" si="39"/>
        <v>0</v>
      </c>
      <c r="F417" s="2" t="str">
        <f t="shared" si="43"/>
        <v/>
      </c>
      <c r="H417" s="56" t="s">
        <v>414</v>
      </c>
      <c r="I417" s="28"/>
      <c r="J417" s="29"/>
      <c r="K417" s="29"/>
      <c r="L417" s="30"/>
      <c r="M417" s="30"/>
      <c r="N417" s="36"/>
      <c r="O417" s="32"/>
      <c r="P417" s="33"/>
      <c r="Q417" s="34"/>
      <c r="R417" s="37"/>
      <c r="S417" s="14" t="str">
        <f t="shared" si="40"/>
        <v/>
      </c>
    </row>
    <row r="418" spans="2:19" x14ac:dyDescent="0.2">
      <c r="B418" s="2" t="str">
        <f t="shared" si="41"/>
        <v/>
      </c>
      <c r="C418" s="2" t="str">
        <f t="shared" si="42"/>
        <v/>
      </c>
      <c r="D418" s="2" t="str">
        <f t="shared" si="38"/>
        <v>Y</v>
      </c>
      <c r="E418" s="2">
        <f t="shared" si="39"/>
        <v>0</v>
      </c>
      <c r="F418" s="2" t="str">
        <f t="shared" si="43"/>
        <v/>
      </c>
      <c r="H418" s="56" t="s">
        <v>415</v>
      </c>
      <c r="I418" s="28"/>
      <c r="J418" s="29"/>
      <c r="K418" s="29"/>
      <c r="L418" s="30"/>
      <c r="M418" s="30"/>
      <c r="N418" s="36"/>
      <c r="O418" s="32"/>
      <c r="P418" s="33"/>
      <c r="Q418" s="34"/>
      <c r="R418" s="37"/>
      <c r="S418" s="14" t="str">
        <f t="shared" si="40"/>
        <v/>
      </c>
    </row>
    <row r="419" spans="2:19" x14ac:dyDescent="0.2">
      <c r="B419" s="2" t="str">
        <f t="shared" si="41"/>
        <v/>
      </c>
      <c r="C419" s="2" t="str">
        <f t="shared" si="42"/>
        <v/>
      </c>
      <c r="D419" s="2" t="str">
        <f t="shared" si="38"/>
        <v>Y</v>
      </c>
      <c r="E419" s="2">
        <f t="shared" si="39"/>
        <v>0</v>
      </c>
      <c r="F419" s="2" t="str">
        <f t="shared" si="43"/>
        <v/>
      </c>
      <c r="H419" s="56" t="s">
        <v>416</v>
      </c>
      <c r="I419" s="28"/>
      <c r="J419" s="29"/>
      <c r="K419" s="29"/>
      <c r="L419" s="30"/>
      <c r="M419" s="30"/>
      <c r="N419" s="36"/>
      <c r="O419" s="32"/>
      <c r="P419" s="33"/>
      <c r="Q419" s="34"/>
      <c r="R419" s="37"/>
      <c r="S419" s="14" t="str">
        <f t="shared" si="40"/>
        <v/>
      </c>
    </row>
    <row r="420" spans="2:19" x14ac:dyDescent="0.2">
      <c r="B420" s="2" t="str">
        <f t="shared" si="41"/>
        <v/>
      </c>
      <c r="C420" s="2" t="str">
        <f t="shared" si="42"/>
        <v/>
      </c>
      <c r="D420" s="2" t="str">
        <f t="shared" si="38"/>
        <v>Y</v>
      </c>
      <c r="E420" s="2">
        <f t="shared" si="39"/>
        <v>0</v>
      </c>
      <c r="F420" s="2" t="str">
        <f t="shared" si="43"/>
        <v/>
      </c>
      <c r="H420" s="56" t="s">
        <v>417</v>
      </c>
      <c r="I420" s="28"/>
      <c r="J420" s="29"/>
      <c r="K420" s="29"/>
      <c r="L420" s="30"/>
      <c r="M420" s="30"/>
      <c r="N420" s="36"/>
      <c r="O420" s="32"/>
      <c r="P420" s="33"/>
      <c r="Q420" s="34"/>
      <c r="R420" s="37"/>
      <c r="S420" s="14" t="str">
        <f t="shared" si="40"/>
        <v/>
      </c>
    </row>
    <row r="421" spans="2:19" x14ac:dyDescent="0.2">
      <c r="B421" s="2" t="str">
        <f t="shared" si="41"/>
        <v/>
      </c>
      <c r="C421" s="2" t="str">
        <f t="shared" si="42"/>
        <v/>
      </c>
      <c r="D421" s="2" t="str">
        <f t="shared" si="38"/>
        <v>Y</v>
      </c>
      <c r="E421" s="2">
        <f t="shared" si="39"/>
        <v>0</v>
      </c>
      <c r="F421" s="2" t="str">
        <f t="shared" si="43"/>
        <v/>
      </c>
      <c r="H421" s="56" t="s">
        <v>418</v>
      </c>
      <c r="I421" s="28"/>
      <c r="J421" s="29"/>
      <c r="K421" s="29"/>
      <c r="L421" s="30"/>
      <c r="M421" s="30"/>
      <c r="N421" s="36"/>
      <c r="O421" s="32"/>
      <c r="P421" s="33"/>
      <c r="Q421" s="34"/>
      <c r="R421" s="37"/>
      <c r="S421" s="14" t="str">
        <f t="shared" si="40"/>
        <v/>
      </c>
    </row>
    <row r="422" spans="2:19" x14ac:dyDescent="0.2">
      <c r="B422" s="2" t="str">
        <f t="shared" si="41"/>
        <v/>
      </c>
      <c r="C422" s="2" t="str">
        <f t="shared" si="42"/>
        <v/>
      </c>
      <c r="D422" s="2" t="str">
        <f t="shared" si="38"/>
        <v>Y</v>
      </c>
      <c r="E422" s="2">
        <f t="shared" si="39"/>
        <v>0</v>
      </c>
      <c r="F422" s="2" t="str">
        <f t="shared" si="43"/>
        <v/>
      </c>
      <c r="H422" s="56" t="s">
        <v>419</v>
      </c>
      <c r="I422" s="28"/>
      <c r="J422" s="29"/>
      <c r="K422" s="29"/>
      <c r="L422" s="30"/>
      <c r="M422" s="30"/>
      <c r="N422" s="36"/>
      <c r="O422" s="32"/>
      <c r="P422" s="33"/>
      <c r="Q422" s="34"/>
      <c r="R422" s="37"/>
      <c r="S422" s="14" t="str">
        <f t="shared" si="40"/>
        <v/>
      </c>
    </row>
    <row r="423" spans="2:19" x14ac:dyDescent="0.2">
      <c r="B423" s="2" t="str">
        <f t="shared" si="41"/>
        <v/>
      </c>
      <c r="C423" s="2" t="str">
        <f t="shared" si="42"/>
        <v/>
      </c>
      <c r="D423" s="2" t="str">
        <f t="shared" si="38"/>
        <v>Y</v>
      </c>
      <c r="E423" s="2">
        <f t="shared" si="39"/>
        <v>0</v>
      </c>
      <c r="F423" s="2" t="str">
        <f t="shared" si="43"/>
        <v/>
      </c>
      <c r="H423" s="56" t="s">
        <v>420</v>
      </c>
      <c r="I423" s="28"/>
      <c r="J423" s="29"/>
      <c r="K423" s="29"/>
      <c r="L423" s="30"/>
      <c r="M423" s="30"/>
      <c r="N423" s="36"/>
      <c r="O423" s="32"/>
      <c r="P423" s="33"/>
      <c r="Q423" s="34"/>
      <c r="R423" s="37"/>
      <c r="S423" s="14" t="str">
        <f t="shared" si="40"/>
        <v/>
      </c>
    </row>
    <row r="424" spans="2:19" x14ac:dyDescent="0.2">
      <c r="B424" s="2" t="str">
        <f t="shared" si="41"/>
        <v/>
      </c>
      <c r="C424" s="2" t="str">
        <f t="shared" si="42"/>
        <v/>
      </c>
      <c r="D424" s="2" t="str">
        <f t="shared" si="38"/>
        <v>Y</v>
      </c>
      <c r="E424" s="2">
        <f t="shared" si="39"/>
        <v>0</v>
      </c>
      <c r="F424" s="2" t="str">
        <f t="shared" si="43"/>
        <v/>
      </c>
      <c r="H424" s="56" t="s">
        <v>421</v>
      </c>
      <c r="I424" s="28"/>
      <c r="J424" s="29"/>
      <c r="K424" s="29"/>
      <c r="L424" s="30"/>
      <c r="M424" s="30"/>
      <c r="N424" s="36"/>
      <c r="O424" s="32"/>
      <c r="P424" s="33"/>
      <c r="Q424" s="34"/>
      <c r="R424" s="37"/>
      <c r="S424" s="14" t="str">
        <f t="shared" si="40"/>
        <v/>
      </c>
    </row>
    <row r="425" spans="2:19" x14ac:dyDescent="0.2">
      <c r="B425" s="2" t="str">
        <f t="shared" si="41"/>
        <v/>
      </c>
      <c r="C425" s="2" t="str">
        <f t="shared" si="42"/>
        <v/>
      </c>
      <c r="D425" s="2" t="str">
        <f t="shared" si="38"/>
        <v>Y</v>
      </c>
      <c r="E425" s="2">
        <f t="shared" si="39"/>
        <v>0</v>
      </c>
      <c r="F425" s="2" t="str">
        <f t="shared" si="43"/>
        <v/>
      </c>
      <c r="H425" s="56" t="s">
        <v>422</v>
      </c>
      <c r="I425" s="28"/>
      <c r="J425" s="29"/>
      <c r="K425" s="29"/>
      <c r="L425" s="30"/>
      <c r="M425" s="30"/>
      <c r="N425" s="36"/>
      <c r="O425" s="32"/>
      <c r="P425" s="33"/>
      <c r="Q425" s="34"/>
      <c r="R425" s="37"/>
      <c r="S425" s="14" t="str">
        <f t="shared" si="40"/>
        <v/>
      </c>
    </row>
    <row r="426" spans="2:19" x14ac:dyDescent="0.2">
      <c r="B426" s="2" t="str">
        <f t="shared" si="41"/>
        <v/>
      </c>
      <c r="C426" s="2" t="str">
        <f t="shared" si="42"/>
        <v/>
      </c>
      <c r="D426" s="2" t="str">
        <f t="shared" si="38"/>
        <v>Y</v>
      </c>
      <c r="E426" s="2">
        <f t="shared" si="39"/>
        <v>0</v>
      </c>
      <c r="F426" s="2" t="str">
        <f t="shared" si="43"/>
        <v/>
      </c>
      <c r="H426" s="56" t="s">
        <v>423</v>
      </c>
      <c r="I426" s="28"/>
      <c r="J426" s="29"/>
      <c r="K426" s="29"/>
      <c r="L426" s="30"/>
      <c r="M426" s="30"/>
      <c r="N426" s="36"/>
      <c r="O426" s="32"/>
      <c r="P426" s="33"/>
      <c r="Q426" s="34"/>
      <c r="R426" s="37"/>
      <c r="S426" s="14" t="str">
        <f t="shared" si="40"/>
        <v/>
      </c>
    </row>
    <row r="427" spans="2:19" x14ac:dyDescent="0.2">
      <c r="B427" s="2" t="str">
        <f t="shared" si="41"/>
        <v/>
      </c>
      <c r="C427" s="2" t="str">
        <f t="shared" si="42"/>
        <v/>
      </c>
      <c r="D427" s="2" t="str">
        <f t="shared" si="38"/>
        <v>Y</v>
      </c>
      <c r="E427" s="2">
        <f t="shared" si="39"/>
        <v>0</v>
      </c>
      <c r="F427" s="2" t="str">
        <f t="shared" si="43"/>
        <v/>
      </c>
      <c r="H427" s="56" t="s">
        <v>424</v>
      </c>
      <c r="I427" s="28"/>
      <c r="J427" s="29"/>
      <c r="K427" s="29"/>
      <c r="L427" s="30"/>
      <c r="M427" s="30"/>
      <c r="N427" s="36"/>
      <c r="O427" s="32"/>
      <c r="P427" s="33"/>
      <c r="Q427" s="34"/>
      <c r="R427" s="37"/>
      <c r="S427" s="14" t="str">
        <f t="shared" si="40"/>
        <v/>
      </c>
    </row>
    <row r="428" spans="2:19" x14ac:dyDescent="0.2">
      <c r="B428" s="2" t="str">
        <f t="shared" si="41"/>
        <v/>
      </c>
      <c r="C428" s="2" t="str">
        <f t="shared" si="42"/>
        <v/>
      </c>
      <c r="D428" s="2" t="str">
        <f t="shared" si="38"/>
        <v>Y</v>
      </c>
      <c r="E428" s="2">
        <f t="shared" si="39"/>
        <v>0</v>
      </c>
      <c r="F428" s="2" t="str">
        <f t="shared" si="43"/>
        <v/>
      </c>
      <c r="H428" s="56" t="s">
        <v>425</v>
      </c>
      <c r="I428" s="28"/>
      <c r="J428" s="29"/>
      <c r="K428" s="29"/>
      <c r="L428" s="30"/>
      <c r="M428" s="30"/>
      <c r="N428" s="36"/>
      <c r="O428" s="32"/>
      <c r="P428" s="33"/>
      <c r="Q428" s="34"/>
      <c r="R428" s="37"/>
      <c r="S428" s="14" t="str">
        <f t="shared" si="40"/>
        <v/>
      </c>
    </row>
    <row r="429" spans="2:19" x14ac:dyDescent="0.2">
      <c r="B429" s="2" t="str">
        <f t="shared" si="41"/>
        <v/>
      </c>
      <c r="C429" s="2" t="str">
        <f t="shared" si="42"/>
        <v/>
      </c>
      <c r="D429" s="2" t="str">
        <f t="shared" si="38"/>
        <v>Y</v>
      </c>
      <c r="E429" s="2">
        <f t="shared" si="39"/>
        <v>0</v>
      </c>
      <c r="F429" s="2" t="str">
        <f t="shared" si="43"/>
        <v/>
      </c>
      <c r="H429" s="56" t="s">
        <v>426</v>
      </c>
      <c r="I429" s="28"/>
      <c r="J429" s="29"/>
      <c r="K429" s="29"/>
      <c r="L429" s="30"/>
      <c r="M429" s="30"/>
      <c r="N429" s="36"/>
      <c r="O429" s="32"/>
      <c r="P429" s="33"/>
      <c r="Q429" s="34"/>
      <c r="R429" s="37"/>
      <c r="S429" s="14" t="str">
        <f t="shared" si="40"/>
        <v/>
      </c>
    </row>
    <row r="430" spans="2:19" x14ac:dyDescent="0.2">
      <c r="B430" s="2" t="str">
        <f t="shared" si="41"/>
        <v/>
      </c>
      <c r="C430" s="2" t="str">
        <f t="shared" si="42"/>
        <v/>
      </c>
      <c r="D430" s="2" t="str">
        <f t="shared" si="38"/>
        <v>Y</v>
      </c>
      <c r="E430" s="2">
        <f t="shared" si="39"/>
        <v>0</v>
      </c>
      <c r="F430" s="2" t="str">
        <f t="shared" si="43"/>
        <v/>
      </c>
      <c r="H430" s="56" t="s">
        <v>427</v>
      </c>
      <c r="I430" s="28"/>
      <c r="J430" s="29"/>
      <c r="K430" s="29"/>
      <c r="L430" s="30"/>
      <c r="M430" s="30"/>
      <c r="N430" s="36"/>
      <c r="O430" s="32"/>
      <c r="P430" s="33"/>
      <c r="Q430" s="34"/>
      <c r="R430" s="37"/>
      <c r="S430" s="14" t="str">
        <f t="shared" si="40"/>
        <v/>
      </c>
    </row>
    <row r="431" spans="2:19" x14ac:dyDescent="0.2">
      <c r="B431" s="2" t="str">
        <f t="shared" si="41"/>
        <v/>
      </c>
      <c r="C431" s="2" t="str">
        <f t="shared" si="42"/>
        <v/>
      </c>
      <c r="D431" s="2" t="str">
        <f t="shared" si="38"/>
        <v>Y</v>
      </c>
      <c r="E431" s="2">
        <f t="shared" si="39"/>
        <v>0</v>
      </c>
      <c r="F431" s="2" t="str">
        <f t="shared" si="43"/>
        <v/>
      </c>
      <c r="H431" s="56" t="s">
        <v>428</v>
      </c>
      <c r="I431" s="28"/>
      <c r="J431" s="29"/>
      <c r="K431" s="29"/>
      <c r="L431" s="30"/>
      <c r="M431" s="30"/>
      <c r="N431" s="36"/>
      <c r="O431" s="32"/>
      <c r="P431" s="33"/>
      <c r="Q431" s="34"/>
      <c r="R431" s="37"/>
      <c r="S431" s="14" t="str">
        <f t="shared" si="40"/>
        <v/>
      </c>
    </row>
    <row r="432" spans="2:19" x14ac:dyDescent="0.2">
      <c r="B432" s="2" t="str">
        <f t="shared" si="41"/>
        <v/>
      </c>
      <c r="C432" s="2" t="str">
        <f t="shared" si="42"/>
        <v/>
      </c>
      <c r="D432" s="2" t="str">
        <f t="shared" si="38"/>
        <v>Y</v>
      </c>
      <c r="E432" s="2">
        <f t="shared" si="39"/>
        <v>0</v>
      </c>
      <c r="F432" s="2" t="str">
        <f t="shared" si="43"/>
        <v/>
      </c>
      <c r="H432" s="56" t="s">
        <v>429</v>
      </c>
      <c r="I432" s="28"/>
      <c r="J432" s="29"/>
      <c r="K432" s="29"/>
      <c r="L432" s="30"/>
      <c r="M432" s="30"/>
      <c r="N432" s="36"/>
      <c r="O432" s="32"/>
      <c r="P432" s="33"/>
      <c r="Q432" s="34"/>
      <c r="R432" s="37"/>
      <c r="S432" s="14" t="str">
        <f t="shared" si="40"/>
        <v/>
      </c>
    </row>
    <row r="433" spans="2:19" x14ac:dyDescent="0.2">
      <c r="B433" s="2" t="str">
        <f t="shared" si="41"/>
        <v/>
      </c>
      <c r="C433" s="2" t="str">
        <f t="shared" si="42"/>
        <v/>
      </c>
      <c r="D433" s="2" t="str">
        <f t="shared" si="38"/>
        <v>Y</v>
      </c>
      <c r="E433" s="2">
        <f t="shared" si="39"/>
        <v>0</v>
      </c>
      <c r="F433" s="2" t="str">
        <f t="shared" si="43"/>
        <v/>
      </c>
      <c r="H433" s="56" t="s">
        <v>430</v>
      </c>
      <c r="I433" s="28"/>
      <c r="J433" s="29"/>
      <c r="K433" s="29"/>
      <c r="L433" s="30"/>
      <c r="M433" s="30"/>
      <c r="N433" s="36"/>
      <c r="O433" s="32"/>
      <c r="P433" s="33"/>
      <c r="Q433" s="34"/>
      <c r="R433" s="37"/>
      <c r="S433" s="14" t="str">
        <f t="shared" si="40"/>
        <v/>
      </c>
    </row>
    <row r="434" spans="2:19" x14ac:dyDescent="0.2">
      <c r="B434" s="2" t="str">
        <f t="shared" si="41"/>
        <v/>
      </c>
      <c r="C434" s="2" t="str">
        <f t="shared" si="42"/>
        <v/>
      </c>
      <c r="D434" s="2" t="str">
        <f t="shared" si="38"/>
        <v>Y</v>
      </c>
      <c r="E434" s="2">
        <f t="shared" si="39"/>
        <v>0</v>
      </c>
      <c r="F434" s="2" t="str">
        <f t="shared" si="43"/>
        <v/>
      </c>
      <c r="H434" s="56" t="s">
        <v>431</v>
      </c>
      <c r="I434" s="28"/>
      <c r="J434" s="29"/>
      <c r="K434" s="29"/>
      <c r="L434" s="30"/>
      <c r="M434" s="30"/>
      <c r="N434" s="36"/>
      <c r="O434" s="32"/>
      <c r="P434" s="33"/>
      <c r="Q434" s="34"/>
      <c r="R434" s="37"/>
      <c r="S434" s="14" t="str">
        <f t="shared" si="40"/>
        <v/>
      </c>
    </row>
    <row r="435" spans="2:19" x14ac:dyDescent="0.2">
      <c r="B435" s="2" t="str">
        <f t="shared" si="41"/>
        <v/>
      </c>
      <c r="C435" s="2" t="str">
        <f t="shared" si="42"/>
        <v/>
      </c>
      <c r="D435" s="2" t="str">
        <f t="shared" si="38"/>
        <v>Y</v>
      </c>
      <c r="E435" s="2">
        <f t="shared" si="39"/>
        <v>0</v>
      </c>
      <c r="F435" s="2" t="str">
        <f t="shared" si="43"/>
        <v/>
      </c>
      <c r="H435" s="56" t="s">
        <v>432</v>
      </c>
      <c r="I435" s="28"/>
      <c r="J435" s="29"/>
      <c r="K435" s="29"/>
      <c r="L435" s="30"/>
      <c r="M435" s="30"/>
      <c r="N435" s="36"/>
      <c r="O435" s="32"/>
      <c r="P435" s="33"/>
      <c r="Q435" s="34"/>
      <c r="R435" s="37"/>
      <c r="S435" s="14" t="str">
        <f t="shared" si="40"/>
        <v/>
      </c>
    </row>
    <row r="436" spans="2:19" x14ac:dyDescent="0.2">
      <c r="B436" s="2" t="str">
        <f t="shared" si="41"/>
        <v/>
      </c>
      <c r="C436" s="2" t="str">
        <f t="shared" si="42"/>
        <v/>
      </c>
      <c r="D436" s="2" t="str">
        <f t="shared" si="38"/>
        <v>Y</v>
      </c>
      <c r="E436" s="2">
        <f t="shared" si="39"/>
        <v>0</v>
      </c>
      <c r="F436" s="2" t="str">
        <f t="shared" si="43"/>
        <v/>
      </c>
      <c r="H436" s="56" t="s">
        <v>433</v>
      </c>
      <c r="I436" s="28"/>
      <c r="J436" s="29"/>
      <c r="K436" s="29"/>
      <c r="L436" s="30"/>
      <c r="M436" s="30"/>
      <c r="N436" s="36"/>
      <c r="O436" s="32"/>
      <c r="P436" s="33"/>
      <c r="Q436" s="34"/>
      <c r="R436" s="37"/>
      <c r="S436" s="14" t="str">
        <f t="shared" si="40"/>
        <v/>
      </c>
    </row>
    <row r="437" spans="2:19" x14ac:dyDescent="0.2">
      <c r="B437" s="2" t="str">
        <f t="shared" si="41"/>
        <v/>
      </c>
      <c r="C437" s="2" t="str">
        <f t="shared" si="42"/>
        <v/>
      </c>
      <c r="D437" s="2" t="str">
        <f t="shared" si="38"/>
        <v>Y</v>
      </c>
      <c r="E437" s="2">
        <f t="shared" si="39"/>
        <v>0</v>
      </c>
      <c r="F437" s="2" t="str">
        <f t="shared" si="43"/>
        <v/>
      </c>
      <c r="H437" s="56" t="s">
        <v>434</v>
      </c>
      <c r="I437" s="28"/>
      <c r="J437" s="29"/>
      <c r="K437" s="29"/>
      <c r="L437" s="30"/>
      <c r="M437" s="30"/>
      <c r="N437" s="36"/>
      <c r="O437" s="32"/>
      <c r="P437" s="33"/>
      <c r="Q437" s="34"/>
      <c r="R437" s="37"/>
      <c r="S437" s="14" t="str">
        <f t="shared" si="40"/>
        <v/>
      </c>
    </row>
    <row r="438" spans="2:19" x14ac:dyDescent="0.2">
      <c r="B438" s="2" t="str">
        <f t="shared" si="41"/>
        <v/>
      </c>
      <c r="C438" s="2" t="str">
        <f t="shared" si="42"/>
        <v/>
      </c>
      <c r="D438" s="2" t="str">
        <f t="shared" si="38"/>
        <v>Y</v>
      </c>
      <c r="E438" s="2">
        <f t="shared" si="39"/>
        <v>0</v>
      </c>
      <c r="F438" s="2" t="str">
        <f t="shared" si="43"/>
        <v/>
      </c>
      <c r="H438" s="56" t="s">
        <v>435</v>
      </c>
      <c r="I438" s="28"/>
      <c r="J438" s="29"/>
      <c r="K438" s="29"/>
      <c r="L438" s="30"/>
      <c r="M438" s="30"/>
      <c r="N438" s="36"/>
      <c r="O438" s="32"/>
      <c r="P438" s="33"/>
      <c r="Q438" s="34"/>
      <c r="R438" s="37"/>
      <c r="S438" s="14" t="str">
        <f t="shared" si="40"/>
        <v/>
      </c>
    </row>
    <row r="439" spans="2:19" x14ac:dyDescent="0.2">
      <c r="B439" s="2" t="str">
        <f t="shared" si="41"/>
        <v/>
      </c>
      <c r="C439" s="2" t="str">
        <f t="shared" si="42"/>
        <v/>
      </c>
      <c r="D439" s="2" t="str">
        <f t="shared" si="38"/>
        <v>Y</v>
      </c>
      <c r="E439" s="2">
        <f t="shared" si="39"/>
        <v>0</v>
      </c>
      <c r="F439" s="2" t="str">
        <f t="shared" si="43"/>
        <v/>
      </c>
      <c r="H439" s="56" t="s">
        <v>436</v>
      </c>
      <c r="I439" s="28"/>
      <c r="J439" s="29"/>
      <c r="K439" s="29"/>
      <c r="L439" s="30"/>
      <c r="M439" s="30"/>
      <c r="N439" s="36"/>
      <c r="O439" s="32"/>
      <c r="P439" s="33"/>
      <c r="Q439" s="34"/>
      <c r="R439" s="37"/>
      <c r="S439" s="14" t="str">
        <f t="shared" si="40"/>
        <v/>
      </c>
    </row>
    <row r="440" spans="2:19" x14ac:dyDescent="0.2">
      <c r="B440" s="2" t="str">
        <f t="shared" si="41"/>
        <v/>
      </c>
      <c r="C440" s="2" t="str">
        <f t="shared" si="42"/>
        <v/>
      </c>
      <c r="D440" s="2" t="str">
        <f t="shared" si="38"/>
        <v>Y</v>
      </c>
      <c r="E440" s="2">
        <f t="shared" si="39"/>
        <v>0</v>
      </c>
      <c r="F440" s="2" t="str">
        <f t="shared" si="43"/>
        <v/>
      </c>
      <c r="H440" s="56" t="s">
        <v>437</v>
      </c>
      <c r="I440" s="28"/>
      <c r="J440" s="29"/>
      <c r="K440" s="29"/>
      <c r="L440" s="30"/>
      <c r="M440" s="30"/>
      <c r="N440" s="36"/>
      <c r="O440" s="32"/>
      <c r="P440" s="33"/>
      <c r="Q440" s="34"/>
      <c r="R440" s="37"/>
      <c r="S440" s="14" t="str">
        <f t="shared" si="40"/>
        <v/>
      </c>
    </row>
    <row r="441" spans="2:19" x14ac:dyDescent="0.2">
      <c r="B441" s="2" t="str">
        <f t="shared" si="41"/>
        <v/>
      </c>
      <c r="C441" s="2" t="str">
        <f t="shared" si="42"/>
        <v/>
      </c>
      <c r="D441" s="2" t="str">
        <f t="shared" si="38"/>
        <v>Y</v>
      </c>
      <c r="E441" s="2">
        <f t="shared" si="39"/>
        <v>0</v>
      </c>
      <c r="F441" s="2" t="str">
        <f t="shared" si="43"/>
        <v/>
      </c>
      <c r="H441" s="56" t="s">
        <v>438</v>
      </c>
      <c r="I441" s="28"/>
      <c r="J441" s="29"/>
      <c r="K441" s="29"/>
      <c r="L441" s="30"/>
      <c r="M441" s="30"/>
      <c r="N441" s="36"/>
      <c r="O441" s="32"/>
      <c r="P441" s="33"/>
      <c r="Q441" s="34"/>
      <c r="R441" s="37"/>
      <c r="S441" s="14" t="str">
        <f t="shared" si="40"/>
        <v/>
      </c>
    </row>
    <row r="442" spans="2:19" x14ac:dyDescent="0.2">
      <c r="B442" s="2" t="str">
        <f t="shared" si="41"/>
        <v/>
      </c>
      <c r="C442" s="2" t="str">
        <f t="shared" si="42"/>
        <v/>
      </c>
      <c r="D442" s="2" t="str">
        <f t="shared" si="38"/>
        <v>Y</v>
      </c>
      <c r="E442" s="2">
        <f t="shared" si="39"/>
        <v>0</v>
      </c>
      <c r="F442" s="2" t="str">
        <f t="shared" si="43"/>
        <v/>
      </c>
      <c r="H442" s="56" t="s">
        <v>439</v>
      </c>
      <c r="I442" s="28"/>
      <c r="J442" s="29"/>
      <c r="K442" s="29"/>
      <c r="L442" s="30"/>
      <c r="M442" s="30"/>
      <c r="N442" s="36"/>
      <c r="O442" s="32"/>
      <c r="P442" s="33"/>
      <c r="Q442" s="34"/>
      <c r="R442" s="37"/>
      <c r="S442" s="14" t="str">
        <f t="shared" si="40"/>
        <v/>
      </c>
    </row>
    <row r="443" spans="2:19" x14ac:dyDescent="0.2">
      <c r="B443" s="2" t="str">
        <f t="shared" si="41"/>
        <v/>
      </c>
      <c r="C443" s="2" t="str">
        <f t="shared" si="42"/>
        <v/>
      </c>
      <c r="D443" s="2" t="str">
        <f t="shared" si="38"/>
        <v>Y</v>
      </c>
      <c r="E443" s="2">
        <f t="shared" si="39"/>
        <v>0</v>
      </c>
      <c r="F443" s="2" t="str">
        <f t="shared" si="43"/>
        <v/>
      </c>
      <c r="H443" s="56" t="s">
        <v>440</v>
      </c>
      <c r="I443" s="28"/>
      <c r="J443" s="29"/>
      <c r="K443" s="29"/>
      <c r="L443" s="30"/>
      <c r="M443" s="30"/>
      <c r="N443" s="36"/>
      <c r="O443" s="32"/>
      <c r="P443" s="33"/>
      <c r="Q443" s="34"/>
      <c r="R443" s="37"/>
      <c r="S443" s="14" t="str">
        <f t="shared" si="40"/>
        <v/>
      </c>
    </row>
    <row r="444" spans="2:19" x14ac:dyDescent="0.2">
      <c r="B444" s="2" t="str">
        <f t="shared" si="41"/>
        <v/>
      </c>
      <c r="C444" s="2" t="str">
        <f t="shared" si="42"/>
        <v/>
      </c>
      <c r="D444" s="2" t="str">
        <f t="shared" si="38"/>
        <v>Y</v>
      </c>
      <c r="E444" s="2">
        <f t="shared" si="39"/>
        <v>0</v>
      </c>
      <c r="F444" s="2" t="str">
        <f t="shared" si="43"/>
        <v/>
      </c>
      <c r="H444" s="56" t="s">
        <v>441</v>
      </c>
      <c r="I444" s="28"/>
      <c r="J444" s="29"/>
      <c r="K444" s="29"/>
      <c r="L444" s="30"/>
      <c r="M444" s="30"/>
      <c r="N444" s="36"/>
      <c r="O444" s="32"/>
      <c r="P444" s="33"/>
      <c r="Q444" s="34"/>
      <c r="R444" s="37"/>
      <c r="S444" s="14" t="str">
        <f t="shared" si="40"/>
        <v/>
      </c>
    </row>
    <row r="445" spans="2:19" x14ac:dyDescent="0.2">
      <c r="B445" s="2" t="str">
        <f t="shared" si="41"/>
        <v/>
      </c>
      <c r="C445" s="2" t="str">
        <f t="shared" si="42"/>
        <v/>
      </c>
      <c r="D445" s="2" t="str">
        <f t="shared" si="38"/>
        <v>Y</v>
      </c>
      <c r="E445" s="2">
        <f t="shared" si="39"/>
        <v>0</v>
      </c>
      <c r="F445" s="2" t="str">
        <f t="shared" si="43"/>
        <v/>
      </c>
      <c r="H445" s="56" t="s">
        <v>442</v>
      </c>
      <c r="I445" s="28"/>
      <c r="J445" s="29"/>
      <c r="K445" s="29"/>
      <c r="L445" s="30"/>
      <c r="M445" s="30"/>
      <c r="N445" s="36"/>
      <c r="O445" s="32"/>
      <c r="P445" s="33"/>
      <c r="Q445" s="34"/>
      <c r="R445" s="37"/>
      <c r="S445" s="14" t="str">
        <f t="shared" si="40"/>
        <v/>
      </c>
    </row>
    <row r="446" spans="2:19" x14ac:dyDescent="0.2">
      <c r="B446" s="2" t="str">
        <f t="shared" si="41"/>
        <v/>
      </c>
      <c r="C446" s="2" t="str">
        <f t="shared" si="42"/>
        <v/>
      </c>
      <c r="D446" s="2" t="str">
        <f t="shared" si="38"/>
        <v>Y</v>
      </c>
      <c r="E446" s="2">
        <f t="shared" si="39"/>
        <v>0</v>
      </c>
      <c r="F446" s="2" t="str">
        <f t="shared" si="43"/>
        <v/>
      </c>
      <c r="H446" s="56" t="s">
        <v>443</v>
      </c>
      <c r="I446" s="28"/>
      <c r="J446" s="29"/>
      <c r="K446" s="29"/>
      <c r="L446" s="30"/>
      <c r="M446" s="30"/>
      <c r="N446" s="36"/>
      <c r="O446" s="32"/>
      <c r="P446" s="33"/>
      <c r="Q446" s="34"/>
      <c r="R446" s="37"/>
      <c r="S446" s="14" t="str">
        <f t="shared" si="40"/>
        <v/>
      </c>
    </row>
    <row r="447" spans="2:19" x14ac:dyDescent="0.2">
      <c r="B447" s="2" t="str">
        <f t="shared" si="41"/>
        <v/>
      </c>
      <c r="C447" s="2" t="str">
        <f t="shared" si="42"/>
        <v/>
      </c>
      <c r="D447" s="2" t="str">
        <f t="shared" si="38"/>
        <v>Y</v>
      </c>
      <c r="E447" s="2">
        <f t="shared" si="39"/>
        <v>0</v>
      </c>
      <c r="F447" s="2" t="str">
        <f t="shared" si="43"/>
        <v/>
      </c>
      <c r="H447" s="56" t="s">
        <v>444</v>
      </c>
      <c r="I447" s="28"/>
      <c r="J447" s="29"/>
      <c r="K447" s="29"/>
      <c r="L447" s="30"/>
      <c r="M447" s="30"/>
      <c r="N447" s="36"/>
      <c r="O447" s="32"/>
      <c r="P447" s="33"/>
      <c r="Q447" s="34"/>
      <c r="R447" s="37"/>
      <c r="S447" s="14" t="str">
        <f t="shared" si="40"/>
        <v/>
      </c>
    </row>
    <row r="448" spans="2:19" x14ac:dyDescent="0.2">
      <c r="B448" s="2" t="str">
        <f t="shared" si="41"/>
        <v/>
      </c>
      <c r="C448" s="2" t="str">
        <f t="shared" si="42"/>
        <v/>
      </c>
      <c r="D448" s="2" t="str">
        <f t="shared" si="38"/>
        <v>Y</v>
      </c>
      <c r="E448" s="2">
        <f t="shared" si="39"/>
        <v>0</v>
      </c>
      <c r="F448" s="2" t="str">
        <f t="shared" si="43"/>
        <v/>
      </c>
      <c r="H448" s="56" t="s">
        <v>445</v>
      </c>
      <c r="I448" s="28"/>
      <c r="J448" s="29"/>
      <c r="K448" s="29"/>
      <c r="L448" s="30"/>
      <c r="M448" s="30"/>
      <c r="N448" s="36"/>
      <c r="O448" s="32"/>
      <c r="P448" s="33"/>
      <c r="Q448" s="34"/>
      <c r="R448" s="37"/>
      <c r="S448" s="14" t="str">
        <f t="shared" si="40"/>
        <v/>
      </c>
    </row>
    <row r="449" spans="2:19" x14ac:dyDescent="0.2">
      <c r="B449" s="2" t="str">
        <f t="shared" si="41"/>
        <v/>
      </c>
      <c r="C449" s="2" t="str">
        <f t="shared" si="42"/>
        <v/>
      </c>
      <c r="D449" s="2" t="str">
        <f t="shared" si="38"/>
        <v>Y</v>
      </c>
      <c r="E449" s="2">
        <f t="shared" si="39"/>
        <v>0</v>
      </c>
      <c r="F449" s="2" t="str">
        <f t="shared" si="43"/>
        <v/>
      </c>
      <c r="H449" s="56" t="s">
        <v>446</v>
      </c>
      <c r="I449" s="28"/>
      <c r="J449" s="29"/>
      <c r="K449" s="29"/>
      <c r="L449" s="30"/>
      <c r="M449" s="30"/>
      <c r="N449" s="36"/>
      <c r="O449" s="32"/>
      <c r="P449" s="33"/>
      <c r="Q449" s="34"/>
      <c r="R449" s="37"/>
      <c r="S449" s="14" t="str">
        <f t="shared" si="40"/>
        <v/>
      </c>
    </row>
    <row r="450" spans="2:19" x14ac:dyDescent="0.2">
      <c r="B450" s="2" t="str">
        <f t="shared" si="41"/>
        <v/>
      </c>
      <c r="C450" s="2" t="str">
        <f t="shared" si="42"/>
        <v/>
      </c>
      <c r="D450" s="2" t="str">
        <f t="shared" si="38"/>
        <v>Y</v>
      </c>
      <c r="E450" s="2">
        <f t="shared" si="39"/>
        <v>0</v>
      </c>
      <c r="F450" s="2" t="str">
        <f t="shared" si="43"/>
        <v/>
      </c>
      <c r="H450" s="56" t="s">
        <v>447</v>
      </c>
      <c r="I450" s="28"/>
      <c r="J450" s="29"/>
      <c r="K450" s="29"/>
      <c r="L450" s="30"/>
      <c r="M450" s="30"/>
      <c r="N450" s="36"/>
      <c r="O450" s="32"/>
      <c r="P450" s="33"/>
      <c r="Q450" s="34"/>
      <c r="R450" s="37"/>
      <c r="S450" s="14" t="str">
        <f t="shared" si="40"/>
        <v/>
      </c>
    </row>
    <row r="451" spans="2:19" x14ac:dyDescent="0.2">
      <c r="B451" s="2" t="str">
        <f t="shared" si="41"/>
        <v/>
      </c>
      <c r="C451" s="2" t="str">
        <f t="shared" si="42"/>
        <v/>
      </c>
      <c r="D451" s="2" t="str">
        <f t="shared" si="38"/>
        <v>Y</v>
      </c>
      <c r="E451" s="2">
        <f t="shared" si="39"/>
        <v>0</v>
      </c>
      <c r="F451" s="2" t="str">
        <f t="shared" si="43"/>
        <v/>
      </c>
      <c r="H451" s="56" t="s">
        <v>448</v>
      </c>
      <c r="I451" s="28"/>
      <c r="J451" s="29"/>
      <c r="K451" s="29"/>
      <c r="L451" s="30"/>
      <c r="M451" s="30"/>
      <c r="N451" s="36"/>
      <c r="O451" s="32"/>
      <c r="P451" s="33"/>
      <c r="Q451" s="34"/>
      <c r="R451" s="37"/>
      <c r="S451" s="14" t="str">
        <f t="shared" si="40"/>
        <v/>
      </c>
    </row>
    <row r="452" spans="2:19" x14ac:dyDescent="0.2">
      <c r="B452" s="2" t="str">
        <f t="shared" si="41"/>
        <v/>
      </c>
      <c r="C452" s="2" t="str">
        <f t="shared" si="42"/>
        <v/>
      </c>
      <c r="D452" s="2" t="str">
        <f t="shared" si="38"/>
        <v>Y</v>
      </c>
      <c r="E452" s="2">
        <f t="shared" si="39"/>
        <v>0</v>
      </c>
      <c r="F452" s="2" t="str">
        <f t="shared" si="43"/>
        <v/>
      </c>
      <c r="H452" s="56" t="s">
        <v>449</v>
      </c>
      <c r="I452" s="28"/>
      <c r="J452" s="29"/>
      <c r="K452" s="29"/>
      <c r="L452" s="30"/>
      <c r="M452" s="30"/>
      <c r="N452" s="36"/>
      <c r="O452" s="32"/>
      <c r="P452" s="33"/>
      <c r="Q452" s="34"/>
      <c r="R452" s="37"/>
      <c r="S452" s="14" t="str">
        <f t="shared" si="40"/>
        <v/>
      </c>
    </row>
    <row r="453" spans="2:19" x14ac:dyDescent="0.2">
      <c r="B453" s="2" t="str">
        <f t="shared" si="41"/>
        <v/>
      </c>
      <c r="C453" s="2" t="str">
        <f t="shared" si="42"/>
        <v/>
      </c>
      <c r="D453" s="2" t="str">
        <f t="shared" si="38"/>
        <v>Y</v>
      </c>
      <c r="E453" s="2">
        <f t="shared" si="39"/>
        <v>0</v>
      </c>
      <c r="F453" s="2" t="str">
        <f t="shared" si="43"/>
        <v/>
      </c>
      <c r="H453" s="56" t="s">
        <v>450</v>
      </c>
      <c r="I453" s="28"/>
      <c r="J453" s="29"/>
      <c r="K453" s="29"/>
      <c r="L453" s="30"/>
      <c r="M453" s="30"/>
      <c r="N453" s="36"/>
      <c r="O453" s="32"/>
      <c r="P453" s="33"/>
      <c r="Q453" s="34"/>
      <c r="R453" s="37"/>
      <c r="S453" s="14" t="str">
        <f t="shared" si="40"/>
        <v/>
      </c>
    </row>
    <row r="454" spans="2:19" x14ac:dyDescent="0.2">
      <c r="B454" s="2" t="str">
        <f t="shared" si="41"/>
        <v/>
      </c>
      <c r="C454" s="2" t="str">
        <f t="shared" si="42"/>
        <v/>
      </c>
      <c r="D454" s="2" t="str">
        <f t="shared" si="38"/>
        <v>Y</v>
      </c>
      <c r="E454" s="2">
        <f t="shared" si="39"/>
        <v>0</v>
      </c>
      <c r="F454" s="2" t="str">
        <f t="shared" si="43"/>
        <v/>
      </c>
      <c r="H454" s="56" t="s">
        <v>451</v>
      </c>
      <c r="I454" s="28"/>
      <c r="J454" s="29"/>
      <c r="K454" s="29"/>
      <c r="L454" s="30"/>
      <c r="M454" s="30"/>
      <c r="N454" s="36"/>
      <c r="O454" s="32"/>
      <c r="P454" s="33"/>
      <c r="Q454" s="34"/>
      <c r="R454" s="37"/>
      <c r="S454" s="14" t="str">
        <f t="shared" si="40"/>
        <v/>
      </c>
    </row>
    <row r="455" spans="2:19" x14ac:dyDescent="0.2">
      <c r="B455" s="2" t="str">
        <f t="shared" si="41"/>
        <v/>
      </c>
      <c r="C455" s="2" t="str">
        <f t="shared" si="42"/>
        <v/>
      </c>
      <c r="D455" s="2" t="str">
        <f t="shared" si="38"/>
        <v>Y</v>
      </c>
      <c r="E455" s="2">
        <f t="shared" si="39"/>
        <v>0</v>
      </c>
      <c r="F455" s="2" t="str">
        <f t="shared" si="43"/>
        <v/>
      </c>
      <c r="H455" s="56" t="s">
        <v>452</v>
      </c>
      <c r="I455" s="28"/>
      <c r="J455" s="29"/>
      <c r="K455" s="29"/>
      <c r="L455" s="30"/>
      <c r="M455" s="30"/>
      <c r="N455" s="36"/>
      <c r="O455" s="32"/>
      <c r="P455" s="33"/>
      <c r="Q455" s="34"/>
      <c r="R455" s="37"/>
      <c r="S455" s="14" t="str">
        <f t="shared" si="40"/>
        <v/>
      </c>
    </row>
    <row r="456" spans="2:19" x14ac:dyDescent="0.2">
      <c r="B456" s="2" t="str">
        <f t="shared" si="41"/>
        <v/>
      </c>
      <c r="C456" s="2" t="str">
        <f t="shared" si="42"/>
        <v/>
      </c>
      <c r="D456" s="2" t="str">
        <f t="shared" si="38"/>
        <v>Y</v>
      </c>
      <c r="E456" s="2">
        <f t="shared" si="39"/>
        <v>0</v>
      </c>
      <c r="F456" s="2" t="str">
        <f t="shared" si="43"/>
        <v/>
      </c>
      <c r="H456" s="56" t="s">
        <v>453</v>
      </c>
      <c r="I456" s="28"/>
      <c r="J456" s="29"/>
      <c r="K456" s="29"/>
      <c r="L456" s="30"/>
      <c r="M456" s="30"/>
      <c r="N456" s="36"/>
      <c r="O456" s="32"/>
      <c r="P456" s="33"/>
      <c r="Q456" s="34"/>
      <c r="R456" s="37"/>
      <c r="S456" s="14" t="str">
        <f t="shared" si="40"/>
        <v/>
      </c>
    </row>
    <row r="457" spans="2:19" x14ac:dyDescent="0.2">
      <c r="B457" s="2" t="str">
        <f t="shared" si="41"/>
        <v/>
      </c>
      <c r="C457" s="2" t="str">
        <f t="shared" si="42"/>
        <v/>
      </c>
      <c r="D457" s="2" t="str">
        <f t="shared" si="38"/>
        <v>Y</v>
      </c>
      <c r="E457" s="2">
        <f t="shared" si="39"/>
        <v>0</v>
      </c>
      <c r="F457" s="2" t="str">
        <f t="shared" si="43"/>
        <v/>
      </c>
      <c r="H457" s="56" t="s">
        <v>454</v>
      </c>
      <c r="I457" s="28"/>
      <c r="J457" s="29"/>
      <c r="K457" s="29"/>
      <c r="L457" s="30"/>
      <c r="M457" s="30"/>
      <c r="N457" s="36"/>
      <c r="O457" s="32"/>
      <c r="P457" s="33"/>
      <c r="Q457" s="34"/>
      <c r="R457" s="37"/>
      <c r="S457" s="14" t="str">
        <f t="shared" si="40"/>
        <v/>
      </c>
    </row>
    <row r="458" spans="2:19" x14ac:dyDescent="0.2">
      <c r="B458" s="2" t="str">
        <f t="shared" si="41"/>
        <v/>
      </c>
      <c r="C458" s="2" t="str">
        <f t="shared" si="42"/>
        <v/>
      </c>
      <c r="D458" s="2" t="str">
        <f t="shared" si="38"/>
        <v>Y</v>
      </c>
      <c r="E458" s="2">
        <f t="shared" si="39"/>
        <v>0</v>
      </c>
      <c r="F458" s="2" t="str">
        <f t="shared" si="43"/>
        <v/>
      </c>
      <c r="H458" s="56" t="s">
        <v>455</v>
      </c>
      <c r="I458" s="28"/>
      <c r="J458" s="29"/>
      <c r="K458" s="29"/>
      <c r="L458" s="30"/>
      <c r="M458" s="30"/>
      <c r="N458" s="36"/>
      <c r="O458" s="32"/>
      <c r="P458" s="33"/>
      <c r="Q458" s="34"/>
      <c r="R458" s="37"/>
      <c r="S458" s="14" t="str">
        <f t="shared" si="40"/>
        <v/>
      </c>
    </row>
    <row r="459" spans="2:19" x14ac:dyDescent="0.2">
      <c r="B459" s="2" t="str">
        <f t="shared" si="41"/>
        <v/>
      </c>
      <c r="C459" s="2" t="str">
        <f t="shared" si="42"/>
        <v/>
      </c>
      <c r="D459" s="2" t="str">
        <f t="shared" ref="D459:D522" si="44">IF(OR(P459=Not_started,P459=In_progress),"N",IF(OR(P459=N_A,P459=Suspended,P459=Canceled),"","Y"))</f>
        <v>Y</v>
      </c>
      <c r="E459" s="2">
        <f t="shared" ref="E459:E522" si="45">IF(OR(P459=Not_started,P459=In_progress,P459=Applied,P459=Closed),1,0)</f>
        <v>0</v>
      </c>
      <c r="F459" s="2" t="str">
        <f t="shared" si="43"/>
        <v/>
      </c>
      <c r="H459" s="56" t="s">
        <v>456</v>
      </c>
      <c r="I459" s="28"/>
      <c r="J459" s="29"/>
      <c r="K459" s="29"/>
      <c r="L459" s="30"/>
      <c r="M459" s="30"/>
      <c r="N459" s="36"/>
      <c r="O459" s="32"/>
      <c r="P459" s="33"/>
      <c r="Q459" s="34"/>
      <c r="R459" s="37"/>
      <c r="S459" s="14" t="str">
        <f t="shared" ref="S459:S522" si="46">IF(ISERROR(VLOOKUP(K459,LB_PROJECTS,2,FALSE)),"",VLOOKUP(K459,LB_PROJECTS,2,FALSE))</f>
        <v/>
      </c>
    </row>
    <row r="460" spans="2:19" x14ac:dyDescent="0.2">
      <c r="B460" s="2" t="str">
        <f t="shared" ref="B460:B523" si="47">IF(N460="","",IF(WEEKNUM(N460)&lt;10,VALUE(CONCATENATE(YEAR(N460),"0",WEEKNUM(N460))),VALUE(CONCATENATE(YEAR(N460),WEEKNUM(N460)))))</f>
        <v/>
      </c>
      <c r="C460" s="2" t="str">
        <f t="shared" ref="C460:C523" si="48">IF(Q460="","",IF(WEEKNUM(Q460)&lt;10,VALUE(CONCATENATE(YEAR(Q460),"0",WEEKNUM(Q460))),VALUE(CONCATENATE(YEAR(Q460),WEEKNUM(Q460)))))</f>
        <v/>
      </c>
      <c r="D460" s="2" t="str">
        <f t="shared" si="44"/>
        <v>Y</v>
      </c>
      <c r="E460" s="2">
        <f t="shared" si="45"/>
        <v>0</v>
      </c>
      <c r="F460" s="2" t="str">
        <f t="shared" si="43"/>
        <v/>
      </c>
      <c r="H460" s="56" t="s">
        <v>457</v>
      </c>
      <c r="I460" s="28"/>
      <c r="J460" s="29"/>
      <c r="K460" s="29"/>
      <c r="L460" s="30"/>
      <c r="M460" s="30"/>
      <c r="N460" s="36"/>
      <c r="O460" s="32"/>
      <c r="P460" s="33"/>
      <c r="Q460" s="34"/>
      <c r="R460" s="37"/>
      <c r="S460" s="14" t="str">
        <f t="shared" si="46"/>
        <v/>
      </c>
    </row>
    <row r="461" spans="2:19" x14ac:dyDescent="0.2">
      <c r="B461" s="2" t="str">
        <f t="shared" si="47"/>
        <v/>
      </c>
      <c r="C461" s="2" t="str">
        <f t="shared" si="48"/>
        <v/>
      </c>
      <c r="D461" s="2" t="str">
        <f t="shared" si="44"/>
        <v>Y</v>
      </c>
      <c r="E461" s="2">
        <f t="shared" si="45"/>
        <v>0</v>
      </c>
      <c r="F461" s="2" t="str">
        <f t="shared" si="43"/>
        <v/>
      </c>
      <c r="H461" s="56" t="s">
        <v>458</v>
      </c>
      <c r="I461" s="28"/>
      <c r="J461" s="29"/>
      <c r="K461" s="29"/>
      <c r="L461" s="30"/>
      <c r="M461" s="30"/>
      <c r="N461" s="36"/>
      <c r="O461" s="32"/>
      <c r="P461" s="33"/>
      <c r="Q461" s="34"/>
      <c r="R461" s="37"/>
      <c r="S461" s="14" t="str">
        <f t="shared" si="46"/>
        <v/>
      </c>
    </row>
    <row r="462" spans="2:19" x14ac:dyDescent="0.2">
      <c r="B462" s="2" t="str">
        <f t="shared" si="47"/>
        <v/>
      </c>
      <c r="C462" s="2" t="str">
        <f t="shared" si="48"/>
        <v/>
      </c>
      <c r="D462" s="2" t="str">
        <f t="shared" si="44"/>
        <v>Y</v>
      </c>
      <c r="E462" s="2">
        <f t="shared" si="45"/>
        <v>0</v>
      </c>
      <c r="F462" s="2" t="str">
        <f t="shared" ref="F462:F525" si="49">IF(O462="",B462,IF(WEEKNUM(O462)&lt;10,VALUE(CONCATENATE(YEAR(O462),"0",WEEKNUM(O462))),VALUE(CONCATENATE(YEAR(O462),WEEKNUM(O462)))))</f>
        <v/>
      </c>
      <c r="H462" s="56" t="s">
        <v>459</v>
      </c>
      <c r="I462" s="28"/>
      <c r="J462" s="29"/>
      <c r="K462" s="29"/>
      <c r="L462" s="30"/>
      <c r="M462" s="30"/>
      <c r="N462" s="36"/>
      <c r="O462" s="32"/>
      <c r="P462" s="33"/>
      <c r="Q462" s="34"/>
      <c r="R462" s="37"/>
      <c r="S462" s="14" t="str">
        <f t="shared" si="46"/>
        <v/>
      </c>
    </row>
    <row r="463" spans="2:19" x14ac:dyDescent="0.2">
      <c r="B463" s="2" t="str">
        <f t="shared" si="47"/>
        <v/>
      </c>
      <c r="C463" s="2" t="str">
        <f t="shared" si="48"/>
        <v/>
      </c>
      <c r="D463" s="2" t="str">
        <f t="shared" si="44"/>
        <v>Y</v>
      </c>
      <c r="E463" s="2">
        <f t="shared" si="45"/>
        <v>0</v>
      </c>
      <c r="F463" s="2" t="str">
        <f t="shared" si="49"/>
        <v/>
      </c>
      <c r="H463" s="56" t="s">
        <v>460</v>
      </c>
      <c r="I463" s="28"/>
      <c r="J463" s="29"/>
      <c r="K463" s="29"/>
      <c r="L463" s="30"/>
      <c r="M463" s="30"/>
      <c r="N463" s="36"/>
      <c r="O463" s="32"/>
      <c r="P463" s="33"/>
      <c r="Q463" s="34"/>
      <c r="R463" s="37"/>
      <c r="S463" s="14" t="str">
        <f t="shared" si="46"/>
        <v/>
      </c>
    </row>
    <row r="464" spans="2:19" x14ac:dyDescent="0.2">
      <c r="B464" s="2" t="str">
        <f t="shared" si="47"/>
        <v/>
      </c>
      <c r="C464" s="2" t="str">
        <f t="shared" si="48"/>
        <v/>
      </c>
      <c r="D464" s="2" t="str">
        <f t="shared" si="44"/>
        <v>Y</v>
      </c>
      <c r="E464" s="2">
        <f t="shared" si="45"/>
        <v>0</v>
      </c>
      <c r="F464" s="2" t="str">
        <f t="shared" si="49"/>
        <v/>
      </c>
      <c r="H464" s="56" t="s">
        <v>461</v>
      </c>
      <c r="I464" s="28"/>
      <c r="J464" s="29"/>
      <c r="K464" s="29"/>
      <c r="L464" s="30"/>
      <c r="M464" s="30"/>
      <c r="N464" s="36"/>
      <c r="O464" s="32"/>
      <c r="P464" s="33"/>
      <c r="Q464" s="34"/>
      <c r="R464" s="37"/>
      <c r="S464" s="14" t="str">
        <f t="shared" si="46"/>
        <v/>
      </c>
    </row>
    <row r="465" spans="2:19" x14ac:dyDescent="0.2">
      <c r="B465" s="2" t="str">
        <f t="shared" si="47"/>
        <v/>
      </c>
      <c r="C465" s="2" t="str">
        <f t="shared" si="48"/>
        <v/>
      </c>
      <c r="D465" s="2" t="str">
        <f t="shared" si="44"/>
        <v>Y</v>
      </c>
      <c r="E465" s="2">
        <f t="shared" si="45"/>
        <v>0</v>
      </c>
      <c r="F465" s="2" t="str">
        <f t="shared" si="49"/>
        <v/>
      </c>
      <c r="H465" s="56" t="s">
        <v>462</v>
      </c>
      <c r="I465" s="28"/>
      <c r="J465" s="29"/>
      <c r="K465" s="29"/>
      <c r="L465" s="30"/>
      <c r="M465" s="30"/>
      <c r="N465" s="36"/>
      <c r="O465" s="32"/>
      <c r="P465" s="33"/>
      <c r="Q465" s="34"/>
      <c r="R465" s="37"/>
      <c r="S465" s="14" t="str">
        <f t="shared" si="46"/>
        <v/>
      </c>
    </row>
    <row r="466" spans="2:19" x14ac:dyDescent="0.2">
      <c r="B466" s="2" t="str">
        <f t="shared" si="47"/>
        <v/>
      </c>
      <c r="C466" s="2" t="str">
        <f t="shared" si="48"/>
        <v/>
      </c>
      <c r="D466" s="2" t="str">
        <f t="shared" si="44"/>
        <v>Y</v>
      </c>
      <c r="E466" s="2">
        <f t="shared" si="45"/>
        <v>0</v>
      </c>
      <c r="F466" s="2" t="str">
        <f t="shared" si="49"/>
        <v/>
      </c>
      <c r="H466" s="56" t="s">
        <v>463</v>
      </c>
      <c r="I466" s="28"/>
      <c r="J466" s="29"/>
      <c r="K466" s="29"/>
      <c r="L466" s="30"/>
      <c r="M466" s="30"/>
      <c r="N466" s="36"/>
      <c r="O466" s="32"/>
      <c r="P466" s="33"/>
      <c r="Q466" s="34"/>
      <c r="R466" s="37"/>
      <c r="S466" s="14" t="str">
        <f t="shared" si="46"/>
        <v/>
      </c>
    </row>
    <row r="467" spans="2:19" x14ac:dyDescent="0.2">
      <c r="B467" s="2" t="str">
        <f t="shared" si="47"/>
        <v/>
      </c>
      <c r="C467" s="2" t="str">
        <f t="shared" si="48"/>
        <v/>
      </c>
      <c r="D467" s="2" t="str">
        <f t="shared" si="44"/>
        <v>Y</v>
      </c>
      <c r="E467" s="2">
        <f t="shared" si="45"/>
        <v>0</v>
      </c>
      <c r="F467" s="2" t="str">
        <f t="shared" si="49"/>
        <v/>
      </c>
      <c r="H467" s="56" t="s">
        <v>464</v>
      </c>
      <c r="I467" s="28"/>
      <c r="J467" s="29"/>
      <c r="K467" s="29"/>
      <c r="L467" s="30"/>
      <c r="M467" s="30"/>
      <c r="N467" s="36"/>
      <c r="O467" s="32"/>
      <c r="P467" s="33"/>
      <c r="Q467" s="34"/>
      <c r="R467" s="37"/>
      <c r="S467" s="14" t="str">
        <f t="shared" si="46"/>
        <v/>
      </c>
    </row>
    <row r="468" spans="2:19" x14ac:dyDescent="0.2">
      <c r="B468" s="2" t="str">
        <f t="shared" si="47"/>
        <v/>
      </c>
      <c r="C468" s="2" t="str">
        <f t="shared" si="48"/>
        <v/>
      </c>
      <c r="D468" s="2" t="str">
        <f t="shared" si="44"/>
        <v>Y</v>
      </c>
      <c r="E468" s="2">
        <f t="shared" si="45"/>
        <v>0</v>
      </c>
      <c r="F468" s="2" t="str">
        <f t="shared" si="49"/>
        <v/>
      </c>
      <c r="H468" s="56" t="s">
        <v>465</v>
      </c>
      <c r="I468" s="28"/>
      <c r="J468" s="29"/>
      <c r="K468" s="29"/>
      <c r="L468" s="30"/>
      <c r="M468" s="30"/>
      <c r="N468" s="36"/>
      <c r="O468" s="32"/>
      <c r="P468" s="33"/>
      <c r="Q468" s="34"/>
      <c r="R468" s="37"/>
      <c r="S468" s="14" t="str">
        <f t="shared" si="46"/>
        <v/>
      </c>
    </row>
    <row r="469" spans="2:19" x14ac:dyDescent="0.2">
      <c r="B469" s="2" t="str">
        <f t="shared" si="47"/>
        <v/>
      </c>
      <c r="C469" s="2" t="str">
        <f t="shared" si="48"/>
        <v/>
      </c>
      <c r="D469" s="2" t="str">
        <f t="shared" si="44"/>
        <v>Y</v>
      </c>
      <c r="E469" s="2">
        <f t="shared" si="45"/>
        <v>0</v>
      </c>
      <c r="F469" s="2" t="str">
        <f t="shared" si="49"/>
        <v/>
      </c>
      <c r="H469" s="56" t="s">
        <v>466</v>
      </c>
      <c r="I469" s="28"/>
      <c r="J469" s="29"/>
      <c r="K469" s="29"/>
      <c r="L469" s="30"/>
      <c r="M469" s="30"/>
      <c r="N469" s="36"/>
      <c r="O469" s="32"/>
      <c r="P469" s="33"/>
      <c r="Q469" s="34"/>
      <c r="R469" s="37"/>
      <c r="S469" s="14" t="str">
        <f t="shared" si="46"/>
        <v/>
      </c>
    </row>
    <row r="470" spans="2:19" x14ac:dyDescent="0.2">
      <c r="B470" s="2" t="str">
        <f t="shared" si="47"/>
        <v/>
      </c>
      <c r="C470" s="2" t="str">
        <f t="shared" si="48"/>
        <v/>
      </c>
      <c r="D470" s="2" t="str">
        <f t="shared" si="44"/>
        <v>Y</v>
      </c>
      <c r="E470" s="2">
        <f t="shared" si="45"/>
        <v>0</v>
      </c>
      <c r="F470" s="2" t="str">
        <f t="shared" si="49"/>
        <v/>
      </c>
      <c r="H470" s="56" t="s">
        <v>467</v>
      </c>
      <c r="I470" s="28"/>
      <c r="J470" s="29"/>
      <c r="K470" s="29"/>
      <c r="L470" s="30"/>
      <c r="M470" s="30"/>
      <c r="N470" s="36"/>
      <c r="O470" s="32"/>
      <c r="P470" s="33"/>
      <c r="Q470" s="34"/>
      <c r="R470" s="37"/>
      <c r="S470" s="14" t="str">
        <f t="shared" si="46"/>
        <v/>
      </c>
    </row>
    <row r="471" spans="2:19" x14ac:dyDescent="0.2">
      <c r="B471" s="2" t="str">
        <f t="shared" si="47"/>
        <v/>
      </c>
      <c r="C471" s="2" t="str">
        <f t="shared" si="48"/>
        <v/>
      </c>
      <c r="D471" s="2" t="str">
        <f t="shared" si="44"/>
        <v>Y</v>
      </c>
      <c r="E471" s="2">
        <f t="shared" si="45"/>
        <v>0</v>
      </c>
      <c r="F471" s="2" t="str">
        <f t="shared" si="49"/>
        <v/>
      </c>
      <c r="H471" s="56" t="s">
        <v>468</v>
      </c>
      <c r="I471" s="28"/>
      <c r="J471" s="29"/>
      <c r="K471" s="29"/>
      <c r="L471" s="30"/>
      <c r="M471" s="30"/>
      <c r="N471" s="36"/>
      <c r="O471" s="32"/>
      <c r="P471" s="33"/>
      <c r="Q471" s="34"/>
      <c r="R471" s="37"/>
      <c r="S471" s="14" t="str">
        <f t="shared" si="46"/>
        <v/>
      </c>
    </row>
    <row r="472" spans="2:19" x14ac:dyDescent="0.2">
      <c r="B472" s="2" t="str">
        <f t="shared" si="47"/>
        <v/>
      </c>
      <c r="C472" s="2" t="str">
        <f t="shared" si="48"/>
        <v/>
      </c>
      <c r="D472" s="2" t="str">
        <f t="shared" si="44"/>
        <v>Y</v>
      </c>
      <c r="E472" s="2">
        <f t="shared" si="45"/>
        <v>0</v>
      </c>
      <c r="F472" s="2" t="str">
        <f t="shared" si="49"/>
        <v/>
      </c>
      <c r="H472" s="56" t="s">
        <v>469</v>
      </c>
      <c r="I472" s="28"/>
      <c r="J472" s="29"/>
      <c r="K472" s="29"/>
      <c r="L472" s="30"/>
      <c r="M472" s="30"/>
      <c r="N472" s="36"/>
      <c r="O472" s="32"/>
      <c r="P472" s="33"/>
      <c r="Q472" s="34"/>
      <c r="R472" s="37"/>
      <c r="S472" s="14" t="str">
        <f t="shared" si="46"/>
        <v/>
      </c>
    </row>
    <row r="473" spans="2:19" x14ac:dyDescent="0.2">
      <c r="B473" s="2" t="str">
        <f t="shared" si="47"/>
        <v/>
      </c>
      <c r="C473" s="2" t="str">
        <f t="shared" si="48"/>
        <v/>
      </c>
      <c r="D473" s="2" t="str">
        <f t="shared" si="44"/>
        <v>Y</v>
      </c>
      <c r="E473" s="2">
        <f t="shared" si="45"/>
        <v>0</v>
      </c>
      <c r="F473" s="2" t="str">
        <f t="shared" si="49"/>
        <v/>
      </c>
      <c r="H473" s="56" t="s">
        <v>470</v>
      </c>
      <c r="I473" s="28"/>
      <c r="J473" s="29"/>
      <c r="K473" s="29"/>
      <c r="L473" s="30"/>
      <c r="M473" s="30"/>
      <c r="N473" s="36"/>
      <c r="O473" s="32"/>
      <c r="P473" s="33"/>
      <c r="Q473" s="34"/>
      <c r="R473" s="37"/>
      <c r="S473" s="14" t="str">
        <f t="shared" si="46"/>
        <v/>
      </c>
    </row>
    <row r="474" spans="2:19" x14ac:dyDescent="0.2">
      <c r="B474" s="2" t="str">
        <f t="shared" si="47"/>
        <v/>
      </c>
      <c r="C474" s="2" t="str">
        <f t="shared" si="48"/>
        <v/>
      </c>
      <c r="D474" s="2" t="str">
        <f t="shared" si="44"/>
        <v>Y</v>
      </c>
      <c r="E474" s="2">
        <f t="shared" si="45"/>
        <v>0</v>
      </c>
      <c r="F474" s="2" t="str">
        <f t="shared" si="49"/>
        <v/>
      </c>
      <c r="H474" s="56" t="s">
        <v>471</v>
      </c>
      <c r="I474" s="28"/>
      <c r="J474" s="29"/>
      <c r="K474" s="29"/>
      <c r="L474" s="30"/>
      <c r="M474" s="30"/>
      <c r="N474" s="36"/>
      <c r="O474" s="32"/>
      <c r="P474" s="33"/>
      <c r="Q474" s="34"/>
      <c r="R474" s="37"/>
      <c r="S474" s="14" t="str">
        <f t="shared" si="46"/>
        <v/>
      </c>
    </row>
    <row r="475" spans="2:19" x14ac:dyDescent="0.2">
      <c r="B475" s="2" t="str">
        <f t="shared" si="47"/>
        <v/>
      </c>
      <c r="C475" s="2" t="str">
        <f t="shared" si="48"/>
        <v/>
      </c>
      <c r="D475" s="2" t="str">
        <f t="shared" si="44"/>
        <v>Y</v>
      </c>
      <c r="E475" s="2">
        <f t="shared" si="45"/>
        <v>0</v>
      </c>
      <c r="F475" s="2" t="str">
        <f t="shared" si="49"/>
        <v/>
      </c>
      <c r="H475" s="56" t="s">
        <v>472</v>
      </c>
      <c r="I475" s="28"/>
      <c r="J475" s="29"/>
      <c r="K475" s="29"/>
      <c r="L475" s="30"/>
      <c r="M475" s="30"/>
      <c r="N475" s="36"/>
      <c r="O475" s="32"/>
      <c r="P475" s="33"/>
      <c r="Q475" s="34"/>
      <c r="R475" s="37"/>
      <c r="S475" s="14" t="str">
        <f t="shared" si="46"/>
        <v/>
      </c>
    </row>
    <row r="476" spans="2:19" x14ac:dyDescent="0.2">
      <c r="B476" s="2" t="str">
        <f t="shared" si="47"/>
        <v/>
      </c>
      <c r="C476" s="2" t="str">
        <f t="shared" si="48"/>
        <v/>
      </c>
      <c r="D476" s="2" t="str">
        <f t="shared" si="44"/>
        <v>Y</v>
      </c>
      <c r="E476" s="2">
        <f t="shared" si="45"/>
        <v>0</v>
      </c>
      <c r="F476" s="2" t="str">
        <f t="shared" si="49"/>
        <v/>
      </c>
      <c r="H476" s="56" t="s">
        <v>473</v>
      </c>
      <c r="I476" s="28"/>
      <c r="J476" s="29"/>
      <c r="K476" s="29"/>
      <c r="L476" s="30"/>
      <c r="M476" s="30"/>
      <c r="N476" s="36"/>
      <c r="O476" s="32"/>
      <c r="P476" s="33"/>
      <c r="Q476" s="34"/>
      <c r="R476" s="37"/>
      <c r="S476" s="14" t="str">
        <f t="shared" si="46"/>
        <v/>
      </c>
    </row>
    <row r="477" spans="2:19" x14ac:dyDescent="0.2">
      <c r="B477" s="2" t="str">
        <f t="shared" si="47"/>
        <v/>
      </c>
      <c r="C477" s="2" t="str">
        <f t="shared" si="48"/>
        <v/>
      </c>
      <c r="D477" s="2" t="str">
        <f t="shared" si="44"/>
        <v>Y</v>
      </c>
      <c r="E477" s="2">
        <f t="shared" si="45"/>
        <v>0</v>
      </c>
      <c r="F477" s="2" t="str">
        <f t="shared" si="49"/>
        <v/>
      </c>
      <c r="H477" s="56" t="s">
        <v>474</v>
      </c>
      <c r="I477" s="28"/>
      <c r="J477" s="29"/>
      <c r="K477" s="29"/>
      <c r="L477" s="30"/>
      <c r="M477" s="30"/>
      <c r="N477" s="36"/>
      <c r="O477" s="32"/>
      <c r="P477" s="33"/>
      <c r="Q477" s="34"/>
      <c r="R477" s="37"/>
      <c r="S477" s="14" t="str">
        <f t="shared" si="46"/>
        <v/>
      </c>
    </row>
    <row r="478" spans="2:19" x14ac:dyDescent="0.2">
      <c r="B478" s="2" t="str">
        <f t="shared" si="47"/>
        <v/>
      </c>
      <c r="C478" s="2" t="str">
        <f t="shared" si="48"/>
        <v/>
      </c>
      <c r="D478" s="2" t="str">
        <f t="shared" si="44"/>
        <v>Y</v>
      </c>
      <c r="E478" s="2">
        <f t="shared" si="45"/>
        <v>0</v>
      </c>
      <c r="F478" s="2" t="str">
        <f t="shared" si="49"/>
        <v/>
      </c>
      <c r="H478" s="56" t="s">
        <v>475</v>
      </c>
      <c r="I478" s="28"/>
      <c r="J478" s="29"/>
      <c r="K478" s="29"/>
      <c r="L478" s="30"/>
      <c r="M478" s="30"/>
      <c r="N478" s="36"/>
      <c r="O478" s="32"/>
      <c r="P478" s="33"/>
      <c r="Q478" s="34"/>
      <c r="R478" s="37"/>
      <c r="S478" s="14" t="str">
        <f t="shared" si="46"/>
        <v/>
      </c>
    </row>
    <row r="479" spans="2:19" x14ac:dyDescent="0.2">
      <c r="B479" s="2" t="str">
        <f t="shared" si="47"/>
        <v/>
      </c>
      <c r="C479" s="2" t="str">
        <f t="shared" si="48"/>
        <v/>
      </c>
      <c r="D479" s="2" t="str">
        <f t="shared" si="44"/>
        <v>Y</v>
      </c>
      <c r="E479" s="2">
        <f t="shared" si="45"/>
        <v>0</v>
      </c>
      <c r="F479" s="2" t="str">
        <f t="shared" si="49"/>
        <v/>
      </c>
      <c r="H479" s="56" t="s">
        <v>476</v>
      </c>
      <c r="I479" s="28"/>
      <c r="J479" s="29"/>
      <c r="K479" s="29"/>
      <c r="L479" s="30"/>
      <c r="M479" s="30"/>
      <c r="N479" s="36"/>
      <c r="O479" s="32"/>
      <c r="P479" s="33"/>
      <c r="Q479" s="34"/>
      <c r="R479" s="37"/>
      <c r="S479" s="14" t="str">
        <f t="shared" si="46"/>
        <v/>
      </c>
    </row>
    <row r="480" spans="2:19" x14ac:dyDescent="0.2">
      <c r="B480" s="2" t="str">
        <f t="shared" si="47"/>
        <v/>
      </c>
      <c r="C480" s="2" t="str">
        <f t="shared" si="48"/>
        <v/>
      </c>
      <c r="D480" s="2" t="str">
        <f t="shared" si="44"/>
        <v>Y</v>
      </c>
      <c r="E480" s="2">
        <f t="shared" si="45"/>
        <v>0</v>
      </c>
      <c r="F480" s="2" t="str">
        <f t="shared" si="49"/>
        <v/>
      </c>
      <c r="H480" s="56" t="s">
        <v>477</v>
      </c>
      <c r="I480" s="28"/>
      <c r="J480" s="29"/>
      <c r="K480" s="29"/>
      <c r="L480" s="30"/>
      <c r="M480" s="30"/>
      <c r="N480" s="36"/>
      <c r="O480" s="32"/>
      <c r="P480" s="33"/>
      <c r="Q480" s="34"/>
      <c r="R480" s="37"/>
      <c r="S480" s="14" t="str">
        <f t="shared" si="46"/>
        <v/>
      </c>
    </row>
    <row r="481" spans="2:19" x14ac:dyDescent="0.2">
      <c r="B481" s="2" t="str">
        <f t="shared" si="47"/>
        <v/>
      </c>
      <c r="C481" s="2" t="str">
        <f t="shared" si="48"/>
        <v/>
      </c>
      <c r="D481" s="2" t="str">
        <f t="shared" si="44"/>
        <v>Y</v>
      </c>
      <c r="E481" s="2">
        <f t="shared" si="45"/>
        <v>0</v>
      </c>
      <c r="F481" s="2" t="str">
        <f t="shared" si="49"/>
        <v/>
      </c>
      <c r="H481" s="56" t="s">
        <v>478</v>
      </c>
      <c r="I481" s="28"/>
      <c r="J481" s="29"/>
      <c r="K481" s="29"/>
      <c r="L481" s="30"/>
      <c r="M481" s="30"/>
      <c r="N481" s="36"/>
      <c r="O481" s="32"/>
      <c r="P481" s="33"/>
      <c r="Q481" s="34"/>
      <c r="R481" s="37"/>
      <c r="S481" s="14" t="str">
        <f t="shared" si="46"/>
        <v/>
      </c>
    </row>
    <row r="482" spans="2:19" x14ac:dyDescent="0.2">
      <c r="B482" s="2" t="str">
        <f t="shared" si="47"/>
        <v/>
      </c>
      <c r="C482" s="2" t="str">
        <f t="shared" si="48"/>
        <v/>
      </c>
      <c r="D482" s="2" t="str">
        <f t="shared" si="44"/>
        <v>Y</v>
      </c>
      <c r="E482" s="2">
        <f t="shared" si="45"/>
        <v>0</v>
      </c>
      <c r="F482" s="2" t="str">
        <f t="shared" si="49"/>
        <v/>
      </c>
      <c r="H482" s="56" t="s">
        <v>479</v>
      </c>
      <c r="I482" s="28"/>
      <c r="J482" s="29"/>
      <c r="K482" s="29"/>
      <c r="L482" s="30"/>
      <c r="M482" s="30"/>
      <c r="N482" s="36"/>
      <c r="O482" s="32"/>
      <c r="P482" s="33"/>
      <c r="Q482" s="34"/>
      <c r="R482" s="37"/>
      <c r="S482" s="14" t="str">
        <f t="shared" si="46"/>
        <v/>
      </c>
    </row>
    <row r="483" spans="2:19" x14ac:dyDescent="0.2">
      <c r="B483" s="2" t="str">
        <f t="shared" si="47"/>
        <v/>
      </c>
      <c r="C483" s="2" t="str">
        <f t="shared" si="48"/>
        <v/>
      </c>
      <c r="D483" s="2" t="str">
        <f t="shared" si="44"/>
        <v>Y</v>
      </c>
      <c r="E483" s="2">
        <f t="shared" si="45"/>
        <v>0</v>
      </c>
      <c r="F483" s="2" t="str">
        <f t="shared" si="49"/>
        <v/>
      </c>
      <c r="H483" s="56" t="s">
        <v>480</v>
      </c>
      <c r="I483" s="28"/>
      <c r="J483" s="29"/>
      <c r="K483" s="29"/>
      <c r="L483" s="30"/>
      <c r="M483" s="30"/>
      <c r="N483" s="36"/>
      <c r="O483" s="32"/>
      <c r="P483" s="33"/>
      <c r="Q483" s="34"/>
      <c r="R483" s="37"/>
      <c r="S483" s="14" t="str">
        <f t="shared" si="46"/>
        <v/>
      </c>
    </row>
    <row r="484" spans="2:19" x14ac:dyDescent="0.2">
      <c r="B484" s="2" t="str">
        <f t="shared" si="47"/>
        <v/>
      </c>
      <c r="C484" s="2" t="str">
        <f t="shared" si="48"/>
        <v/>
      </c>
      <c r="D484" s="2" t="str">
        <f t="shared" si="44"/>
        <v>Y</v>
      </c>
      <c r="E484" s="2">
        <f t="shared" si="45"/>
        <v>0</v>
      </c>
      <c r="F484" s="2" t="str">
        <f t="shared" si="49"/>
        <v/>
      </c>
      <c r="H484" s="56" t="s">
        <v>481</v>
      </c>
      <c r="I484" s="28"/>
      <c r="J484" s="29"/>
      <c r="K484" s="29"/>
      <c r="L484" s="30"/>
      <c r="M484" s="30"/>
      <c r="N484" s="36"/>
      <c r="O484" s="32"/>
      <c r="P484" s="33"/>
      <c r="Q484" s="34"/>
      <c r="R484" s="37"/>
      <c r="S484" s="14" t="str">
        <f t="shared" si="46"/>
        <v/>
      </c>
    </row>
    <row r="485" spans="2:19" x14ac:dyDescent="0.2">
      <c r="B485" s="2" t="str">
        <f t="shared" si="47"/>
        <v/>
      </c>
      <c r="C485" s="2" t="str">
        <f t="shared" si="48"/>
        <v/>
      </c>
      <c r="D485" s="2" t="str">
        <f t="shared" si="44"/>
        <v>Y</v>
      </c>
      <c r="E485" s="2">
        <f t="shared" si="45"/>
        <v>0</v>
      </c>
      <c r="F485" s="2" t="str">
        <f t="shared" si="49"/>
        <v/>
      </c>
      <c r="H485" s="56" t="s">
        <v>482</v>
      </c>
      <c r="I485" s="28"/>
      <c r="J485" s="29"/>
      <c r="K485" s="29"/>
      <c r="L485" s="30"/>
      <c r="M485" s="30"/>
      <c r="N485" s="36"/>
      <c r="O485" s="32"/>
      <c r="P485" s="33"/>
      <c r="Q485" s="34"/>
      <c r="R485" s="37"/>
      <c r="S485" s="14" t="str">
        <f t="shared" si="46"/>
        <v/>
      </c>
    </row>
    <row r="486" spans="2:19" x14ac:dyDescent="0.2">
      <c r="B486" s="2" t="str">
        <f t="shared" si="47"/>
        <v/>
      </c>
      <c r="C486" s="2" t="str">
        <f t="shared" si="48"/>
        <v/>
      </c>
      <c r="D486" s="2" t="str">
        <f t="shared" si="44"/>
        <v>Y</v>
      </c>
      <c r="E486" s="2">
        <f t="shared" si="45"/>
        <v>0</v>
      </c>
      <c r="F486" s="2" t="str">
        <f t="shared" si="49"/>
        <v/>
      </c>
      <c r="H486" s="56" t="s">
        <v>483</v>
      </c>
      <c r="I486" s="28"/>
      <c r="J486" s="29"/>
      <c r="K486" s="29"/>
      <c r="L486" s="30"/>
      <c r="M486" s="30"/>
      <c r="N486" s="36"/>
      <c r="O486" s="32"/>
      <c r="P486" s="33"/>
      <c r="Q486" s="34"/>
      <c r="R486" s="37"/>
      <c r="S486" s="14" t="str">
        <f t="shared" si="46"/>
        <v/>
      </c>
    </row>
    <row r="487" spans="2:19" x14ac:dyDescent="0.2">
      <c r="B487" s="2" t="str">
        <f t="shared" si="47"/>
        <v/>
      </c>
      <c r="C487" s="2" t="str">
        <f t="shared" si="48"/>
        <v/>
      </c>
      <c r="D487" s="2" t="str">
        <f t="shared" si="44"/>
        <v>Y</v>
      </c>
      <c r="E487" s="2">
        <f t="shared" si="45"/>
        <v>0</v>
      </c>
      <c r="F487" s="2" t="str">
        <f t="shared" si="49"/>
        <v/>
      </c>
      <c r="H487" s="56" t="s">
        <v>484</v>
      </c>
      <c r="I487" s="28"/>
      <c r="J487" s="29"/>
      <c r="K487" s="29"/>
      <c r="L487" s="30"/>
      <c r="M487" s="30"/>
      <c r="N487" s="36"/>
      <c r="O487" s="32"/>
      <c r="P487" s="33"/>
      <c r="Q487" s="34"/>
      <c r="R487" s="37"/>
      <c r="S487" s="14" t="str">
        <f t="shared" si="46"/>
        <v/>
      </c>
    </row>
    <row r="488" spans="2:19" x14ac:dyDescent="0.2">
      <c r="B488" s="2" t="str">
        <f t="shared" si="47"/>
        <v/>
      </c>
      <c r="C488" s="2" t="str">
        <f t="shared" si="48"/>
        <v/>
      </c>
      <c r="D488" s="2" t="str">
        <f t="shared" si="44"/>
        <v>Y</v>
      </c>
      <c r="E488" s="2">
        <f t="shared" si="45"/>
        <v>0</v>
      </c>
      <c r="F488" s="2" t="str">
        <f t="shared" si="49"/>
        <v/>
      </c>
      <c r="H488" s="56" t="s">
        <v>485</v>
      </c>
      <c r="I488" s="28"/>
      <c r="J488" s="29"/>
      <c r="K488" s="29"/>
      <c r="L488" s="30"/>
      <c r="M488" s="30"/>
      <c r="N488" s="36"/>
      <c r="O488" s="32"/>
      <c r="P488" s="33"/>
      <c r="Q488" s="34"/>
      <c r="R488" s="37"/>
      <c r="S488" s="14" t="str">
        <f t="shared" si="46"/>
        <v/>
      </c>
    </row>
    <row r="489" spans="2:19" x14ac:dyDescent="0.2">
      <c r="B489" s="2" t="str">
        <f t="shared" si="47"/>
        <v/>
      </c>
      <c r="C489" s="2" t="str">
        <f t="shared" si="48"/>
        <v/>
      </c>
      <c r="D489" s="2" t="str">
        <f t="shared" si="44"/>
        <v>Y</v>
      </c>
      <c r="E489" s="2">
        <f t="shared" si="45"/>
        <v>0</v>
      </c>
      <c r="F489" s="2" t="str">
        <f t="shared" si="49"/>
        <v/>
      </c>
      <c r="H489" s="56" t="s">
        <v>486</v>
      </c>
      <c r="I489" s="28"/>
      <c r="J489" s="29"/>
      <c r="K489" s="29"/>
      <c r="L489" s="30"/>
      <c r="M489" s="30"/>
      <c r="N489" s="36"/>
      <c r="O489" s="32"/>
      <c r="P489" s="33"/>
      <c r="Q489" s="34"/>
      <c r="R489" s="37"/>
      <c r="S489" s="14" t="str">
        <f t="shared" si="46"/>
        <v/>
      </c>
    </row>
    <row r="490" spans="2:19" x14ac:dyDescent="0.2">
      <c r="B490" s="2" t="str">
        <f t="shared" si="47"/>
        <v/>
      </c>
      <c r="C490" s="2" t="str">
        <f t="shared" si="48"/>
        <v/>
      </c>
      <c r="D490" s="2" t="str">
        <f t="shared" si="44"/>
        <v>Y</v>
      </c>
      <c r="E490" s="2">
        <f t="shared" si="45"/>
        <v>0</v>
      </c>
      <c r="F490" s="2" t="str">
        <f t="shared" si="49"/>
        <v/>
      </c>
      <c r="H490" s="56" t="s">
        <v>487</v>
      </c>
      <c r="I490" s="28"/>
      <c r="J490" s="29"/>
      <c r="K490" s="29"/>
      <c r="L490" s="30"/>
      <c r="M490" s="30"/>
      <c r="N490" s="36"/>
      <c r="O490" s="32"/>
      <c r="P490" s="33"/>
      <c r="Q490" s="34"/>
      <c r="R490" s="37"/>
      <c r="S490" s="14" t="str">
        <f t="shared" si="46"/>
        <v/>
      </c>
    </row>
    <row r="491" spans="2:19" x14ac:dyDescent="0.2">
      <c r="B491" s="2" t="str">
        <f t="shared" si="47"/>
        <v/>
      </c>
      <c r="C491" s="2" t="str">
        <f t="shared" si="48"/>
        <v/>
      </c>
      <c r="D491" s="2" t="str">
        <f t="shared" si="44"/>
        <v>Y</v>
      </c>
      <c r="E491" s="2">
        <f t="shared" si="45"/>
        <v>0</v>
      </c>
      <c r="F491" s="2" t="str">
        <f t="shared" si="49"/>
        <v/>
      </c>
      <c r="H491" s="56" t="s">
        <v>488</v>
      </c>
      <c r="I491" s="28"/>
      <c r="J491" s="29"/>
      <c r="K491" s="29"/>
      <c r="L491" s="30"/>
      <c r="M491" s="30"/>
      <c r="N491" s="36"/>
      <c r="O491" s="32"/>
      <c r="P491" s="33"/>
      <c r="Q491" s="34"/>
      <c r="R491" s="37"/>
      <c r="S491" s="14" t="str">
        <f t="shared" si="46"/>
        <v/>
      </c>
    </row>
    <row r="492" spans="2:19" x14ac:dyDescent="0.2">
      <c r="B492" s="2" t="str">
        <f t="shared" si="47"/>
        <v/>
      </c>
      <c r="C492" s="2" t="str">
        <f t="shared" si="48"/>
        <v/>
      </c>
      <c r="D492" s="2" t="str">
        <f t="shared" si="44"/>
        <v>Y</v>
      </c>
      <c r="E492" s="2">
        <f t="shared" si="45"/>
        <v>0</v>
      </c>
      <c r="F492" s="2" t="str">
        <f t="shared" si="49"/>
        <v/>
      </c>
      <c r="H492" s="56" t="s">
        <v>489</v>
      </c>
      <c r="I492" s="28"/>
      <c r="J492" s="29"/>
      <c r="K492" s="29"/>
      <c r="L492" s="30"/>
      <c r="M492" s="30"/>
      <c r="N492" s="36"/>
      <c r="O492" s="32"/>
      <c r="P492" s="33"/>
      <c r="Q492" s="34"/>
      <c r="R492" s="37"/>
      <c r="S492" s="14" t="str">
        <f t="shared" si="46"/>
        <v/>
      </c>
    </row>
    <row r="493" spans="2:19" x14ac:dyDescent="0.2">
      <c r="B493" s="2" t="str">
        <f t="shared" si="47"/>
        <v/>
      </c>
      <c r="C493" s="2" t="str">
        <f t="shared" si="48"/>
        <v/>
      </c>
      <c r="D493" s="2" t="str">
        <f t="shared" si="44"/>
        <v>Y</v>
      </c>
      <c r="E493" s="2">
        <f t="shared" si="45"/>
        <v>0</v>
      </c>
      <c r="F493" s="2" t="str">
        <f t="shared" si="49"/>
        <v/>
      </c>
      <c r="H493" s="56" t="s">
        <v>490</v>
      </c>
      <c r="I493" s="28"/>
      <c r="J493" s="29"/>
      <c r="K493" s="29"/>
      <c r="L493" s="30"/>
      <c r="M493" s="30"/>
      <c r="N493" s="36"/>
      <c r="O493" s="32"/>
      <c r="P493" s="33"/>
      <c r="Q493" s="34"/>
      <c r="R493" s="37"/>
      <c r="S493" s="14" t="str">
        <f t="shared" si="46"/>
        <v/>
      </c>
    </row>
    <row r="494" spans="2:19" x14ac:dyDescent="0.2">
      <c r="B494" s="2" t="str">
        <f t="shared" si="47"/>
        <v/>
      </c>
      <c r="C494" s="2" t="str">
        <f t="shared" si="48"/>
        <v/>
      </c>
      <c r="D494" s="2" t="str">
        <f t="shared" si="44"/>
        <v>Y</v>
      </c>
      <c r="E494" s="2">
        <f t="shared" si="45"/>
        <v>0</v>
      </c>
      <c r="F494" s="2" t="str">
        <f t="shared" si="49"/>
        <v/>
      </c>
      <c r="H494" s="56" t="s">
        <v>491</v>
      </c>
      <c r="I494" s="28"/>
      <c r="J494" s="29"/>
      <c r="K494" s="29"/>
      <c r="L494" s="30"/>
      <c r="M494" s="30"/>
      <c r="N494" s="36"/>
      <c r="O494" s="32"/>
      <c r="P494" s="33"/>
      <c r="Q494" s="34"/>
      <c r="R494" s="37"/>
      <c r="S494" s="14" t="str">
        <f t="shared" si="46"/>
        <v/>
      </c>
    </row>
    <row r="495" spans="2:19" x14ac:dyDescent="0.2">
      <c r="B495" s="2" t="str">
        <f t="shared" si="47"/>
        <v/>
      </c>
      <c r="C495" s="2" t="str">
        <f t="shared" si="48"/>
        <v/>
      </c>
      <c r="D495" s="2" t="str">
        <f t="shared" si="44"/>
        <v>Y</v>
      </c>
      <c r="E495" s="2">
        <f t="shared" si="45"/>
        <v>0</v>
      </c>
      <c r="F495" s="2" t="str">
        <f t="shared" si="49"/>
        <v/>
      </c>
      <c r="H495" s="56" t="s">
        <v>492</v>
      </c>
      <c r="I495" s="28"/>
      <c r="J495" s="29"/>
      <c r="K495" s="29"/>
      <c r="L495" s="30"/>
      <c r="M495" s="30"/>
      <c r="N495" s="36"/>
      <c r="O495" s="32"/>
      <c r="P495" s="33"/>
      <c r="Q495" s="34"/>
      <c r="R495" s="37"/>
      <c r="S495" s="14" t="str">
        <f t="shared" si="46"/>
        <v/>
      </c>
    </row>
    <row r="496" spans="2:19" x14ac:dyDescent="0.2">
      <c r="B496" s="2" t="str">
        <f t="shared" si="47"/>
        <v/>
      </c>
      <c r="C496" s="2" t="str">
        <f t="shared" si="48"/>
        <v/>
      </c>
      <c r="D496" s="2" t="str">
        <f t="shared" si="44"/>
        <v>Y</v>
      </c>
      <c r="E496" s="2">
        <f t="shared" si="45"/>
        <v>0</v>
      </c>
      <c r="F496" s="2" t="str">
        <f t="shared" si="49"/>
        <v/>
      </c>
      <c r="H496" s="56" t="s">
        <v>493</v>
      </c>
      <c r="I496" s="28"/>
      <c r="J496" s="29"/>
      <c r="K496" s="29"/>
      <c r="L496" s="30"/>
      <c r="M496" s="30"/>
      <c r="N496" s="36"/>
      <c r="O496" s="32"/>
      <c r="P496" s="33"/>
      <c r="Q496" s="34"/>
      <c r="R496" s="37"/>
      <c r="S496" s="14" t="str">
        <f t="shared" si="46"/>
        <v/>
      </c>
    </row>
    <row r="497" spans="2:19" x14ac:dyDescent="0.2">
      <c r="B497" s="2" t="str">
        <f t="shared" si="47"/>
        <v/>
      </c>
      <c r="C497" s="2" t="str">
        <f t="shared" si="48"/>
        <v/>
      </c>
      <c r="D497" s="2" t="str">
        <f t="shared" si="44"/>
        <v>Y</v>
      </c>
      <c r="E497" s="2">
        <f t="shared" si="45"/>
        <v>0</v>
      </c>
      <c r="F497" s="2" t="str">
        <f t="shared" si="49"/>
        <v/>
      </c>
      <c r="H497" s="56" t="s">
        <v>494</v>
      </c>
      <c r="I497" s="28"/>
      <c r="J497" s="29"/>
      <c r="K497" s="29"/>
      <c r="L497" s="30"/>
      <c r="M497" s="30"/>
      <c r="N497" s="36"/>
      <c r="O497" s="32"/>
      <c r="P497" s="33"/>
      <c r="Q497" s="34"/>
      <c r="R497" s="37"/>
      <c r="S497" s="14" t="str">
        <f t="shared" si="46"/>
        <v/>
      </c>
    </row>
    <row r="498" spans="2:19" x14ac:dyDescent="0.2">
      <c r="B498" s="2" t="str">
        <f t="shared" si="47"/>
        <v/>
      </c>
      <c r="C498" s="2" t="str">
        <f t="shared" si="48"/>
        <v/>
      </c>
      <c r="D498" s="2" t="str">
        <f t="shared" si="44"/>
        <v>Y</v>
      </c>
      <c r="E498" s="2">
        <f t="shared" si="45"/>
        <v>0</v>
      </c>
      <c r="F498" s="2" t="str">
        <f t="shared" si="49"/>
        <v/>
      </c>
      <c r="H498" s="56" t="s">
        <v>495</v>
      </c>
      <c r="I498" s="28"/>
      <c r="J498" s="29"/>
      <c r="K498" s="29"/>
      <c r="L498" s="30"/>
      <c r="M498" s="30"/>
      <c r="N498" s="36"/>
      <c r="O498" s="32"/>
      <c r="P498" s="33"/>
      <c r="Q498" s="34"/>
      <c r="R498" s="37"/>
      <c r="S498" s="14" t="str">
        <f t="shared" si="46"/>
        <v/>
      </c>
    </row>
    <row r="499" spans="2:19" x14ac:dyDescent="0.2">
      <c r="B499" s="2" t="str">
        <f t="shared" si="47"/>
        <v/>
      </c>
      <c r="C499" s="2" t="str">
        <f t="shared" si="48"/>
        <v/>
      </c>
      <c r="D499" s="2" t="str">
        <f t="shared" si="44"/>
        <v>Y</v>
      </c>
      <c r="E499" s="2">
        <f t="shared" si="45"/>
        <v>0</v>
      </c>
      <c r="F499" s="2" t="str">
        <f t="shared" si="49"/>
        <v/>
      </c>
      <c r="H499" s="56" t="s">
        <v>496</v>
      </c>
      <c r="I499" s="28"/>
      <c r="J499" s="29"/>
      <c r="K499" s="29"/>
      <c r="L499" s="30"/>
      <c r="M499" s="30"/>
      <c r="N499" s="36"/>
      <c r="O499" s="32"/>
      <c r="P499" s="33"/>
      <c r="Q499" s="34"/>
      <c r="R499" s="37"/>
      <c r="S499" s="14" t="str">
        <f t="shared" si="46"/>
        <v/>
      </c>
    </row>
    <row r="500" spans="2:19" x14ac:dyDescent="0.2">
      <c r="B500" s="2" t="str">
        <f t="shared" si="47"/>
        <v/>
      </c>
      <c r="C500" s="2" t="str">
        <f t="shared" si="48"/>
        <v/>
      </c>
      <c r="D500" s="2" t="str">
        <f t="shared" si="44"/>
        <v>Y</v>
      </c>
      <c r="E500" s="2">
        <f t="shared" si="45"/>
        <v>0</v>
      </c>
      <c r="F500" s="2" t="str">
        <f t="shared" si="49"/>
        <v/>
      </c>
      <c r="H500" s="56" t="s">
        <v>497</v>
      </c>
      <c r="I500" s="28"/>
      <c r="J500" s="29"/>
      <c r="K500" s="29"/>
      <c r="L500" s="30"/>
      <c r="M500" s="30"/>
      <c r="N500" s="36"/>
      <c r="O500" s="32"/>
      <c r="P500" s="33"/>
      <c r="Q500" s="34"/>
      <c r="R500" s="37"/>
      <c r="S500" s="14" t="str">
        <f t="shared" si="46"/>
        <v/>
      </c>
    </row>
    <row r="501" spans="2:19" x14ac:dyDescent="0.2">
      <c r="B501" s="2" t="str">
        <f t="shared" si="47"/>
        <v/>
      </c>
      <c r="C501" s="2" t="str">
        <f t="shared" si="48"/>
        <v/>
      </c>
      <c r="D501" s="2" t="str">
        <f t="shared" si="44"/>
        <v>Y</v>
      </c>
      <c r="E501" s="2">
        <f t="shared" si="45"/>
        <v>0</v>
      </c>
      <c r="F501" s="2" t="str">
        <f t="shared" si="49"/>
        <v/>
      </c>
      <c r="H501" s="56" t="s">
        <v>498</v>
      </c>
      <c r="I501" s="28"/>
      <c r="J501" s="29"/>
      <c r="K501" s="29"/>
      <c r="L501" s="30"/>
      <c r="M501" s="30"/>
      <c r="N501" s="36"/>
      <c r="O501" s="32"/>
      <c r="P501" s="33"/>
      <c r="Q501" s="34"/>
      <c r="R501" s="37"/>
      <c r="S501" s="14" t="str">
        <f t="shared" si="46"/>
        <v/>
      </c>
    </row>
    <row r="502" spans="2:19" x14ac:dyDescent="0.2">
      <c r="B502" s="2" t="str">
        <f t="shared" si="47"/>
        <v/>
      </c>
      <c r="C502" s="2" t="str">
        <f t="shared" si="48"/>
        <v/>
      </c>
      <c r="D502" s="2" t="str">
        <f t="shared" si="44"/>
        <v>Y</v>
      </c>
      <c r="E502" s="2">
        <f t="shared" si="45"/>
        <v>0</v>
      </c>
      <c r="F502" s="2" t="str">
        <f t="shared" si="49"/>
        <v/>
      </c>
      <c r="H502" s="56" t="s">
        <v>499</v>
      </c>
      <c r="I502" s="28"/>
      <c r="J502" s="29"/>
      <c r="K502" s="29"/>
      <c r="L502" s="30"/>
      <c r="M502" s="30"/>
      <c r="N502" s="36"/>
      <c r="O502" s="32"/>
      <c r="P502" s="33"/>
      <c r="Q502" s="34"/>
      <c r="R502" s="37"/>
      <c r="S502" s="14" t="str">
        <f t="shared" si="46"/>
        <v/>
      </c>
    </row>
    <row r="503" spans="2:19" x14ac:dyDescent="0.2">
      <c r="B503" s="2" t="str">
        <f t="shared" si="47"/>
        <v/>
      </c>
      <c r="C503" s="2" t="str">
        <f t="shared" si="48"/>
        <v/>
      </c>
      <c r="D503" s="2" t="str">
        <f t="shared" si="44"/>
        <v>Y</v>
      </c>
      <c r="E503" s="2">
        <f t="shared" si="45"/>
        <v>0</v>
      </c>
      <c r="F503" s="2" t="str">
        <f t="shared" si="49"/>
        <v/>
      </c>
      <c r="H503" s="56" t="s">
        <v>500</v>
      </c>
      <c r="I503" s="28"/>
      <c r="J503" s="29"/>
      <c r="K503" s="29"/>
      <c r="L503" s="30"/>
      <c r="M503" s="30"/>
      <c r="N503" s="36"/>
      <c r="O503" s="32"/>
      <c r="P503" s="33"/>
      <c r="Q503" s="34"/>
      <c r="R503" s="37"/>
      <c r="S503" s="14" t="str">
        <f t="shared" si="46"/>
        <v/>
      </c>
    </row>
    <row r="504" spans="2:19" x14ac:dyDescent="0.2">
      <c r="B504" s="2" t="str">
        <f t="shared" si="47"/>
        <v/>
      </c>
      <c r="C504" s="2" t="str">
        <f t="shared" si="48"/>
        <v/>
      </c>
      <c r="D504" s="2" t="str">
        <f t="shared" si="44"/>
        <v>Y</v>
      </c>
      <c r="E504" s="2">
        <f t="shared" si="45"/>
        <v>0</v>
      </c>
      <c r="F504" s="2" t="str">
        <f t="shared" si="49"/>
        <v/>
      </c>
      <c r="H504" s="56" t="s">
        <v>501</v>
      </c>
      <c r="I504" s="28"/>
      <c r="J504" s="29"/>
      <c r="K504" s="29"/>
      <c r="L504" s="30"/>
      <c r="M504" s="30"/>
      <c r="N504" s="36"/>
      <c r="O504" s="32"/>
      <c r="P504" s="33"/>
      <c r="Q504" s="34"/>
      <c r="R504" s="37"/>
      <c r="S504" s="14" t="str">
        <f t="shared" si="46"/>
        <v/>
      </c>
    </row>
    <row r="505" spans="2:19" x14ac:dyDescent="0.2">
      <c r="B505" s="2" t="str">
        <f t="shared" si="47"/>
        <v/>
      </c>
      <c r="C505" s="2" t="str">
        <f t="shared" si="48"/>
        <v/>
      </c>
      <c r="D505" s="2" t="str">
        <f t="shared" si="44"/>
        <v>Y</v>
      </c>
      <c r="E505" s="2">
        <f t="shared" si="45"/>
        <v>0</v>
      </c>
      <c r="F505" s="2" t="str">
        <f t="shared" si="49"/>
        <v/>
      </c>
      <c r="H505" s="56" t="s">
        <v>502</v>
      </c>
      <c r="I505" s="28"/>
      <c r="J505" s="29"/>
      <c r="K505" s="29"/>
      <c r="L505" s="30"/>
      <c r="M505" s="30"/>
      <c r="N505" s="36"/>
      <c r="O505" s="32"/>
      <c r="P505" s="33"/>
      <c r="Q505" s="34"/>
      <c r="R505" s="37"/>
      <c r="S505" s="14" t="str">
        <f t="shared" si="46"/>
        <v/>
      </c>
    </row>
    <row r="506" spans="2:19" x14ac:dyDescent="0.2">
      <c r="B506" s="2" t="str">
        <f t="shared" si="47"/>
        <v/>
      </c>
      <c r="C506" s="2" t="str">
        <f t="shared" si="48"/>
        <v/>
      </c>
      <c r="D506" s="2" t="str">
        <f t="shared" si="44"/>
        <v>Y</v>
      </c>
      <c r="E506" s="2">
        <f t="shared" si="45"/>
        <v>0</v>
      </c>
      <c r="F506" s="2" t="str">
        <f t="shared" si="49"/>
        <v/>
      </c>
      <c r="H506" s="56" t="s">
        <v>503</v>
      </c>
      <c r="I506" s="28"/>
      <c r="J506" s="29"/>
      <c r="K506" s="29"/>
      <c r="L506" s="30"/>
      <c r="M506" s="30"/>
      <c r="N506" s="36"/>
      <c r="O506" s="32"/>
      <c r="P506" s="33"/>
      <c r="Q506" s="34"/>
      <c r="R506" s="37"/>
      <c r="S506" s="14" t="str">
        <f t="shared" si="46"/>
        <v/>
      </c>
    </row>
    <row r="507" spans="2:19" x14ac:dyDescent="0.2">
      <c r="B507" s="2" t="str">
        <f t="shared" si="47"/>
        <v/>
      </c>
      <c r="C507" s="2" t="str">
        <f t="shared" si="48"/>
        <v/>
      </c>
      <c r="D507" s="2" t="str">
        <f t="shared" si="44"/>
        <v>Y</v>
      </c>
      <c r="E507" s="2">
        <f t="shared" si="45"/>
        <v>0</v>
      </c>
      <c r="F507" s="2" t="str">
        <f t="shared" si="49"/>
        <v/>
      </c>
      <c r="H507" s="56" t="s">
        <v>504</v>
      </c>
      <c r="I507" s="28"/>
      <c r="J507" s="29"/>
      <c r="K507" s="29"/>
      <c r="L507" s="30"/>
      <c r="M507" s="30"/>
      <c r="N507" s="36"/>
      <c r="O507" s="32"/>
      <c r="P507" s="33"/>
      <c r="Q507" s="34"/>
      <c r="R507" s="37"/>
      <c r="S507" s="14" t="str">
        <f t="shared" si="46"/>
        <v/>
      </c>
    </row>
    <row r="508" spans="2:19" x14ac:dyDescent="0.2">
      <c r="B508" s="2" t="str">
        <f t="shared" si="47"/>
        <v/>
      </c>
      <c r="C508" s="2" t="str">
        <f t="shared" si="48"/>
        <v/>
      </c>
      <c r="D508" s="2" t="str">
        <f t="shared" si="44"/>
        <v>Y</v>
      </c>
      <c r="E508" s="2">
        <f t="shared" si="45"/>
        <v>0</v>
      </c>
      <c r="F508" s="2" t="str">
        <f t="shared" si="49"/>
        <v/>
      </c>
      <c r="H508" s="56" t="s">
        <v>505</v>
      </c>
      <c r="I508" s="28"/>
      <c r="J508" s="29"/>
      <c r="K508" s="29"/>
      <c r="L508" s="30"/>
      <c r="M508" s="30"/>
      <c r="N508" s="36"/>
      <c r="O508" s="32"/>
      <c r="P508" s="33"/>
      <c r="Q508" s="34"/>
      <c r="R508" s="37"/>
      <c r="S508" s="14" t="str">
        <f t="shared" si="46"/>
        <v/>
      </c>
    </row>
    <row r="509" spans="2:19" x14ac:dyDescent="0.2">
      <c r="B509" s="2" t="str">
        <f t="shared" si="47"/>
        <v/>
      </c>
      <c r="C509" s="2" t="str">
        <f t="shared" si="48"/>
        <v/>
      </c>
      <c r="D509" s="2" t="str">
        <f t="shared" si="44"/>
        <v>Y</v>
      </c>
      <c r="E509" s="2">
        <f t="shared" si="45"/>
        <v>0</v>
      </c>
      <c r="F509" s="2" t="str">
        <f t="shared" si="49"/>
        <v/>
      </c>
      <c r="H509" s="56" t="s">
        <v>506</v>
      </c>
      <c r="I509" s="28"/>
      <c r="J509" s="29"/>
      <c r="K509" s="29"/>
      <c r="L509" s="30"/>
      <c r="M509" s="30"/>
      <c r="N509" s="36"/>
      <c r="O509" s="32"/>
      <c r="P509" s="33"/>
      <c r="Q509" s="34"/>
      <c r="R509" s="37"/>
      <c r="S509" s="14" t="str">
        <f t="shared" si="46"/>
        <v/>
      </c>
    </row>
    <row r="510" spans="2:19" x14ac:dyDescent="0.2">
      <c r="B510" s="2" t="str">
        <f t="shared" si="47"/>
        <v/>
      </c>
      <c r="C510" s="2" t="str">
        <f t="shared" si="48"/>
        <v/>
      </c>
      <c r="D510" s="2" t="str">
        <f t="shared" si="44"/>
        <v>Y</v>
      </c>
      <c r="E510" s="2">
        <f t="shared" si="45"/>
        <v>0</v>
      </c>
      <c r="F510" s="2" t="str">
        <f t="shared" si="49"/>
        <v/>
      </c>
      <c r="H510" s="56" t="s">
        <v>507</v>
      </c>
      <c r="I510" s="28"/>
      <c r="J510" s="29"/>
      <c r="K510" s="29"/>
      <c r="L510" s="30"/>
      <c r="M510" s="30"/>
      <c r="N510" s="36"/>
      <c r="O510" s="32"/>
      <c r="P510" s="33"/>
      <c r="Q510" s="34"/>
      <c r="R510" s="37"/>
      <c r="S510" s="14" t="str">
        <f t="shared" si="46"/>
        <v/>
      </c>
    </row>
    <row r="511" spans="2:19" x14ac:dyDescent="0.2">
      <c r="B511" s="2" t="str">
        <f t="shared" si="47"/>
        <v/>
      </c>
      <c r="C511" s="2" t="str">
        <f t="shared" si="48"/>
        <v/>
      </c>
      <c r="D511" s="2" t="str">
        <f t="shared" si="44"/>
        <v>Y</v>
      </c>
      <c r="E511" s="2">
        <f t="shared" si="45"/>
        <v>0</v>
      </c>
      <c r="F511" s="2" t="str">
        <f t="shared" si="49"/>
        <v/>
      </c>
      <c r="H511" s="56" t="s">
        <v>508</v>
      </c>
      <c r="I511" s="28"/>
      <c r="J511" s="29"/>
      <c r="K511" s="29"/>
      <c r="L511" s="30"/>
      <c r="M511" s="30"/>
      <c r="N511" s="36"/>
      <c r="O511" s="32"/>
      <c r="P511" s="33"/>
      <c r="Q511" s="34"/>
      <c r="R511" s="37"/>
      <c r="S511" s="14" t="str">
        <f t="shared" si="46"/>
        <v/>
      </c>
    </row>
    <row r="512" spans="2:19" x14ac:dyDescent="0.2">
      <c r="B512" s="2" t="str">
        <f t="shared" si="47"/>
        <v/>
      </c>
      <c r="C512" s="2" t="str">
        <f t="shared" si="48"/>
        <v/>
      </c>
      <c r="D512" s="2" t="str">
        <f t="shared" si="44"/>
        <v>Y</v>
      </c>
      <c r="E512" s="2">
        <f t="shared" si="45"/>
        <v>0</v>
      </c>
      <c r="F512" s="2" t="str">
        <f t="shared" si="49"/>
        <v/>
      </c>
      <c r="H512" s="56" t="s">
        <v>509</v>
      </c>
      <c r="I512" s="28"/>
      <c r="J512" s="29"/>
      <c r="K512" s="29"/>
      <c r="L512" s="30"/>
      <c r="M512" s="30"/>
      <c r="N512" s="36"/>
      <c r="O512" s="32"/>
      <c r="P512" s="33"/>
      <c r="Q512" s="34"/>
      <c r="R512" s="37"/>
      <c r="S512" s="14" t="str">
        <f t="shared" si="46"/>
        <v/>
      </c>
    </row>
    <row r="513" spans="2:19" x14ac:dyDescent="0.2">
      <c r="B513" s="2" t="str">
        <f t="shared" si="47"/>
        <v/>
      </c>
      <c r="C513" s="2" t="str">
        <f t="shared" si="48"/>
        <v/>
      </c>
      <c r="D513" s="2" t="str">
        <f t="shared" si="44"/>
        <v>Y</v>
      </c>
      <c r="E513" s="2">
        <f t="shared" si="45"/>
        <v>0</v>
      </c>
      <c r="F513" s="2" t="str">
        <f t="shared" si="49"/>
        <v/>
      </c>
      <c r="H513" s="56" t="s">
        <v>510</v>
      </c>
      <c r="I513" s="28"/>
      <c r="J513" s="29"/>
      <c r="K513" s="29"/>
      <c r="L513" s="30"/>
      <c r="M513" s="30"/>
      <c r="N513" s="36"/>
      <c r="O513" s="32"/>
      <c r="P513" s="33"/>
      <c r="Q513" s="34"/>
      <c r="R513" s="37"/>
      <c r="S513" s="14" t="str">
        <f t="shared" si="46"/>
        <v/>
      </c>
    </row>
    <row r="514" spans="2:19" x14ac:dyDescent="0.2">
      <c r="B514" s="2" t="str">
        <f t="shared" si="47"/>
        <v/>
      </c>
      <c r="C514" s="2" t="str">
        <f t="shared" si="48"/>
        <v/>
      </c>
      <c r="D514" s="2" t="str">
        <f t="shared" si="44"/>
        <v>Y</v>
      </c>
      <c r="E514" s="2">
        <f t="shared" si="45"/>
        <v>0</v>
      </c>
      <c r="F514" s="2" t="str">
        <f t="shared" si="49"/>
        <v/>
      </c>
      <c r="H514" s="56" t="s">
        <v>511</v>
      </c>
      <c r="I514" s="28"/>
      <c r="J514" s="29"/>
      <c r="K514" s="29"/>
      <c r="L514" s="30"/>
      <c r="M514" s="30"/>
      <c r="N514" s="36"/>
      <c r="O514" s="32"/>
      <c r="P514" s="33"/>
      <c r="Q514" s="34"/>
      <c r="R514" s="37"/>
      <c r="S514" s="14" t="str">
        <f t="shared" si="46"/>
        <v/>
      </c>
    </row>
    <row r="515" spans="2:19" x14ac:dyDescent="0.2">
      <c r="B515" s="2" t="str">
        <f t="shared" si="47"/>
        <v/>
      </c>
      <c r="C515" s="2" t="str">
        <f t="shared" si="48"/>
        <v/>
      </c>
      <c r="D515" s="2" t="str">
        <f t="shared" si="44"/>
        <v>Y</v>
      </c>
      <c r="E515" s="2">
        <f t="shared" si="45"/>
        <v>0</v>
      </c>
      <c r="F515" s="2" t="str">
        <f t="shared" si="49"/>
        <v/>
      </c>
      <c r="H515" s="56" t="s">
        <v>512</v>
      </c>
      <c r="I515" s="28"/>
      <c r="J515" s="29"/>
      <c r="K515" s="29"/>
      <c r="L515" s="30"/>
      <c r="M515" s="30"/>
      <c r="N515" s="36"/>
      <c r="O515" s="32"/>
      <c r="P515" s="33"/>
      <c r="Q515" s="34"/>
      <c r="R515" s="37"/>
      <c r="S515" s="14" t="str">
        <f t="shared" si="46"/>
        <v/>
      </c>
    </row>
    <row r="516" spans="2:19" x14ac:dyDescent="0.2">
      <c r="B516" s="2" t="str">
        <f t="shared" si="47"/>
        <v/>
      </c>
      <c r="C516" s="2" t="str">
        <f t="shared" si="48"/>
        <v/>
      </c>
      <c r="D516" s="2" t="str">
        <f t="shared" si="44"/>
        <v>Y</v>
      </c>
      <c r="E516" s="2">
        <f t="shared" si="45"/>
        <v>0</v>
      </c>
      <c r="F516" s="2" t="str">
        <f t="shared" si="49"/>
        <v/>
      </c>
      <c r="H516" s="56" t="s">
        <v>513</v>
      </c>
      <c r="I516" s="28"/>
      <c r="J516" s="29"/>
      <c r="K516" s="29"/>
      <c r="L516" s="30"/>
      <c r="M516" s="30"/>
      <c r="N516" s="36"/>
      <c r="O516" s="32"/>
      <c r="P516" s="33"/>
      <c r="Q516" s="34"/>
      <c r="R516" s="37"/>
      <c r="S516" s="14" t="str">
        <f t="shared" si="46"/>
        <v/>
      </c>
    </row>
    <row r="517" spans="2:19" x14ac:dyDescent="0.2">
      <c r="B517" s="2" t="str">
        <f t="shared" si="47"/>
        <v/>
      </c>
      <c r="C517" s="2" t="str">
        <f t="shared" si="48"/>
        <v/>
      </c>
      <c r="D517" s="2" t="str">
        <f t="shared" si="44"/>
        <v>Y</v>
      </c>
      <c r="E517" s="2">
        <f t="shared" si="45"/>
        <v>0</v>
      </c>
      <c r="F517" s="2" t="str">
        <f t="shared" si="49"/>
        <v/>
      </c>
      <c r="H517" s="56" t="s">
        <v>514</v>
      </c>
      <c r="I517" s="28"/>
      <c r="J517" s="29"/>
      <c r="K517" s="29"/>
      <c r="L517" s="30"/>
      <c r="M517" s="30"/>
      <c r="N517" s="36"/>
      <c r="O517" s="32"/>
      <c r="P517" s="33"/>
      <c r="Q517" s="34"/>
      <c r="R517" s="37"/>
      <c r="S517" s="14" t="str">
        <f t="shared" si="46"/>
        <v/>
      </c>
    </row>
    <row r="518" spans="2:19" x14ac:dyDescent="0.2">
      <c r="B518" s="2" t="str">
        <f t="shared" si="47"/>
        <v/>
      </c>
      <c r="C518" s="2" t="str">
        <f t="shared" si="48"/>
        <v/>
      </c>
      <c r="D518" s="2" t="str">
        <f t="shared" si="44"/>
        <v>Y</v>
      </c>
      <c r="E518" s="2">
        <f t="shared" si="45"/>
        <v>0</v>
      </c>
      <c r="F518" s="2" t="str">
        <f t="shared" si="49"/>
        <v/>
      </c>
      <c r="H518" s="56" t="s">
        <v>515</v>
      </c>
      <c r="I518" s="28"/>
      <c r="J518" s="29"/>
      <c r="K518" s="29"/>
      <c r="L518" s="30"/>
      <c r="M518" s="30"/>
      <c r="N518" s="36"/>
      <c r="O518" s="32"/>
      <c r="P518" s="33"/>
      <c r="Q518" s="34"/>
      <c r="R518" s="37"/>
      <c r="S518" s="14" t="str">
        <f t="shared" si="46"/>
        <v/>
      </c>
    </row>
    <row r="519" spans="2:19" x14ac:dyDescent="0.2">
      <c r="B519" s="2" t="str">
        <f t="shared" si="47"/>
        <v/>
      </c>
      <c r="C519" s="2" t="str">
        <f t="shared" si="48"/>
        <v/>
      </c>
      <c r="D519" s="2" t="str">
        <f t="shared" si="44"/>
        <v>Y</v>
      </c>
      <c r="E519" s="2">
        <f t="shared" si="45"/>
        <v>0</v>
      </c>
      <c r="F519" s="2" t="str">
        <f t="shared" si="49"/>
        <v/>
      </c>
      <c r="H519" s="56" t="s">
        <v>516</v>
      </c>
      <c r="I519" s="28"/>
      <c r="J519" s="29"/>
      <c r="K519" s="29"/>
      <c r="L519" s="30"/>
      <c r="M519" s="30"/>
      <c r="N519" s="36"/>
      <c r="O519" s="32"/>
      <c r="P519" s="33"/>
      <c r="Q519" s="34"/>
      <c r="R519" s="37"/>
      <c r="S519" s="14" t="str">
        <f t="shared" si="46"/>
        <v/>
      </c>
    </row>
    <row r="520" spans="2:19" x14ac:dyDescent="0.2">
      <c r="B520" s="2" t="str">
        <f t="shared" si="47"/>
        <v/>
      </c>
      <c r="C520" s="2" t="str">
        <f t="shared" si="48"/>
        <v/>
      </c>
      <c r="D520" s="2" t="str">
        <f t="shared" si="44"/>
        <v>Y</v>
      </c>
      <c r="E520" s="2">
        <f t="shared" si="45"/>
        <v>0</v>
      </c>
      <c r="F520" s="2" t="str">
        <f t="shared" si="49"/>
        <v/>
      </c>
      <c r="H520" s="56" t="s">
        <v>517</v>
      </c>
      <c r="I520" s="28"/>
      <c r="J520" s="29"/>
      <c r="K520" s="29"/>
      <c r="L520" s="30"/>
      <c r="M520" s="30"/>
      <c r="N520" s="36"/>
      <c r="O520" s="32"/>
      <c r="P520" s="33"/>
      <c r="Q520" s="34"/>
      <c r="R520" s="37"/>
      <c r="S520" s="14" t="str">
        <f t="shared" si="46"/>
        <v/>
      </c>
    </row>
    <row r="521" spans="2:19" x14ac:dyDescent="0.2">
      <c r="B521" s="2" t="str">
        <f t="shared" si="47"/>
        <v/>
      </c>
      <c r="C521" s="2" t="str">
        <f t="shared" si="48"/>
        <v/>
      </c>
      <c r="D521" s="2" t="str">
        <f t="shared" si="44"/>
        <v>Y</v>
      </c>
      <c r="E521" s="2">
        <f t="shared" si="45"/>
        <v>0</v>
      </c>
      <c r="F521" s="2" t="str">
        <f t="shared" si="49"/>
        <v/>
      </c>
      <c r="H521" s="56" t="s">
        <v>518</v>
      </c>
      <c r="I521" s="28"/>
      <c r="J521" s="29"/>
      <c r="K521" s="29"/>
      <c r="L521" s="30"/>
      <c r="M521" s="30"/>
      <c r="N521" s="36"/>
      <c r="O521" s="32"/>
      <c r="P521" s="33"/>
      <c r="Q521" s="34"/>
      <c r="R521" s="37"/>
      <c r="S521" s="14" t="str">
        <f t="shared" si="46"/>
        <v/>
      </c>
    </row>
    <row r="522" spans="2:19" x14ac:dyDescent="0.2">
      <c r="B522" s="2" t="str">
        <f t="shared" si="47"/>
        <v/>
      </c>
      <c r="C522" s="2" t="str">
        <f t="shared" si="48"/>
        <v/>
      </c>
      <c r="D522" s="2" t="str">
        <f t="shared" si="44"/>
        <v>Y</v>
      </c>
      <c r="E522" s="2">
        <f t="shared" si="45"/>
        <v>0</v>
      </c>
      <c r="F522" s="2" t="str">
        <f t="shared" si="49"/>
        <v/>
      </c>
      <c r="H522" s="56" t="s">
        <v>519</v>
      </c>
      <c r="I522" s="28"/>
      <c r="J522" s="29"/>
      <c r="K522" s="29"/>
      <c r="L522" s="30"/>
      <c r="M522" s="30"/>
      <c r="N522" s="36"/>
      <c r="O522" s="32"/>
      <c r="P522" s="33"/>
      <c r="Q522" s="34"/>
      <c r="R522" s="37"/>
      <c r="S522" s="14" t="str">
        <f t="shared" si="46"/>
        <v/>
      </c>
    </row>
    <row r="523" spans="2:19" x14ac:dyDescent="0.2">
      <c r="B523" s="2" t="str">
        <f t="shared" si="47"/>
        <v/>
      </c>
      <c r="C523" s="2" t="str">
        <f t="shared" si="48"/>
        <v/>
      </c>
      <c r="D523" s="2" t="str">
        <f t="shared" ref="D523:D586" si="50">IF(OR(P523=Not_started,P523=In_progress),"N",IF(OR(P523=N_A,P523=Suspended,P523=Canceled),"","Y"))</f>
        <v>Y</v>
      </c>
      <c r="E523" s="2">
        <f t="shared" ref="E523:E586" si="51">IF(OR(P523=Not_started,P523=In_progress,P523=Applied,P523=Closed),1,0)</f>
        <v>0</v>
      </c>
      <c r="F523" s="2" t="str">
        <f t="shared" si="49"/>
        <v/>
      </c>
      <c r="H523" s="56" t="s">
        <v>520</v>
      </c>
      <c r="I523" s="28"/>
      <c r="J523" s="29"/>
      <c r="K523" s="29"/>
      <c r="L523" s="30"/>
      <c r="M523" s="30"/>
      <c r="N523" s="36"/>
      <c r="O523" s="32"/>
      <c r="P523" s="33"/>
      <c r="Q523" s="34"/>
      <c r="R523" s="37"/>
      <c r="S523" s="14" t="str">
        <f t="shared" ref="S523:S586" si="52">IF(ISERROR(VLOOKUP(K523,LB_PROJECTS,2,FALSE)),"",VLOOKUP(K523,LB_PROJECTS,2,FALSE))</f>
        <v/>
      </c>
    </row>
    <row r="524" spans="2:19" x14ac:dyDescent="0.2">
      <c r="B524" s="2" t="str">
        <f t="shared" ref="B524:B587" si="53">IF(N524="","",IF(WEEKNUM(N524)&lt;10,VALUE(CONCATENATE(YEAR(N524),"0",WEEKNUM(N524))),VALUE(CONCATENATE(YEAR(N524),WEEKNUM(N524)))))</f>
        <v/>
      </c>
      <c r="C524" s="2" t="str">
        <f t="shared" ref="C524:C587" si="54">IF(Q524="","",IF(WEEKNUM(Q524)&lt;10,VALUE(CONCATENATE(YEAR(Q524),"0",WEEKNUM(Q524))),VALUE(CONCATENATE(YEAR(Q524),WEEKNUM(Q524)))))</f>
        <v/>
      </c>
      <c r="D524" s="2" t="str">
        <f t="shared" si="50"/>
        <v>Y</v>
      </c>
      <c r="E524" s="2">
        <f t="shared" si="51"/>
        <v>0</v>
      </c>
      <c r="F524" s="2" t="str">
        <f t="shared" si="49"/>
        <v/>
      </c>
      <c r="H524" s="56" t="s">
        <v>521</v>
      </c>
      <c r="I524" s="28"/>
      <c r="J524" s="29"/>
      <c r="K524" s="29"/>
      <c r="L524" s="30"/>
      <c r="M524" s="30"/>
      <c r="N524" s="36"/>
      <c r="O524" s="32"/>
      <c r="P524" s="33"/>
      <c r="Q524" s="34"/>
      <c r="R524" s="37"/>
      <c r="S524" s="14" t="str">
        <f t="shared" si="52"/>
        <v/>
      </c>
    </row>
    <row r="525" spans="2:19" x14ac:dyDescent="0.2">
      <c r="B525" s="2" t="str">
        <f t="shared" si="53"/>
        <v/>
      </c>
      <c r="C525" s="2" t="str">
        <f t="shared" si="54"/>
        <v/>
      </c>
      <c r="D525" s="2" t="str">
        <f t="shared" si="50"/>
        <v>Y</v>
      </c>
      <c r="E525" s="2">
        <f t="shared" si="51"/>
        <v>0</v>
      </c>
      <c r="F525" s="2" t="str">
        <f t="shared" si="49"/>
        <v/>
      </c>
      <c r="H525" s="56" t="s">
        <v>522</v>
      </c>
      <c r="I525" s="28"/>
      <c r="J525" s="29"/>
      <c r="K525" s="29"/>
      <c r="L525" s="30"/>
      <c r="M525" s="30"/>
      <c r="N525" s="36"/>
      <c r="O525" s="32"/>
      <c r="P525" s="33"/>
      <c r="Q525" s="34"/>
      <c r="R525" s="37"/>
      <c r="S525" s="14" t="str">
        <f t="shared" si="52"/>
        <v/>
      </c>
    </row>
    <row r="526" spans="2:19" x14ac:dyDescent="0.2">
      <c r="B526" s="2" t="str">
        <f t="shared" si="53"/>
        <v/>
      </c>
      <c r="C526" s="2" t="str">
        <f t="shared" si="54"/>
        <v/>
      </c>
      <c r="D526" s="2" t="str">
        <f t="shared" si="50"/>
        <v>Y</v>
      </c>
      <c r="E526" s="2">
        <f t="shared" si="51"/>
        <v>0</v>
      </c>
      <c r="F526" s="2" t="str">
        <f t="shared" ref="F526:F589" si="55">IF(O526="",B526,IF(WEEKNUM(O526)&lt;10,VALUE(CONCATENATE(YEAR(O526),"0",WEEKNUM(O526))),VALUE(CONCATENATE(YEAR(O526),WEEKNUM(O526)))))</f>
        <v/>
      </c>
      <c r="H526" s="56" t="s">
        <v>523</v>
      </c>
      <c r="I526" s="28"/>
      <c r="J526" s="29"/>
      <c r="K526" s="29"/>
      <c r="L526" s="30"/>
      <c r="M526" s="30"/>
      <c r="N526" s="36"/>
      <c r="O526" s="32"/>
      <c r="P526" s="33"/>
      <c r="Q526" s="34"/>
      <c r="R526" s="37"/>
      <c r="S526" s="14" t="str">
        <f t="shared" si="52"/>
        <v/>
      </c>
    </row>
    <row r="527" spans="2:19" x14ac:dyDescent="0.2">
      <c r="B527" s="2" t="str">
        <f t="shared" si="53"/>
        <v/>
      </c>
      <c r="C527" s="2" t="str">
        <f t="shared" si="54"/>
        <v/>
      </c>
      <c r="D527" s="2" t="str">
        <f t="shared" si="50"/>
        <v>Y</v>
      </c>
      <c r="E527" s="2">
        <f t="shared" si="51"/>
        <v>0</v>
      </c>
      <c r="F527" s="2" t="str">
        <f t="shared" si="55"/>
        <v/>
      </c>
      <c r="H527" s="56" t="s">
        <v>524</v>
      </c>
      <c r="I527" s="28"/>
      <c r="J527" s="29"/>
      <c r="K527" s="29"/>
      <c r="L527" s="30"/>
      <c r="M527" s="30"/>
      <c r="N527" s="36"/>
      <c r="O527" s="32"/>
      <c r="P527" s="33"/>
      <c r="Q527" s="34"/>
      <c r="R527" s="37"/>
      <c r="S527" s="14" t="str">
        <f t="shared" si="52"/>
        <v/>
      </c>
    </row>
    <row r="528" spans="2:19" x14ac:dyDescent="0.2">
      <c r="B528" s="2" t="str">
        <f t="shared" si="53"/>
        <v/>
      </c>
      <c r="C528" s="2" t="str">
        <f t="shared" si="54"/>
        <v/>
      </c>
      <c r="D528" s="2" t="str">
        <f t="shared" si="50"/>
        <v>Y</v>
      </c>
      <c r="E528" s="2">
        <f t="shared" si="51"/>
        <v>0</v>
      </c>
      <c r="F528" s="2" t="str">
        <f t="shared" si="55"/>
        <v/>
      </c>
      <c r="H528" s="56" t="s">
        <v>525</v>
      </c>
      <c r="I528" s="28"/>
      <c r="J528" s="29"/>
      <c r="K528" s="29"/>
      <c r="L528" s="30"/>
      <c r="M528" s="30"/>
      <c r="N528" s="36"/>
      <c r="O528" s="32"/>
      <c r="P528" s="33"/>
      <c r="Q528" s="34"/>
      <c r="R528" s="37"/>
      <c r="S528" s="14" t="str">
        <f t="shared" si="52"/>
        <v/>
      </c>
    </row>
    <row r="529" spans="2:19" x14ac:dyDescent="0.2">
      <c r="B529" s="2" t="str">
        <f t="shared" si="53"/>
        <v/>
      </c>
      <c r="C529" s="2" t="str">
        <f t="shared" si="54"/>
        <v/>
      </c>
      <c r="D529" s="2" t="str">
        <f t="shared" si="50"/>
        <v>Y</v>
      </c>
      <c r="E529" s="2">
        <f t="shared" si="51"/>
        <v>0</v>
      </c>
      <c r="F529" s="2" t="str">
        <f t="shared" si="55"/>
        <v/>
      </c>
      <c r="H529" s="56" t="s">
        <v>526</v>
      </c>
      <c r="I529" s="28"/>
      <c r="J529" s="29"/>
      <c r="K529" s="29"/>
      <c r="L529" s="30"/>
      <c r="M529" s="30"/>
      <c r="N529" s="36"/>
      <c r="O529" s="32"/>
      <c r="P529" s="33"/>
      <c r="Q529" s="34"/>
      <c r="R529" s="37"/>
      <c r="S529" s="14" t="str">
        <f t="shared" si="52"/>
        <v/>
      </c>
    </row>
    <row r="530" spans="2:19" x14ac:dyDescent="0.2">
      <c r="B530" s="2" t="str">
        <f t="shared" si="53"/>
        <v/>
      </c>
      <c r="C530" s="2" t="str">
        <f t="shared" si="54"/>
        <v/>
      </c>
      <c r="D530" s="2" t="str">
        <f t="shared" si="50"/>
        <v>Y</v>
      </c>
      <c r="E530" s="2">
        <f t="shared" si="51"/>
        <v>0</v>
      </c>
      <c r="F530" s="2" t="str">
        <f t="shared" si="55"/>
        <v/>
      </c>
      <c r="H530" s="56" t="s">
        <v>527</v>
      </c>
      <c r="I530" s="28"/>
      <c r="J530" s="29"/>
      <c r="K530" s="29"/>
      <c r="L530" s="30"/>
      <c r="M530" s="30"/>
      <c r="N530" s="36"/>
      <c r="O530" s="32"/>
      <c r="P530" s="33"/>
      <c r="Q530" s="34"/>
      <c r="R530" s="37"/>
      <c r="S530" s="14" t="str">
        <f t="shared" si="52"/>
        <v/>
      </c>
    </row>
    <row r="531" spans="2:19" x14ac:dyDescent="0.2">
      <c r="B531" s="2" t="str">
        <f t="shared" si="53"/>
        <v/>
      </c>
      <c r="C531" s="2" t="str">
        <f t="shared" si="54"/>
        <v/>
      </c>
      <c r="D531" s="2" t="str">
        <f t="shared" si="50"/>
        <v>Y</v>
      </c>
      <c r="E531" s="2">
        <f t="shared" si="51"/>
        <v>0</v>
      </c>
      <c r="F531" s="2" t="str">
        <f t="shared" si="55"/>
        <v/>
      </c>
      <c r="H531" s="56" t="s">
        <v>528</v>
      </c>
      <c r="I531" s="28"/>
      <c r="J531" s="29"/>
      <c r="K531" s="29"/>
      <c r="L531" s="30"/>
      <c r="M531" s="30"/>
      <c r="N531" s="36"/>
      <c r="O531" s="32"/>
      <c r="P531" s="33"/>
      <c r="Q531" s="34"/>
      <c r="R531" s="37"/>
      <c r="S531" s="14" t="str">
        <f t="shared" si="52"/>
        <v/>
      </c>
    </row>
    <row r="532" spans="2:19" x14ac:dyDescent="0.2">
      <c r="B532" s="2" t="str">
        <f t="shared" si="53"/>
        <v/>
      </c>
      <c r="C532" s="2" t="str">
        <f t="shared" si="54"/>
        <v/>
      </c>
      <c r="D532" s="2" t="str">
        <f t="shared" si="50"/>
        <v>Y</v>
      </c>
      <c r="E532" s="2">
        <f t="shared" si="51"/>
        <v>0</v>
      </c>
      <c r="F532" s="2" t="str">
        <f t="shared" si="55"/>
        <v/>
      </c>
      <c r="H532" s="56" t="s">
        <v>529</v>
      </c>
      <c r="I532" s="28"/>
      <c r="J532" s="29"/>
      <c r="K532" s="29"/>
      <c r="L532" s="30"/>
      <c r="M532" s="30"/>
      <c r="N532" s="36"/>
      <c r="O532" s="32"/>
      <c r="P532" s="33"/>
      <c r="Q532" s="34"/>
      <c r="R532" s="37"/>
      <c r="S532" s="14" t="str">
        <f t="shared" si="52"/>
        <v/>
      </c>
    </row>
    <row r="533" spans="2:19" x14ac:dyDescent="0.2">
      <c r="B533" s="2" t="str">
        <f t="shared" si="53"/>
        <v/>
      </c>
      <c r="C533" s="2" t="str">
        <f t="shared" si="54"/>
        <v/>
      </c>
      <c r="D533" s="2" t="str">
        <f t="shared" si="50"/>
        <v>Y</v>
      </c>
      <c r="E533" s="2">
        <f t="shared" si="51"/>
        <v>0</v>
      </c>
      <c r="F533" s="2" t="str">
        <f t="shared" si="55"/>
        <v/>
      </c>
      <c r="H533" s="56" t="s">
        <v>530</v>
      </c>
      <c r="I533" s="28"/>
      <c r="J533" s="29"/>
      <c r="K533" s="29"/>
      <c r="L533" s="30"/>
      <c r="M533" s="30"/>
      <c r="N533" s="36"/>
      <c r="O533" s="32"/>
      <c r="P533" s="33"/>
      <c r="Q533" s="34"/>
      <c r="R533" s="37"/>
      <c r="S533" s="14" t="str">
        <f t="shared" si="52"/>
        <v/>
      </c>
    </row>
    <row r="534" spans="2:19" x14ac:dyDescent="0.2">
      <c r="B534" s="2" t="str">
        <f t="shared" si="53"/>
        <v/>
      </c>
      <c r="C534" s="2" t="str">
        <f t="shared" si="54"/>
        <v/>
      </c>
      <c r="D534" s="2" t="str">
        <f t="shared" si="50"/>
        <v>Y</v>
      </c>
      <c r="E534" s="2">
        <f t="shared" si="51"/>
        <v>0</v>
      </c>
      <c r="F534" s="2" t="str">
        <f t="shared" si="55"/>
        <v/>
      </c>
      <c r="H534" s="56" t="s">
        <v>531</v>
      </c>
      <c r="I534" s="28"/>
      <c r="J534" s="29"/>
      <c r="K534" s="29"/>
      <c r="L534" s="30"/>
      <c r="M534" s="30"/>
      <c r="N534" s="36"/>
      <c r="O534" s="32"/>
      <c r="P534" s="33"/>
      <c r="Q534" s="34"/>
      <c r="R534" s="37"/>
      <c r="S534" s="14" t="str">
        <f t="shared" si="52"/>
        <v/>
      </c>
    </row>
    <row r="535" spans="2:19" x14ac:dyDescent="0.2">
      <c r="B535" s="2" t="str">
        <f t="shared" si="53"/>
        <v/>
      </c>
      <c r="C535" s="2" t="str">
        <f t="shared" si="54"/>
        <v/>
      </c>
      <c r="D535" s="2" t="str">
        <f t="shared" si="50"/>
        <v>Y</v>
      </c>
      <c r="E535" s="2">
        <f t="shared" si="51"/>
        <v>0</v>
      </c>
      <c r="F535" s="2" t="str">
        <f t="shared" si="55"/>
        <v/>
      </c>
      <c r="H535" s="56" t="s">
        <v>532</v>
      </c>
      <c r="I535" s="28"/>
      <c r="J535" s="29"/>
      <c r="K535" s="29"/>
      <c r="L535" s="30"/>
      <c r="M535" s="30"/>
      <c r="N535" s="36"/>
      <c r="O535" s="32"/>
      <c r="P535" s="33"/>
      <c r="Q535" s="34"/>
      <c r="R535" s="37"/>
      <c r="S535" s="14" t="str">
        <f t="shared" si="52"/>
        <v/>
      </c>
    </row>
    <row r="536" spans="2:19" x14ac:dyDescent="0.2">
      <c r="B536" s="2" t="str">
        <f t="shared" si="53"/>
        <v/>
      </c>
      <c r="C536" s="2" t="str">
        <f t="shared" si="54"/>
        <v/>
      </c>
      <c r="D536" s="2" t="str">
        <f t="shared" si="50"/>
        <v>Y</v>
      </c>
      <c r="E536" s="2">
        <f t="shared" si="51"/>
        <v>0</v>
      </c>
      <c r="F536" s="2" t="str">
        <f t="shared" si="55"/>
        <v/>
      </c>
      <c r="H536" s="56" t="s">
        <v>533</v>
      </c>
      <c r="I536" s="28"/>
      <c r="J536" s="29"/>
      <c r="K536" s="29"/>
      <c r="L536" s="30"/>
      <c r="M536" s="30"/>
      <c r="N536" s="36"/>
      <c r="O536" s="32"/>
      <c r="P536" s="33"/>
      <c r="Q536" s="34"/>
      <c r="R536" s="37"/>
      <c r="S536" s="14" t="str">
        <f t="shared" si="52"/>
        <v/>
      </c>
    </row>
    <row r="537" spans="2:19" x14ac:dyDescent="0.2">
      <c r="B537" s="2" t="str">
        <f t="shared" si="53"/>
        <v/>
      </c>
      <c r="C537" s="2" t="str">
        <f t="shared" si="54"/>
        <v/>
      </c>
      <c r="D537" s="2" t="str">
        <f t="shared" si="50"/>
        <v>Y</v>
      </c>
      <c r="E537" s="2">
        <f t="shared" si="51"/>
        <v>0</v>
      </c>
      <c r="F537" s="2" t="str">
        <f t="shared" si="55"/>
        <v/>
      </c>
      <c r="H537" s="56" t="s">
        <v>534</v>
      </c>
      <c r="I537" s="28"/>
      <c r="J537" s="29"/>
      <c r="K537" s="29"/>
      <c r="L537" s="30"/>
      <c r="M537" s="30"/>
      <c r="N537" s="36"/>
      <c r="O537" s="32"/>
      <c r="P537" s="33"/>
      <c r="Q537" s="34"/>
      <c r="R537" s="37"/>
      <c r="S537" s="14" t="str">
        <f t="shared" si="52"/>
        <v/>
      </c>
    </row>
    <row r="538" spans="2:19" x14ac:dyDescent="0.2">
      <c r="B538" s="2" t="str">
        <f t="shared" si="53"/>
        <v/>
      </c>
      <c r="C538" s="2" t="str">
        <f t="shared" si="54"/>
        <v/>
      </c>
      <c r="D538" s="2" t="str">
        <f t="shared" si="50"/>
        <v>Y</v>
      </c>
      <c r="E538" s="2">
        <f t="shared" si="51"/>
        <v>0</v>
      </c>
      <c r="F538" s="2" t="str">
        <f t="shared" si="55"/>
        <v/>
      </c>
      <c r="H538" s="56" t="s">
        <v>535</v>
      </c>
      <c r="I538" s="28"/>
      <c r="J538" s="29"/>
      <c r="K538" s="29"/>
      <c r="L538" s="30"/>
      <c r="M538" s="30"/>
      <c r="N538" s="36"/>
      <c r="O538" s="32"/>
      <c r="P538" s="33"/>
      <c r="Q538" s="34"/>
      <c r="R538" s="37"/>
      <c r="S538" s="14" t="str">
        <f t="shared" si="52"/>
        <v/>
      </c>
    </row>
    <row r="539" spans="2:19" x14ac:dyDescent="0.2">
      <c r="B539" s="2" t="str">
        <f t="shared" si="53"/>
        <v/>
      </c>
      <c r="C539" s="2" t="str">
        <f t="shared" si="54"/>
        <v/>
      </c>
      <c r="D539" s="2" t="str">
        <f t="shared" si="50"/>
        <v>Y</v>
      </c>
      <c r="E539" s="2">
        <f t="shared" si="51"/>
        <v>0</v>
      </c>
      <c r="F539" s="2" t="str">
        <f t="shared" si="55"/>
        <v/>
      </c>
      <c r="H539" s="56" t="s">
        <v>536</v>
      </c>
      <c r="I539" s="28"/>
      <c r="J539" s="29"/>
      <c r="K539" s="29"/>
      <c r="L539" s="30"/>
      <c r="M539" s="30"/>
      <c r="N539" s="36"/>
      <c r="O539" s="32"/>
      <c r="P539" s="33"/>
      <c r="Q539" s="34"/>
      <c r="R539" s="37"/>
      <c r="S539" s="14" t="str">
        <f t="shared" si="52"/>
        <v/>
      </c>
    </row>
    <row r="540" spans="2:19" x14ac:dyDescent="0.2">
      <c r="B540" s="2" t="str">
        <f t="shared" si="53"/>
        <v/>
      </c>
      <c r="C540" s="2" t="str">
        <f t="shared" si="54"/>
        <v/>
      </c>
      <c r="D540" s="2" t="str">
        <f t="shared" si="50"/>
        <v>Y</v>
      </c>
      <c r="E540" s="2">
        <f t="shared" si="51"/>
        <v>0</v>
      </c>
      <c r="F540" s="2" t="str">
        <f t="shared" si="55"/>
        <v/>
      </c>
      <c r="H540" s="56" t="s">
        <v>537</v>
      </c>
      <c r="I540" s="28"/>
      <c r="J540" s="29"/>
      <c r="K540" s="29"/>
      <c r="L540" s="30"/>
      <c r="M540" s="30"/>
      <c r="N540" s="36"/>
      <c r="O540" s="32"/>
      <c r="P540" s="33"/>
      <c r="Q540" s="34"/>
      <c r="R540" s="37"/>
      <c r="S540" s="14" t="str">
        <f t="shared" si="52"/>
        <v/>
      </c>
    </row>
    <row r="541" spans="2:19" x14ac:dyDescent="0.2">
      <c r="B541" s="2" t="str">
        <f t="shared" si="53"/>
        <v/>
      </c>
      <c r="C541" s="2" t="str">
        <f t="shared" si="54"/>
        <v/>
      </c>
      <c r="D541" s="2" t="str">
        <f t="shared" si="50"/>
        <v>Y</v>
      </c>
      <c r="E541" s="2">
        <f t="shared" si="51"/>
        <v>0</v>
      </c>
      <c r="F541" s="2" t="str">
        <f t="shared" si="55"/>
        <v/>
      </c>
      <c r="H541" s="56" t="s">
        <v>538</v>
      </c>
      <c r="I541" s="28"/>
      <c r="J541" s="29"/>
      <c r="K541" s="29"/>
      <c r="L541" s="30"/>
      <c r="M541" s="30"/>
      <c r="N541" s="36"/>
      <c r="O541" s="32"/>
      <c r="P541" s="33"/>
      <c r="Q541" s="34"/>
      <c r="R541" s="37"/>
      <c r="S541" s="14" t="str">
        <f t="shared" si="52"/>
        <v/>
      </c>
    </row>
    <row r="542" spans="2:19" x14ac:dyDescent="0.2">
      <c r="B542" s="2" t="str">
        <f t="shared" si="53"/>
        <v/>
      </c>
      <c r="C542" s="2" t="str">
        <f t="shared" si="54"/>
        <v/>
      </c>
      <c r="D542" s="2" t="str">
        <f t="shared" si="50"/>
        <v>Y</v>
      </c>
      <c r="E542" s="2">
        <f t="shared" si="51"/>
        <v>0</v>
      </c>
      <c r="F542" s="2" t="str">
        <f t="shared" si="55"/>
        <v/>
      </c>
      <c r="H542" s="56" t="s">
        <v>539</v>
      </c>
      <c r="I542" s="28"/>
      <c r="J542" s="29"/>
      <c r="K542" s="29"/>
      <c r="L542" s="30"/>
      <c r="M542" s="30"/>
      <c r="N542" s="36"/>
      <c r="O542" s="32"/>
      <c r="P542" s="33"/>
      <c r="Q542" s="34"/>
      <c r="R542" s="37"/>
      <c r="S542" s="14" t="str">
        <f t="shared" si="52"/>
        <v/>
      </c>
    </row>
    <row r="543" spans="2:19" x14ac:dyDescent="0.2">
      <c r="B543" s="2" t="str">
        <f t="shared" si="53"/>
        <v/>
      </c>
      <c r="C543" s="2" t="str">
        <f t="shared" si="54"/>
        <v/>
      </c>
      <c r="D543" s="2" t="str">
        <f t="shared" si="50"/>
        <v>Y</v>
      </c>
      <c r="E543" s="2">
        <f t="shared" si="51"/>
        <v>0</v>
      </c>
      <c r="F543" s="2" t="str">
        <f t="shared" si="55"/>
        <v/>
      </c>
      <c r="H543" s="56" t="s">
        <v>540</v>
      </c>
      <c r="I543" s="28"/>
      <c r="J543" s="29"/>
      <c r="K543" s="29"/>
      <c r="L543" s="30"/>
      <c r="M543" s="30"/>
      <c r="N543" s="36"/>
      <c r="O543" s="32"/>
      <c r="P543" s="33"/>
      <c r="Q543" s="34"/>
      <c r="R543" s="37"/>
      <c r="S543" s="14" t="str">
        <f t="shared" si="52"/>
        <v/>
      </c>
    </row>
    <row r="544" spans="2:19" x14ac:dyDescent="0.2">
      <c r="B544" s="2" t="str">
        <f t="shared" si="53"/>
        <v/>
      </c>
      <c r="C544" s="2" t="str">
        <f t="shared" si="54"/>
        <v/>
      </c>
      <c r="D544" s="2" t="str">
        <f t="shared" si="50"/>
        <v>Y</v>
      </c>
      <c r="E544" s="2">
        <f t="shared" si="51"/>
        <v>0</v>
      </c>
      <c r="F544" s="2" t="str">
        <f t="shared" si="55"/>
        <v/>
      </c>
      <c r="H544" s="56" t="s">
        <v>541</v>
      </c>
      <c r="I544" s="28"/>
      <c r="J544" s="29"/>
      <c r="K544" s="29"/>
      <c r="L544" s="30"/>
      <c r="M544" s="30"/>
      <c r="N544" s="36"/>
      <c r="O544" s="32"/>
      <c r="P544" s="33"/>
      <c r="Q544" s="34"/>
      <c r="R544" s="37"/>
      <c r="S544" s="14" t="str">
        <f t="shared" si="52"/>
        <v/>
      </c>
    </row>
    <row r="545" spans="2:19" x14ac:dyDescent="0.2">
      <c r="B545" s="2" t="str">
        <f t="shared" si="53"/>
        <v/>
      </c>
      <c r="C545" s="2" t="str">
        <f t="shared" si="54"/>
        <v/>
      </c>
      <c r="D545" s="2" t="str">
        <f t="shared" si="50"/>
        <v>Y</v>
      </c>
      <c r="E545" s="2">
        <f t="shared" si="51"/>
        <v>0</v>
      </c>
      <c r="F545" s="2" t="str">
        <f t="shared" si="55"/>
        <v/>
      </c>
      <c r="H545" s="56" t="s">
        <v>542</v>
      </c>
      <c r="I545" s="28"/>
      <c r="J545" s="29"/>
      <c r="K545" s="29"/>
      <c r="L545" s="30"/>
      <c r="M545" s="30"/>
      <c r="N545" s="36"/>
      <c r="O545" s="32"/>
      <c r="P545" s="33"/>
      <c r="Q545" s="34"/>
      <c r="R545" s="37"/>
      <c r="S545" s="14" t="str">
        <f t="shared" si="52"/>
        <v/>
      </c>
    </row>
    <row r="546" spans="2:19" x14ac:dyDescent="0.2">
      <c r="B546" s="2" t="str">
        <f t="shared" si="53"/>
        <v/>
      </c>
      <c r="C546" s="2" t="str">
        <f t="shared" si="54"/>
        <v/>
      </c>
      <c r="D546" s="2" t="str">
        <f t="shared" si="50"/>
        <v>Y</v>
      </c>
      <c r="E546" s="2">
        <f t="shared" si="51"/>
        <v>0</v>
      </c>
      <c r="F546" s="2" t="str">
        <f t="shared" si="55"/>
        <v/>
      </c>
      <c r="H546" s="56" t="s">
        <v>543</v>
      </c>
      <c r="I546" s="28"/>
      <c r="J546" s="29"/>
      <c r="K546" s="29"/>
      <c r="L546" s="30"/>
      <c r="M546" s="30"/>
      <c r="N546" s="36"/>
      <c r="O546" s="32"/>
      <c r="P546" s="33"/>
      <c r="Q546" s="34"/>
      <c r="R546" s="37"/>
      <c r="S546" s="14" t="str">
        <f t="shared" si="52"/>
        <v/>
      </c>
    </row>
    <row r="547" spans="2:19" x14ac:dyDescent="0.2">
      <c r="B547" s="2" t="str">
        <f t="shared" si="53"/>
        <v/>
      </c>
      <c r="C547" s="2" t="str">
        <f t="shared" si="54"/>
        <v/>
      </c>
      <c r="D547" s="2" t="str">
        <f t="shared" si="50"/>
        <v>Y</v>
      </c>
      <c r="E547" s="2">
        <f t="shared" si="51"/>
        <v>0</v>
      </c>
      <c r="F547" s="2" t="str">
        <f t="shared" si="55"/>
        <v/>
      </c>
      <c r="H547" s="56" t="s">
        <v>544</v>
      </c>
      <c r="I547" s="28"/>
      <c r="J547" s="29"/>
      <c r="K547" s="29"/>
      <c r="L547" s="30"/>
      <c r="M547" s="30"/>
      <c r="N547" s="36"/>
      <c r="O547" s="32"/>
      <c r="P547" s="33"/>
      <c r="Q547" s="34"/>
      <c r="R547" s="37"/>
      <c r="S547" s="14" t="str">
        <f t="shared" si="52"/>
        <v/>
      </c>
    </row>
    <row r="548" spans="2:19" x14ac:dyDescent="0.2">
      <c r="B548" s="2" t="str">
        <f t="shared" si="53"/>
        <v/>
      </c>
      <c r="C548" s="2" t="str">
        <f t="shared" si="54"/>
        <v/>
      </c>
      <c r="D548" s="2" t="str">
        <f t="shared" si="50"/>
        <v>Y</v>
      </c>
      <c r="E548" s="2">
        <f t="shared" si="51"/>
        <v>0</v>
      </c>
      <c r="F548" s="2" t="str">
        <f t="shared" si="55"/>
        <v/>
      </c>
      <c r="H548" s="56" t="s">
        <v>545</v>
      </c>
      <c r="I548" s="28"/>
      <c r="J548" s="29"/>
      <c r="K548" s="29"/>
      <c r="L548" s="30"/>
      <c r="M548" s="30"/>
      <c r="N548" s="36"/>
      <c r="O548" s="32"/>
      <c r="P548" s="33"/>
      <c r="Q548" s="34"/>
      <c r="R548" s="37"/>
      <c r="S548" s="14" t="str">
        <f t="shared" si="52"/>
        <v/>
      </c>
    </row>
    <row r="549" spans="2:19" x14ac:dyDescent="0.2">
      <c r="B549" s="2" t="str">
        <f t="shared" si="53"/>
        <v/>
      </c>
      <c r="C549" s="2" t="str">
        <f t="shared" si="54"/>
        <v/>
      </c>
      <c r="D549" s="2" t="str">
        <f t="shared" si="50"/>
        <v>Y</v>
      </c>
      <c r="E549" s="2">
        <f t="shared" si="51"/>
        <v>0</v>
      </c>
      <c r="F549" s="2" t="str">
        <f t="shared" si="55"/>
        <v/>
      </c>
      <c r="H549" s="56" t="s">
        <v>546</v>
      </c>
      <c r="I549" s="28"/>
      <c r="J549" s="29"/>
      <c r="K549" s="29"/>
      <c r="L549" s="30"/>
      <c r="M549" s="30"/>
      <c r="N549" s="36"/>
      <c r="O549" s="32"/>
      <c r="P549" s="33"/>
      <c r="Q549" s="34"/>
      <c r="R549" s="37"/>
      <c r="S549" s="14" t="str">
        <f t="shared" si="52"/>
        <v/>
      </c>
    </row>
    <row r="550" spans="2:19" x14ac:dyDescent="0.2">
      <c r="B550" s="2" t="str">
        <f t="shared" si="53"/>
        <v/>
      </c>
      <c r="C550" s="2" t="str">
        <f t="shared" si="54"/>
        <v/>
      </c>
      <c r="D550" s="2" t="str">
        <f t="shared" si="50"/>
        <v>Y</v>
      </c>
      <c r="E550" s="2">
        <f t="shared" si="51"/>
        <v>0</v>
      </c>
      <c r="F550" s="2" t="str">
        <f t="shared" si="55"/>
        <v/>
      </c>
      <c r="H550" s="56" t="s">
        <v>547</v>
      </c>
      <c r="I550" s="28"/>
      <c r="J550" s="29"/>
      <c r="K550" s="29"/>
      <c r="L550" s="30"/>
      <c r="M550" s="30"/>
      <c r="N550" s="36"/>
      <c r="O550" s="32"/>
      <c r="P550" s="33"/>
      <c r="Q550" s="34"/>
      <c r="R550" s="37"/>
      <c r="S550" s="14" t="str">
        <f t="shared" si="52"/>
        <v/>
      </c>
    </row>
    <row r="551" spans="2:19" x14ac:dyDescent="0.2">
      <c r="B551" s="2" t="str">
        <f t="shared" si="53"/>
        <v/>
      </c>
      <c r="C551" s="2" t="str">
        <f t="shared" si="54"/>
        <v/>
      </c>
      <c r="D551" s="2" t="str">
        <f t="shared" si="50"/>
        <v>Y</v>
      </c>
      <c r="E551" s="2">
        <f t="shared" si="51"/>
        <v>0</v>
      </c>
      <c r="F551" s="2" t="str">
        <f t="shared" si="55"/>
        <v/>
      </c>
      <c r="H551" s="56" t="s">
        <v>548</v>
      </c>
      <c r="I551" s="28"/>
      <c r="J551" s="29"/>
      <c r="K551" s="29"/>
      <c r="L551" s="30"/>
      <c r="M551" s="30"/>
      <c r="N551" s="36"/>
      <c r="O551" s="32"/>
      <c r="P551" s="33"/>
      <c r="Q551" s="34"/>
      <c r="R551" s="37"/>
      <c r="S551" s="14" t="str">
        <f t="shared" si="52"/>
        <v/>
      </c>
    </row>
    <row r="552" spans="2:19" x14ac:dyDescent="0.2">
      <c r="B552" s="2" t="str">
        <f t="shared" si="53"/>
        <v/>
      </c>
      <c r="C552" s="2" t="str">
        <f t="shared" si="54"/>
        <v/>
      </c>
      <c r="D552" s="2" t="str">
        <f t="shared" si="50"/>
        <v>Y</v>
      </c>
      <c r="E552" s="2">
        <f t="shared" si="51"/>
        <v>0</v>
      </c>
      <c r="F552" s="2" t="str">
        <f t="shared" si="55"/>
        <v/>
      </c>
      <c r="H552" s="56" t="s">
        <v>549</v>
      </c>
      <c r="I552" s="28"/>
      <c r="J552" s="29"/>
      <c r="K552" s="29"/>
      <c r="L552" s="30"/>
      <c r="M552" s="30"/>
      <c r="N552" s="36"/>
      <c r="O552" s="32"/>
      <c r="P552" s="33"/>
      <c r="Q552" s="34"/>
      <c r="R552" s="37"/>
      <c r="S552" s="14" t="str">
        <f t="shared" si="52"/>
        <v/>
      </c>
    </row>
    <row r="553" spans="2:19" x14ac:dyDescent="0.2">
      <c r="B553" s="2" t="str">
        <f t="shared" si="53"/>
        <v/>
      </c>
      <c r="C553" s="2" t="str">
        <f t="shared" si="54"/>
        <v/>
      </c>
      <c r="D553" s="2" t="str">
        <f t="shared" si="50"/>
        <v>Y</v>
      </c>
      <c r="E553" s="2">
        <f t="shared" si="51"/>
        <v>0</v>
      </c>
      <c r="F553" s="2" t="str">
        <f t="shared" si="55"/>
        <v/>
      </c>
      <c r="H553" s="56" t="s">
        <v>550</v>
      </c>
      <c r="I553" s="28"/>
      <c r="J553" s="29"/>
      <c r="K553" s="29"/>
      <c r="L553" s="30"/>
      <c r="M553" s="30"/>
      <c r="N553" s="36"/>
      <c r="O553" s="32"/>
      <c r="P553" s="33"/>
      <c r="Q553" s="34"/>
      <c r="R553" s="37"/>
      <c r="S553" s="14" t="str">
        <f t="shared" si="52"/>
        <v/>
      </c>
    </row>
    <row r="554" spans="2:19" x14ac:dyDescent="0.2">
      <c r="B554" s="2" t="str">
        <f t="shared" si="53"/>
        <v/>
      </c>
      <c r="C554" s="2" t="str">
        <f t="shared" si="54"/>
        <v/>
      </c>
      <c r="D554" s="2" t="str">
        <f t="shared" si="50"/>
        <v>Y</v>
      </c>
      <c r="E554" s="2">
        <f t="shared" si="51"/>
        <v>0</v>
      </c>
      <c r="F554" s="2" t="str">
        <f t="shared" si="55"/>
        <v/>
      </c>
      <c r="H554" s="56" t="s">
        <v>551</v>
      </c>
      <c r="I554" s="28"/>
      <c r="J554" s="29"/>
      <c r="K554" s="29"/>
      <c r="L554" s="30"/>
      <c r="M554" s="30"/>
      <c r="N554" s="36"/>
      <c r="O554" s="32"/>
      <c r="P554" s="33"/>
      <c r="Q554" s="34"/>
      <c r="R554" s="37"/>
      <c r="S554" s="14" t="str">
        <f t="shared" si="52"/>
        <v/>
      </c>
    </row>
    <row r="555" spans="2:19" x14ac:dyDescent="0.2">
      <c r="B555" s="2" t="str">
        <f t="shared" si="53"/>
        <v/>
      </c>
      <c r="C555" s="2" t="str">
        <f t="shared" si="54"/>
        <v/>
      </c>
      <c r="D555" s="2" t="str">
        <f t="shared" si="50"/>
        <v>Y</v>
      </c>
      <c r="E555" s="2">
        <f t="shared" si="51"/>
        <v>0</v>
      </c>
      <c r="F555" s="2" t="str">
        <f t="shared" si="55"/>
        <v/>
      </c>
      <c r="H555" s="56" t="s">
        <v>552</v>
      </c>
      <c r="I555" s="28"/>
      <c r="J555" s="29"/>
      <c r="K555" s="29"/>
      <c r="L555" s="30"/>
      <c r="M555" s="30"/>
      <c r="N555" s="36"/>
      <c r="O555" s="32"/>
      <c r="P555" s="33"/>
      <c r="Q555" s="34"/>
      <c r="R555" s="37"/>
      <c r="S555" s="14" t="str">
        <f t="shared" si="52"/>
        <v/>
      </c>
    </row>
    <row r="556" spans="2:19" x14ac:dyDescent="0.2">
      <c r="B556" s="2" t="str">
        <f t="shared" si="53"/>
        <v/>
      </c>
      <c r="C556" s="2" t="str">
        <f t="shared" si="54"/>
        <v/>
      </c>
      <c r="D556" s="2" t="str">
        <f t="shared" si="50"/>
        <v>Y</v>
      </c>
      <c r="E556" s="2">
        <f t="shared" si="51"/>
        <v>0</v>
      </c>
      <c r="F556" s="2" t="str">
        <f t="shared" si="55"/>
        <v/>
      </c>
      <c r="H556" s="56" t="s">
        <v>553</v>
      </c>
      <c r="I556" s="28"/>
      <c r="J556" s="29"/>
      <c r="K556" s="29"/>
      <c r="L556" s="30"/>
      <c r="M556" s="30"/>
      <c r="N556" s="36"/>
      <c r="O556" s="32"/>
      <c r="P556" s="33"/>
      <c r="Q556" s="34"/>
      <c r="R556" s="37"/>
      <c r="S556" s="14" t="str">
        <f t="shared" si="52"/>
        <v/>
      </c>
    </row>
    <row r="557" spans="2:19" x14ac:dyDescent="0.2">
      <c r="B557" s="2" t="str">
        <f t="shared" si="53"/>
        <v/>
      </c>
      <c r="C557" s="2" t="str">
        <f t="shared" si="54"/>
        <v/>
      </c>
      <c r="D557" s="2" t="str">
        <f t="shared" si="50"/>
        <v>Y</v>
      </c>
      <c r="E557" s="2">
        <f t="shared" si="51"/>
        <v>0</v>
      </c>
      <c r="F557" s="2" t="str">
        <f t="shared" si="55"/>
        <v/>
      </c>
      <c r="H557" s="56" t="s">
        <v>554</v>
      </c>
      <c r="I557" s="28"/>
      <c r="J557" s="29"/>
      <c r="K557" s="29"/>
      <c r="L557" s="30"/>
      <c r="M557" s="30"/>
      <c r="N557" s="36"/>
      <c r="O557" s="32"/>
      <c r="P557" s="33"/>
      <c r="Q557" s="34"/>
      <c r="R557" s="37"/>
      <c r="S557" s="14" t="str">
        <f t="shared" si="52"/>
        <v/>
      </c>
    </row>
    <row r="558" spans="2:19" x14ac:dyDescent="0.2">
      <c r="B558" s="2" t="str">
        <f t="shared" si="53"/>
        <v/>
      </c>
      <c r="C558" s="2" t="str">
        <f t="shared" si="54"/>
        <v/>
      </c>
      <c r="D558" s="2" t="str">
        <f t="shared" si="50"/>
        <v>Y</v>
      </c>
      <c r="E558" s="2">
        <f t="shared" si="51"/>
        <v>0</v>
      </c>
      <c r="F558" s="2" t="str">
        <f t="shared" si="55"/>
        <v/>
      </c>
      <c r="H558" s="56" t="s">
        <v>555</v>
      </c>
      <c r="I558" s="28"/>
      <c r="J558" s="29"/>
      <c r="K558" s="29"/>
      <c r="L558" s="30"/>
      <c r="M558" s="30"/>
      <c r="N558" s="36"/>
      <c r="O558" s="32"/>
      <c r="P558" s="33"/>
      <c r="Q558" s="34"/>
      <c r="R558" s="37"/>
      <c r="S558" s="14" t="str">
        <f t="shared" si="52"/>
        <v/>
      </c>
    </row>
    <row r="559" spans="2:19" x14ac:dyDescent="0.2">
      <c r="B559" s="2" t="str">
        <f t="shared" si="53"/>
        <v/>
      </c>
      <c r="C559" s="2" t="str">
        <f t="shared" si="54"/>
        <v/>
      </c>
      <c r="D559" s="2" t="str">
        <f t="shared" si="50"/>
        <v>Y</v>
      </c>
      <c r="E559" s="2">
        <f t="shared" si="51"/>
        <v>0</v>
      </c>
      <c r="F559" s="2" t="str">
        <f t="shared" si="55"/>
        <v/>
      </c>
      <c r="H559" s="56" t="s">
        <v>556</v>
      </c>
      <c r="I559" s="28"/>
      <c r="J559" s="29"/>
      <c r="K559" s="29"/>
      <c r="L559" s="30"/>
      <c r="M559" s="30"/>
      <c r="N559" s="36"/>
      <c r="O559" s="32"/>
      <c r="P559" s="33"/>
      <c r="Q559" s="34"/>
      <c r="R559" s="37"/>
      <c r="S559" s="14" t="str">
        <f t="shared" si="52"/>
        <v/>
      </c>
    </row>
    <row r="560" spans="2:19" x14ac:dyDescent="0.2">
      <c r="B560" s="2" t="str">
        <f t="shared" si="53"/>
        <v/>
      </c>
      <c r="C560" s="2" t="str">
        <f t="shared" si="54"/>
        <v/>
      </c>
      <c r="D560" s="2" t="str">
        <f t="shared" si="50"/>
        <v>Y</v>
      </c>
      <c r="E560" s="2">
        <f t="shared" si="51"/>
        <v>0</v>
      </c>
      <c r="F560" s="2" t="str">
        <f t="shared" si="55"/>
        <v/>
      </c>
      <c r="H560" s="56" t="s">
        <v>557</v>
      </c>
      <c r="I560" s="28"/>
      <c r="J560" s="29"/>
      <c r="K560" s="29"/>
      <c r="L560" s="30"/>
      <c r="M560" s="30"/>
      <c r="N560" s="36"/>
      <c r="O560" s="32"/>
      <c r="P560" s="33"/>
      <c r="Q560" s="34"/>
      <c r="R560" s="37"/>
      <c r="S560" s="14" t="str">
        <f t="shared" si="52"/>
        <v/>
      </c>
    </row>
    <row r="561" spans="2:19" x14ac:dyDescent="0.2">
      <c r="B561" s="2" t="str">
        <f t="shared" si="53"/>
        <v/>
      </c>
      <c r="C561" s="2" t="str">
        <f t="shared" si="54"/>
        <v/>
      </c>
      <c r="D561" s="2" t="str">
        <f t="shared" si="50"/>
        <v>Y</v>
      </c>
      <c r="E561" s="2">
        <f t="shared" si="51"/>
        <v>0</v>
      </c>
      <c r="F561" s="2" t="str">
        <f t="shared" si="55"/>
        <v/>
      </c>
      <c r="H561" s="56" t="s">
        <v>558</v>
      </c>
      <c r="I561" s="28"/>
      <c r="J561" s="29"/>
      <c r="K561" s="29"/>
      <c r="L561" s="30"/>
      <c r="M561" s="30"/>
      <c r="N561" s="36"/>
      <c r="O561" s="32"/>
      <c r="P561" s="33"/>
      <c r="Q561" s="34"/>
      <c r="R561" s="37"/>
      <c r="S561" s="14" t="str">
        <f t="shared" si="52"/>
        <v/>
      </c>
    </row>
    <row r="562" spans="2:19" x14ac:dyDescent="0.2">
      <c r="B562" s="2" t="str">
        <f t="shared" si="53"/>
        <v/>
      </c>
      <c r="C562" s="2" t="str">
        <f t="shared" si="54"/>
        <v/>
      </c>
      <c r="D562" s="2" t="str">
        <f t="shared" si="50"/>
        <v>Y</v>
      </c>
      <c r="E562" s="2">
        <f t="shared" si="51"/>
        <v>0</v>
      </c>
      <c r="F562" s="2" t="str">
        <f t="shared" si="55"/>
        <v/>
      </c>
      <c r="H562" s="56" t="s">
        <v>559</v>
      </c>
      <c r="I562" s="28"/>
      <c r="J562" s="29"/>
      <c r="K562" s="29"/>
      <c r="L562" s="30"/>
      <c r="M562" s="30"/>
      <c r="N562" s="36"/>
      <c r="O562" s="32"/>
      <c r="P562" s="33"/>
      <c r="Q562" s="34"/>
      <c r="R562" s="37"/>
      <c r="S562" s="14" t="str">
        <f t="shared" si="52"/>
        <v/>
      </c>
    </row>
    <row r="563" spans="2:19" x14ac:dyDescent="0.2">
      <c r="B563" s="2" t="str">
        <f t="shared" si="53"/>
        <v/>
      </c>
      <c r="C563" s="2" t="str">
        <f t="shared" si="54"/>
        <v/>
      </c>
      <c r="D563" s="2" t="str">
        <f t="shared" si="50"/>
        <v>Y</v>
      </c>
      <c r="E563" s="2">
        <f t="shared" si="51"/>
        <v>0</v>
      </c>
      <c r="F563" s="2" t="str">
        <f t="shared" si="55"/>
        <v/>
      </c>
      <c r="H563" s="56" t="s">
        <v>560</v>
      </c>
      <c r="I563" s="28"/>
      <c r="J563" s="29"/>
      <c r="K563" s="29"/>
      <c r="L563" s="30"/>
      <c r="M563" s="30"/>
      <c r="N563" s="36"/>
      <c r="O563" s="32"/>
      <c r="P563" s="33"/>
      <c r="Q563" s="34"/>
      <c r="R563" s="37"/>
      <c r="S563" s="14" t="str">
        <f t="shared" si="52"/>
        <v/>
      </c>
    </row>
    <row r="564" spans="2:19" x14ac:dyDescent="0.2">
      <c r="B564" s="2" t="str">
        <f t="shared" si="53"/>
        <v/>
      </c>
      <c r="C564" s="2" t="str">
        <f t="shared" si="54"/>
        <v/>
      </c>
      <c r="D564" s="2" t="str">
        <f t="shared" si="50"/>
        <v>Y</v>
      </c>
      <c r="E564" s="2">
        <f t="shared" si="51"/>
        <v>0</v>
      </c>
      <c r="F564" s="2" t="str">
        <f t="shared" si="55"/>
        <v/>
      </c>
      <c r="H564" s="56" t="s">
        <v>561</v>
      </c>
      <c r="I564" s="28"/>
      <c r="J564" s="29"/>
      <c r="K564" s="29"/>
      <c r="L564" s="30"/>
      <c r="M564" s="30"/>
      <c r="N564" s="36"/>
      <c r="O564" s="32"/>
      <c r="P564" s="33"/>
      <c r="Q564" s="34"/>
      <c r="R564" s="37"/>
      <c r="S564" s="14" t="str">
        <f t="shared" si="52"/>
        <v/>
      </c>
    </row>
    <row r="565" spans="2:19" x14ac:dyDescent="0.2">
      <c r="B565" s="2" t="str">
        <f t="shared" si="53"/>
        <v/>
      </c>
      <c r="C565" s="2" t="str">
        <f t="shared" si="54"/>
        <v/>
      </c>
      <c r="D565" s="2" t="str">
        <f t="shared" si="50"/>
        <v>Y</v>
      </c>
      <c r="E565" s="2">
        <f t="shared" si="51"/>
        <v>0</v>
      </c>
      <c r="F565" s="2" t="str">
        <f t="shared" si="55"/>
        <v/>
      </c>
      <c r="H565" s="56" t="s">
        <v>562</v>
      </c>
      <c r="I565" s="28"/>
      <c r="J565" s="29"/>
      <c r="K565" s="29"/>
      <c r="L565" s="30"/>
      <c r="M565" s="30"/>
      <c r="N565" s="36"/>
      <c r="O565" s="32"/>
      <c r="P565" s="33"/>
      <c r="Q565" s="34"/>
      <c r="R565" s="37"/>
      <c r="S565" s="14" t="str">
        <f t="shared" si="52"/>
        <v/>
      </c>
    </row>
    <row r="566" spans="2:19" x14ac:dyDescent="0.2">
      <c r="B566" s="2" t="str">
        <f t="shared" si="53"/>
        <v/>
      </c>
      <c r="C566" s="2" t="str">
        <f t="shared" si="54"/>
        <v/>
      </c>
      <c r="D566" s="2" t="str">
        <f t="shared" si="50"/>
        <v>Y</v>
      </c>
      <c r="E566" s="2">
        <f t="shared" si="51"/>
        <v>0</v>
      </c>
      <c r="F566" s="2" t="str">
        <f t="shared" si="55"/>
        <v/>
      </c>
      <c r="H566" s="56" t="s">
        <v>563</v>
      </c>
      <c r="I566" s="28"/>
      <c r="J566" s="29"/>
      <c r="K566" s="29"/>
      <c r="L566" s="30"/>
      <c r="M566" s="30"/>
      <c r="N566" s="36"/>
      <c r="O566" s="32"/>
      <c r="P566" s="33"/>
      <c r="Q566" s="34"/>
      <c r="R566" s="37"/>
      <c r="S566" s="14" t="str">
        <f t="shared" si="52"/>
        <v/>
      </c>
    </row>
    <row r="567" spans="2:19" x14ac:dyDescent="0.2">
      <c r="B567" s="2" t="str">
        <f t="shared" si="53"/>
        <v/>
      </c>
      <c r="C567" s="2" t="str">
        <f t="shared" si="54"/>
        <v/>
      </c>
      <c r="D567" s="2" t="str">
        <f t="shared" si="50"/>
        <v>Y</v>
      </c>
      <c r="E567" s="2">
        <f t="shared" si="51"/>
        <v>0</v>
      </c>
      <c r="F567" s="2" t="str">
        <f t="shared" si="55"/>
        <v/>
      </c>
      <c r="H567" s="56" t="s">
        <v>564</v>
      </c>
      <c r="I567" s="28"/>
      <c r="J567" s="29"/>
      <c r="K567" s="29"/>
      <c r="L567" s="30"/>
      <c r="M567" s="30"/>
      <c r="N567" s="36"/>
      <c r="O567" s="32"/>
      <c r="P567" s="33"/>
      <c r="Q567" s="34"/>
      <c r="R567" s="37"/>
      <c r="S567" s="14" t="str">
        <f t="shared" si="52"/>
        <v/>
      </c>
    </row>
    <row r="568" spans="2:19" x14ac:dyDescent="0.2">
      <c r="B568" s="2" t="str">
        <f t="shared" si="53"/>
        <v/>
      </c>
      <c r="C568" s="2" t="str">
        <f t="shared" si="54"/>
        <v/>
      </c>
      <c r="D568" s="2" t="str">
        <f t="shared" si="50"/>
        <v>Y</v>
      </c>
      <c r="E568" s="2">
        <f t="shared" si="51"/>
        <v>0</v>
      </c>
      <c r="F568" s="2" t="str">
        <f t="shared" si="55"/>
        <v/>
      </c>
      <c r="H568" s="56" t="s">
        <v>565</v>
      </c>
      <c r="I568" s="28"/>
      <c r="J568" s="29"/>
      <c r="K568" s="29"/>
      <c r="L568" s="30"/>
      <c r="M568" s="30"/>
      <c r="N568" s="36"/>
      <c r="O568" s="32"/>
      <c r="P568" s="33"/>
      <c r="Q568" s="34"/>
      <c r="R568" s="37"/>
      <c r="S568" s="14" t="str">
        <f t="shared" si="52"/>
        <v/>
      </c>
    </row>
    <row r="569" spans="2:19" x14ac:dyDescent="0.2">
      <c r="B569" s="2" t="str">
        <f t="shared" si="53"/>
        <v/>
      </c>
      <c r="C569" s="2" t="str">
        <f t="shared" si="54"/>
        <v/>
      </c>
      <c r="D569" s="2" t="str">
        <f t="shared" si="50"/>
        <v>Y</v>
      </c>
      <c r="E569" s="2">
        <f t="shared" si="51"/>
        <v>0</v>
      </c>
      <c r="F569" s="2" t="str">
        <f t="shared" si="55"/>
        <v/>
      </c>
      <c r="H569" s="56" t="s">
        <v>566</v>
      </c>
      <c r="I569" s="28"/>
      <c r="J569" s="29"/>
      <c r="K569" s="29"/>
      <c r="L569" s="30"/>
      <c r="M569" s="30"/>
      <c r="N569" s="36"/>
      <c r="O569" s="32"/>
      <c r="P569" s="33"/>
      <c r="Q569" s="34"/>
      <c r="R569" s="37"/>
      <c r="S569" s="14" t="str">
        <f t="shared" si="52"/>
        <v/>
      </c>
    </row>
    <row r="570" spans="2:19" x14ac:dyDescent="0.2">
      <c r="B570" s="2" t="str">
        <f t="shared" si="53"/>
        <v/>
      </c>
      <c r="C570" s="2" t="str">
        <f t="shared" si="54"/>
        <v/>
      </c>
      <c r="D570" s="2" t="str">
        <f t="shared" si="50"/>
        <v>Y</v>
      </c>
      <c r="E570" s="2">
        <f t="shared" si="51"/>
        <v>0</v>
      </c>
      <c r="F570" s="2" t="str">
        <f t="shared" si="55"/>
        <v/>
      </c>
      <c r="H570" s="56" t="s">
        <v>567</v>
      </c>
      <c r="I570" s="28"/>
      <c r="J570" s="29"/>
      <c r="K570" s="29"/>
      <c r="L570" s="30"/>
      <c r="M570" s="30"/>
      <c r="N570" s="36"/>
      <c r="O570" s="32"/>
      <c r="P570" s="33"/>
      <c r="Q570" s="34"/>
      <c r="R570" s="37"/>
      <c r="S570" s="14" t="str">
        <f t="shared" si="52"/>
        <v/>
      </c>
    </row>
    <row r="571" spans="2:19" x14ac:dyDescent="0.2">
      <c r="B571" s="2" t="str">
        <f t="shared" si="53"/>
        <v/>
      </c>
      <c r="C571" s="2" t="str">
        <f t="shared" si="54"/>
        <v/>
      </c>
      <c r="D571" s="2" t="str">
        <f t="shared" si="50"/>
        <v>Y</v>
      </c>
      <c r="E571" s="2">
        <f t="shared" si="51"/>
        <v>0</v>
      </c>
      <c r="F571" s="2" t="str">
        <f t="shared" si="55"/>
        <v/>
      </c>
      <c r="H571" s="56" t="s">
        <v>568</v>
      </c>
      <c r="I571" s="28"/>
      <c r="J571" s="29"/>
      <c r="K571" s="29"/>
      <c r="L571" s="30"/>
      <c r="M571" s="30"/>
      <c r="N571" s="36"/>
      <c r="O571" s="32"/>
      <c r="P571" s="33"/>
      <c r="Q571" s="34"/>
      <c r="R571" s="37"/>
      <c r="S571" s="14" t="str">
        <f t="shared" si="52"/>
        <v/>
      </c>
    </row>
    <row r="572" spans="2:19" x14ac:dyDescent="0.2">
      <c r="B572" s="2" t="str">
        <f t="shared" si="53"/>
        <v/>
      </c>
      <c r="C572" s="2" t="str">
        <f t="shared" si="54"/>
        <v/>
      </c>
      <c r="D572" s="2" t="str">
        <f t="shared" si="50"/>
        <v>Y</v>
      </c>
      <c r="E572" s="2">
        <f t="shared" si="51"/>
        <v>0</v>
      </c>
      <c r="F572" s="2" t="str">
        <f t="shared" si="55"/>
        <v/>
      </c>
      <c r="H572" s="56" t="s">
        <v>569</v>
      </c>
      <c r="I572" s="28"/>
      <c r="J572" s="29"/>
      <c r="K572" s="29"/>
      <c r="L572" s="30"/>
      <c r="M572" s="30"/>
      <c r="N572" s="36"/>
      <c r="O572" s="32"/>
      <c r="P572" s="33"/>
      <c r="Q572" s="34"/>
      <c r="R572" s="37"/>
      <c r="S572" s="14" t="str">
        <f t="shared" si="52"/>
        <v/>
      </c>
    </row>
    <row r="573" spans="2:19" x14ac:dyDescent="0.2">
      <c r="B573" s="2" t="str">
        <f t="shared" si="53"/>
        <v/>
      </c>
      <c r="C573" s="2" t="str">
        <f t="shared" si="54"/>
        <v/>
      </c>
      <c r="D573" s="2" t="str">
        <f t="shared" si="50"/>
        <v>Y</v>
      </c>
      <c r="E573" s="2">
        <f t="shared" si="51"/>
        <v>0</v>
      </c>
      <c r="F573" s="2" t="str">
        <f t="shared" si="55"/>
        <v/>
      </c>
      <c r="H573" s="56" t="s">
        <v>570</v>
      </c>
      <c r="I573" s="28"/>
      <c r="J573" s="29"/>
      <c r="K573" s="29"/>
      <c r="L573" s="30"/>
      <c r="M573" s="30"/>
      <c r="N573" s="36"/>
      <c r="O573" s="32"/>
      <c r="P573" s="33"/>
      <c r="Q573" s="34"/>
      <c r="R573" s="37"/>
      <c r="S573" s="14" t="str">
        <f t="shared" si="52"/>
        <v/>
      </c>
    </row>
    <row r="574" spans="2:19" x14ac:dyDescent="0.2">
      <c r="B574" s="2" t="str">
        <f t="shared" si="53"/>
        <v/>
      </c>
      <c r="C574" s="2" t="str">
        <f t="shared" si="54"/>
        <v/>
      </c>
      <c r="D574" s="2" t="str">
        <f t="shared" si="50"/>
        <v>Y</v>
      </c>
      <c r="E574" s="2">
        <f t="shared" si="51"/>
        <v>0</v>
      </c>
      <c r="F574" s="2" t="str">
        <f t="shared" si="55"/>
        <v/>
      </c>
      <c r="H574" s="56" t="s">
        <v>571</v>
      </c>
      <c r="I574" s="28"/>
      <c r="J574" s="29"/>
      <c r="K574" s="29"/>
      <c r="L574" s="30"/>
      <c r="M574" s="30"/>
      <c r="N574" s="36"/>
      <c r="O574" s="32"/>
      <c r="P574" s="33"/>
      <c r="Q574" s="34"/>
      <c r="R574" s="37"/>
      <c r="S574" s="14" t="str">
        <f t="shared" si="52"/>
        <v/>
      </c>
    </row>
    <row r="575" spans="2:19" x14ac:dyDescent="0.2">
      <c r="B575" s="2" t="str">
        <f t="shared" si="53"/>
        <v/>
      </c>
      <c r="C575" s="2" t="str">
        <f t="shared" si="54"/>
        <v/>
      </c>
      <c r="D575" s="2" t="str">
        <f t="shared" si="50"/>
        <v>Y</v>
      </c>
      <c r="E575" s="2">
        <f t="shared" si="51"/>
        <v>0</v>
      </c>
      <c r="F575" s="2" t="str">
        <f t="shared" si="55"/>
        <v/>
      </c>
      <c r="H575" s="56" t="s">
        <v>572</v>
      </c>
      <c r="I575" s="28"/>
      <c r="J575" s="29"/>
      <c r="K575" s="29"/>
      <c r="L575" s="30"/>
      <c r="M575" s="30"/>
      <c r="N575" s="36"/>
      <c r="O575" s="32"/>
      <c r="P575" s="33"/>
      <c r="Q575" s="34"/>
      <c r="R575" s="37"/>
      <c r="S575" s="14" t="str">
        <f t="shared" si="52"/>
        <v/>
      </c>
    </row>
    <row r="576" spans="2:19" x14ac:dyDescent="0.2">
      <c r="B576" s="2" t="str">
        <f t="shared" si="53"/>
        <v/>
      </c>
      <c r="C576" s="2" t="str">
        <f t="shared" si="54"/>
        <v/>
      </c>
      <c r="D576" s="2" t="str">
        <f t="shared" si="50"/>
        <v>Y</v>
      </c>
      <c r="E576" s="2">
        <f t="shared" si="51"/>
        <v>0</v>
      </c>
      <c r="F576" s="2" t="str">
        <f t="shared" si="55"/>
        <v/>
      </c>
      <c r="H576" s="56" t="s">
        <v>573</v>
      </c>
      <c r="I576" s="28"/>
      <c r="J576" s="29"/>
      <c r="K576" s="29"/>
      <c r="L576" s="30"/>
      <c r="M576" s="30"/>
      <c r="N576" s="36"/>
      <c r="O576" s="32"/>
      <c r="P576" s="33"/>
      <c r="Q576" s="34"/>
      <c r="R576" s="37"/>
      <c r="S576" s="14" t="str">
        <f t="shared" si="52"/>
        <v/>
      </c>
    </row>
    <row r="577" spans="2:19" x14ac:dyDescent="0.2">
      <c r="B577" s="2" t="str">
        <f t="shared" si="53"/>
        <v/>
      </c>
      <c r="C577" s="2" t="str">
        <f t="shared" si="54"/>
        <v/>
      </c>
      <c r="D577" s="2" t="str">
        <f t="shared" si="50"/>
        <v>Y</v>
      </c>
      <c r="E577" s="2">
        <f t="shared" si="51"/>
        <v>0</v>
      </c>
      <c r="F577" s="2" t="str">
        <f t="shared" si="55"/>
        <v/>
      </c>
      <c r="H577" s="56" t="s">
        <v>574</v>
      </c>
      <c r="I577" s="28"/>
      <c r="J577" s="29"/>
      <c r="K577" s="29"/>
      <c r="L577" s="30"/>
      <c r="M577" s="30"/>
      <c r="N577" s="36"/>
      <c r="O577" s="32"/>
      <c r="P577" s="33"/>
      <c r="Q577" s="34"/>
      <c r="R577" s="37"/>
      <c r="S577" s="14" t="str">
        <f t="shared" si="52"/>
        <v/>
      </c>
    </row>
    <row r="578" spans="2:19" x14ac:dyDescent="0.2">
      <c r="B578" s="2" t="str">
        <f t="shared" si="53"/>
        <v/>
      </c>
      <c r="C578" s="2" t="str">
        <f t="shared" si="54"/>
        <v/>
      </c>
      <c r="D578" s="2" t="str">
        <f t="shared" si="50"/>
        <v>Y</v>
      </c>
      <c r="E578" s="2">
        <f t="shared" si="51"/>
        <v>0</v>
      </c>
      <c r="F578" s="2" t="str">
        <f t="shared" si="55"/>
        <v/>
      </c>
      <c r="H578" s="56" t="s">
        <v>575</v>
      </c>
      <c r="I578" s="28"/>
      <c r="J578" s="29"/>
      <c r="K578" s="29"/>
      <c r="L578" s="30"/>
      <c r="M578" s="30"/>
      <c r="N578" s="36"/>
      <c r="O578" s="32"/>
      <c r="P578" s="33"/>
      <c r="Q578" s="34"/>
      <c r="R578" s="37"/>
      <c r="S578" s="14" t="str">
        <f t="shared" si="52"/>
        <v/>
      </c>
    </row>
    <row r="579" spans="2:19" x14ac:dyDescent="0.2">
      <c r="B579" s="2" t="str">
        <f t="shared" si="53"/>
        <v/>
      </c>
      <c r="C579" s="2" t="str">
        <f t="shared" si="54"/>
        <v/>
      </c>
      <c r="D579" s="2" t="str">
        <f t="shared" si="50"/>
        <v>Y</v>
      </c>
      <c r="E579" s="2">
        <f t="shared" si="51"/>
        <v>0</v>
      </c>
      <c r="F579" s="2" t="str">
        <f t="shared" si="55"/>
        <v/>
      </c>
      <c r="H579" s="56" t="s">
        <v>576</v>
      </c>
      <c r="I579" s="28"/>
      <c r="J579" s="29"/>
      <c r="K579" s="29"/>
      <c r="L579" s="30"/>
      <c r="M579" s="30"/>
      <c r="N579" s="36"/>
      <c r="O579" s="32"/>
      <c r="P579" s="33"/>
      <c r="Q579" s="34"/>
      <c r="R579" s="37"/>
      <c r="S579" s="14" t="str">
        <f t="shared" si="52"/>
        <v/>
      </c>
    </row>
    <row r="580" spans="2:19" x14ac:dyDescent="0.2">
      <c r="B580" s="2" t="str">
        <f t="shared" si="53"/>
        <v/>
      </c>
      <c r="C580" s="2" t="str">
        <f t="shared" si="54"/>
        <v/>
      </c>
      <c r="D580" s="2" t="str">
        <f t="shared" si="50"/>
        <v>Y</v>
      </c>
      <c r="E580" s="2">
        <f t="shared" si="51"/>
        <v>0</v>
      </c>
      <c r="F580" s="2" t="str">
        <f t="shared" si="55"/>
        <v/>
      </c>
      <c r="H580" s="56" t="s">
        <v>577</v>
      </c>
      <c r="I580" s="28"/>
      <c r="J580" s="29"/>
      <c r="K580" s="29"/>
      <c r="L580" s="30"/>
      <c r="M580" s="30"/>
      <c r="N580" s="36"/>
      <c r="O580" s="32"/>
      <c r="P580" s="33"/>
      <c r="Q580" s="34"/>
      <c r="R580" s="37"/>
      <c r="S580" s="14" t="str">
        <f t="shared" si="52"/>
        <v/>
      </c>
    </row>
    <row r="581" spans="2:19" x14ac:dyDescent="0.2">
      <c r="B581" s="2" t="str">
        <f t="shared" si="53"/>
        <v/>
      </c>
      <c r="C581" s="2" t="str">
        <f t="shared" si="54"/>
        <v/>
      </c>
      <c r="D581" s="2" t="str">
        <f t="shared" si="50"/>
        <v>Y</v>
      </c>
      <c r="E581" s="2">
        <f t="shared" si="51"/>
        <v>0</v>
      </c>
      <c r="F581" s="2" t="str">
        <f t="shared" si="55"/>
        <v/>
      </c>
      <c r="H581" s="56" t="s">
        <v>578</v>
      </c>
      <c r="I581" s="28"/>
      <c r="J581" s="29"/>
      <c r="K581" s="29"/>
      <c r="L581" s="30"/>
      <c r="M581" s="30"/>
      <c r="N581" s="36"/>
      <c r="O581" s="32"/>
      <c r="P581" s="33"/>
      <c r="Q581" s="34"/>
      <c r="R581" s="37"/>
      <c r="S581" s="14" t="str">
        <f t="shared" si="52"/>
        <v/>
      </c>
    </row>
    <row r="582" spans="2:19" x14ac:dyDescent="0.2">
      <c r="B582" s="2" t="str">
        <f t="shared" si="53"/>
        <v/>
      </c>
      <c r="C582" s="2" t="str">
        <f t="shared" si="54"/>
        <v/>
      </c>
      <c r="D582" s="2" t="str">
        <f t="shared" si="50"/>
        <v>Y</v>
      </c>
      <c r="E582" s="2">
        <f t="shared" si="51"/>
        <v>0</v>
      </c>
      <c r="F582" s="2" t="str">
        <f t="shared" si="55"/>
        <v/>
      </c>
      <c r="H582" s="56" t="s">
        <v>579</v>
      </c>
      <c r="I582" s="28"/>
      <c r="J582" s="29"/>
      <c r="K582" s="29"/>
      <c r="L582" s="30"/>
      <c r="M582" s="30"/>
      <c r="N582" s="36"/>
      <c r="O582" s="32"/>
      <c r="P582" s="33"/>
      <c r="Q582" s="34"/>
      <c r="R582" s="37"/>
      <c r="S582" s="14" t="str">
        <f t="shared" si="52"/>
        <v/>
      </c>
    </row>
    <row r="583" spans="2:19" x14ac:dyDescent="0.2">
      <c r="B583" s="2" t="str">
        <f t="shared" si="53"/>
        <v/>
      </c>
      <c r="C583" s="2" t="str">
        <f t="shared" si="54"/>
        <v/>
      </c>
      <c r="D583" s="2" t="str">
        <f t="shared" si="50"/>
        <v>Y</v>
      </c>
      <c r="E583" s="2">
        <f t="shared" si="51"/>
        <v>0</v>
      </c>
      <c r="F583" s="2" t="str">
        <f t="shared" si="55"/>
        <v/>
      </c>
      <c r="H583" s="56" t="s">
        <v>580</v>
      </c>
      <c r="I583" s="28"/>
      <c r="J583" s="29"/>
      <c r="K583" s="29"/>
      <c r="L583" s="30"/>
      <c r="M583" s="30"/>
      <c r="N583" s="36"/>
      <c r="O583" s="32"/>
      <c r="P583" s="33"/>
      <c r="Q583" s="34"/>
      <c r="R583" s="37"/>
      <c r="S583" s="14" t="str">
        <f t="shared" si="52"/>
        <v/>
      </c>
    </row>
    <row r="584" spans="2:19" x14ac:dyDescent="0.2">
      <c r="B584" s="2" t="str">
        <f t="shared" si="53"/>
        <v/>
      </c>
      <c r="C584" s="2" t="str">
        <f t="shared" si="54"/>
        <v/>
      </c>
      <c r="D584" s="2" t="str">
        <f t="shared" si="50"/>
        <v>Y</v>
      </c>
      <c r="E584" s="2">
        <f t="shared" si="51"/>
        <v>0</v>
      </c>
      <c r="F584" s="2" t="str">
        <f t="shared" si="55"/>
        <v/>
      </c>
      <c r="H584" s="56" t="s">
        <v>581</v>
      </c>
      <c r="I584" s="28"/>
      <c r="J584" s="29"/>
      <c r="K584" s="29"/>
      <c r="L584" s="30"/>
      <c r="M584" s="30"/>
      <c r="N584" s="36"/>
      <c r="O584" s="32"/>
      <c r="P584" s="33"/>
      <c r="Q584" s="34"/>
      <c r="R584" s="37"/>
      <c r="S584" s="14" t="str">
        <f t="shared" si="52"/>
        <v/>
      </c>
    </row>
    <row r="585" spans="2:19" x14ac:dyDescent="0.2">
      <c r="B585" s="2" t="str">
        <f t="shared" si="53"/>
        <v/>
      </c>
      <c r="C585" s="2" t="str">
        <f t="shared" si="54"/>
        <v/>
      </c>
      <c r="D585" s="2" t="str">
        <f t="shared" si="50"/>
        <v>Y</v>
      </c>
      <c r="E585" s="2">
        <f t="shared" si="51"/>
        <v>0</v>
      </c>
      <c r="F585" s="2" t="str">
        <f t="shared" si="55"/>
        <v/>
      </c>
      <c r="H585" s="56" t="s">
        <v>582</v>
      </c>
      <c r="I585" s="28"/>
      <c r="J585" s="29"/>
      <c r="K585" s="29"/>
      <c r="L585" s="30"/>
      <c r="M585" s="30"/>
      <c r="N585" s="36"/>
      <c r="O585" s="32"/>
      <c r="P585" s="33"/>
      <c r="Q585" s="34"/>
      <c r="R585" s="37"/>
      <c r="S585" s="14" t="str">
        <f t="shared" si="52"/>
        <v/>
      </c>
    </row>
    <row r="586" spans="2:19" x14ac:dyDescent="0.2">
      <c r="B586" s="2" t="str">
        <f t="shared" si="53"/>
        <v/>
      </c>
      <c r="C586" s="2" t="str">
        <f t="shared" si="54"/>
        <v/>
      </c>
      <c r="D586" s="2" t="str">
        <f t="shared" si="50"/>
        <v>Y</v>
      </c>
      <c r="E586" s="2">
        <f t="shared" si="51"/>
        <v>0</v>
      </c>
      <c r="F586" s="2" t="str">
        <f t="shared" si="55"/>
        <v/>
      </c>
      <c r="H586" s="56" t="s">
        <v>583</v>
      </c>
      <c r="I586" s="28"/>
      <c r="J586" s="29"/>
      <c r="K586" s="29"/>
      <c r="L586" s="30"/>
      <c r="M586" s="30"/>
      <c r="N586" s="36"/>
      <c r="O586" s="32"/>
      <c r="P586" s="33"/>
      <c r="Q586" s="34"/>
      <c r="R586" s="37"/>
      <c r="S586" s="14" t="str">
        <f t="shared" si="52"/>
        <v/>
      </c>
    </row>
    <row r="587" spans="2:19" x14ac:dyDescent="0.2">
      <c r="B587" s="2" t="str">
        <f t="shared" si="53"/>
        <v/>
      </c>
      <c r="C587" s="2" t="str">
        <f t="shared" si="54"/>
        <v/>
      </c>
      <c r="D587" s="2" t="str">
        <f t="shared" ref="D587:D650" si="56">IF(OR(P587=Not_started,P587=In_progress),"N",IF(OR(P587=N_A,P587=Suspended,P587=Canceled),"","Y"))</f>
        <v>Y</v>
      </c>
      <c r="E587" s="2">
        <f t="shared" ref="E587:E650" si="57">IF(OR(P587=Not_started,P587=In_progress,P587=Applied,P587=Closed),1,0)</f>
        <v>0</v>
      </c>
      <c r="F587" s="2" t="str">
        <f t="shared" si="55"/>
        <v/>
      </c>
      <c r="H587" s="56" t="s">
        <v>584</v>
      </c>
      <c r="I587" s="28"/>
      <c r="J587" s="29"/>
      <c r="K587" s="29"/>
      <c r="L587" s="30"/>
      <c r="M587" s="30"/>
      <c r="N587" s="36"/>
      <c r="O587" s="32"/>
      <c r="P587" s="33"/>
      <c r="Q587" s="34"/>
      <c r="R587" s="37"/>
      <c r="S587" s="14" t="str">
        <f t="shared" ref="S587:S650" si="58">IF(ISERROR(VLOOKUP(K587,LB_PROJECTS,2,FALSE)),"",VLOOKUP(K587,LB_PROJECTS,2,FALSE))</f>
        <v/>
      </c>
    </row>
    <row r="588" spans="2:19" x14ac:dyDescent="0.2">
      <c r="B588" s="2" t="str">
        <f t="shared" ref="B588:B651" si="59">IF(N588="","",IF(WEEKNUM(N588)&lt;10,VALUE(CONCATENATE(YEAR(N588),"0",WEEKNUM(N588))),VALUE(CONCATENATE(YEAR(N588),WEEKNUM(N588)))))</f>
        <v/>
      </c>
      <c r="C588" s="2" t="str">
        <f t="shared" ref="C588:C651" si="60">IF(Q588="","",IF(WEEKNUM(Q588)&lt;10,VALUE(CONCATENATE(YEAR(Q588),"0",WEEKNUM(Q588))),VALUE(CONCATENATE(YEAR(Q588),WEEKNUM(Q588)))))</f>
        <v/>
      </c>
      <c r="D588" s="2" t="str">
        <f t="shared" si="56"/>
        <v>Y</v>
      </c>
      <c r="E588" s="2">
        <f t="shared" si="57"/>
        <v>0</v>
      </c>
      <c r="F588" s="2" t="str">
        <f t="shared" si="55"/>
        <v/>
      </c>
      <c r="H588" s="56" t="s">
        <v>585</v>
      </c>
      <c r="I588" s="28"/>
      <c r="J588" s="29"/>
      <c r="K588" s="29"/>
      <c r="L588" s="30"/>
      <c r="M588" s="30"/>
      <c r="N588" s="36"/>
      <c r="O588" s="32"/>
      <c r="P588" s="33"/>
      <c r="Q588" s="34"/>
      <c r="R588" s="37"/>
      <c r="S588" s="14" t="str">
        <f t="shared" si="58"/>
        <v/>
      </c>
    </row>
    <row r="589" spans="2:19" x14ac:dyDescent="0.2">
      <c r="B589" s="2" t="str">
        <f t="shared" si="59"/>
        <v/>
      </c>
      <c r="C589" s="2" t="str">
        <f t="shared" si="60"/>
        <v/>
      </c>
      <c r="D589" s="2" t="str">
        <f t="shared" si="56"/>
        <v>Y</v>
      </c>
      <c r="E589" s="2">
        <f t="shared" si="57"/>
        <v>0</v>
      </c>
      <c r="F589" s="2" t="str">
        <f t="shared" si="55"/>
        <v/>
      </c>
      <c r="H589" s="56" t="s">
        <v>586</v>
      </c>
      <c r="I589" s="28"/>
      <c r="J589" s="29"/>
      <c r="K589" s="29"/>
      <c r="L589" s="30"/>
      <c r="M589" s="30"/>
      <c r="N589" s="36"/>
      <c r="O589" s="32"/>
      <c r="P589" s="33"/>
      <c r="Q589" s="34"/>
      <c r="R589" s="37"/>
      <c r="S589" s="14" t="str">
        <f t="shared" si="58"/>
        <v/>
      </c>
    </row>
    <row r="590" spans="2:19" x14ac:dyDescent="0.2">
      <c r="B590" s="2" t="str">
        <f t="shared" si="59"/>
        <v/>
      </c>
      <c r="C590" s="2" t="str">
        <f t="shared" si="60"/>
        <v/>
      </c>
      <c r="D590" s="2" t="str">
        <f t="shared" si="56"/>
        <v>Y</v>
      </c>
      <c r="E590" s="2">
        <f t="shared" si="57"/>
        <v>0</v>
      </c>
      <c r="F590" s="2" t="str">
        <f t="shared" ref="F590:F653" si="61">IF(O590="",B590,IF(WEEKNUM(O590)&lt;10,VALUE(CONCATENATE(YEAR(O590),"0",WEEKNUM(O590))),VALUE(CONCATENATE(YEAR(O590),WEEKNUM(O590)))))</f>
        <v/>
      </c>
      <c r="H590" s="56" t="s">
        <v>587</v>
      </c>
      <c r="I590" s="28"/>
      <c r="J590" s="29"/>
      <c r="K590" s="29"/>
      <c r="L590" s="30"/>
      <c r="M590" s="30"/>
      <c r="N590" s="36"/>
      <c r="O590" s="32"/>
      <c r="P590" s="33"/>
      <c r="Q590" s="34"/>
      <c r="R590" s="37"/>
      <c r="S590" s="14" t="str">
        <f t="shared" si="58"/>
        <v/>
      </c>
    </row>
    <row r="591" spans="2:19" x14ac:dyDescent="0.2">
      <c r="B591" s="2" t="str">
        <f t="shared" si="59"/>
        <v/>
      </c>
      <c r="C591" s="2" t="str">
        <f t="shared" si="60"/>
        <v/>
      </c>
      <c r="D591" s="2" t="str">
        <f t="shared" si="56"/>
        <v>Y</v>
      </c>
      <c r="E591" s="2">
        <f t="shared" si="57"/>
        <v>0</v>
      </c>
      <c r="F591" s="2" t="str">
        <f t="shared" si="61"/>
        <v/>
      </c>
      <c r="H591" s="56" t="s">
        <v>588</v>
      </c>
      <c r="I591" s="28"/>
      <c r="J591" s="29"/>
      <c r="K591" s="29"/>
      <c r="L591" s="30"/>
      <c r="M591" s="30"/>
      <c r="N591" s="36"/>
      <c r="O591" s="32"/>
      <c r="P591" s="33"/>
      <c r="Q591" s="34"/>
      <c r="R591" s="37"/>
      <c r="S591" s="14" t="str">
        <f t="shared" si="58"/>
        <v/>
      </c>
    </row>
    <row r="592" spans="2:19" x14ac:dyDescent="0.2">
      <c r="B592" s="2" t="str">
        <f t="shared" si="59"/>
        <v/>
      </c>
      <c r="C592" s="2" t="str">
        <f t="shared" si="60"/>
        <v/>
      </c>
      <c r="D592" s="2" t="str">
        <f t="shared" si="56"/>
        <v>Y</v>
      </c>
      <c r="E592" s="2">
        <f t="shared" si="57"/>
        <v>0</v>
      </c>
      <c r="F592" s="2" t="str">
        <f t="shared" si="61"/>
        <v/>
      </c>
      <c r="H592" s="56" t="s">
        <v>589</v>
      </c>
      <c r="I592" s="28"/>
      <c r="J592" s="29"/>
      <c r="K592" s="29"/>
      <c r="L592" s="30"/>
      <c r="M592" s="30"/>
      <c r="N592" s="36"/>
      <c r="O592" s="32"/>
      <c r="P592" s="33"/>
      <c r="Q592" s="34"/>
      <c r="R592" s="37"/>
      <c r="S592" s="14" t="str">
        <f t="shared" si="58"/>
        <v/>
      </c>
    </row>
    <row r="593" spans="2:19" x14ac:dyDescent="0.2">
      <c r="B593" s="2" t="str">
        <f t="shared" si="59"/>
        <v/>
      </c>
      <c r="C593" s="2" t="str">
        <f t="shared" si="60"/>
        <v/>
      </c>
      <c r="D593" s="2" t="str">
        <f t="shared" si="56"/>
        <v>Y</v>
      </c>
      <c r="E593" s="2">
        <f t="shared" si="57"/>
        <v>0</v>
      </c>
      <c r="F593" s="2" t="str">
        <f t="shared" si="61"/>
        <v/>
      </c>
      <c r="H593" s="56" t="s">
        <v>590</v>
      </c>
      <c r="I593" s="28"/>
      <c r="J593" s="29"/>
      <c r="K593" s="29"/>
      <c r="L593" s="30"/>
      <c r="M593" s="30"/>
      <c r="N593" s="36"/>
      <c r="O593" s="32"/>
      <c r="P593" s="33"/>
      <c r="Q593" s="34"/>
      <c r="R593" s="37"/>
      <c r="S593" s="14" t="str">
        <f t="shared" si="58"/>
        <v/>
      </c>
    </row>
    <row r="594" spans="2:19" x14ac:dyDescent="0.2">
      <c r="B594" s="2" t="str">
        <f t="shared" si="59"/>
        <v/>
      </c>
      <c r="C594" s="2" t="str">
        <f t="shared" si="60"/>
        <v/>
      </c>
      <c r="D594" s="2" t="str">
        <f t="shared" si="56"/>
        <v>Y</v>
      </c>
      <c r="E594" s="2">
        <f t="shared" si="57"/>
        <v>0</v>
      </c>
      <c r="F594" s="2" t="str">
        <f t="shared" si="61"/>
        <v/>
      </c>
      <c r="H594" s="56" t="s">
        <v>591</v>
      </c>
      <c r="I594" s="28"/>
      <c r="J594" s="29"/>
      <c r="K594" s="29"/>
      <c r="L594" s="30"/>
      <c r="M594" s="30"/>
      <c r="N594" s="36"/>
      <c r="O594" s="32"/>
      <c r="P594" s="33"/>
      <c r="Q594" s="34"/>
      <c r="R594" s="37"/>
      <c r="S594" s="14" t="str">
        <f t="shared" si="58"/>
        <v/>
      </c>
    </row>
    <row r="595" spans="2:19" x14ac:dyDescent="0.2">
      <c r="B595" s="2" t="str">
        <f t="shared" si="59"/>
        <v/>
      </c>
      <c r="C595" s="2" t="str">
        <f t="shared" si="60"/>
        <v/>
      </c>
      <c r="D595" s="2" t="str">
        <f t="shared" si="56"/>
        <v>Y</v>
      </c>
      <c r="E595" s="2">
        <f t="shared" si="57"/>
        <v>0</v>
      </c>
      <c r="F595" s="2" t="str">
        <f t="shared" si="61"/>
        <v/>
      </c>
      <c r="H595" s="56" t="s">
        <v>592</v>
      </c>
      <c r="I595" s="28"/>
      <c r="J595" s="29"/>
      <c r="K595" s="29"/>
      <c r="L595" s="30"/>
      <c r="M595" s="30"/>
      <c r="N595" s="36"/>
      <c r="O595" s="32"/>
      <c r="P595" s="33"/>
      <c r="Q595" s="34"/>
      <c r="R595" s="37"/>
      <c r="S595" s="14" t="str">
        <f t="shared" si="58"/>
        <v/>
      </c>
    </row>
    <row r="596" spans="2:19" x14ac:dyDescent="0.2">
      <c r="B596" s="2" t="str">
        <f t="shared" si="59"/>
        <v/>
      </c>
      <c r="C596" s="2" t="str">
        <f t="shared" si="60"/>
        <v/>
      </c>
      <c r="D596" s="2" t="str">
        <f t="shared" si="56"/>
        <v>Y</v>
      </c>
      <c r="E596" s="2">
        <f t="shared" si="57"/>
        <v>0</v>
      </c>
      <c r="F596" s="2" t="str">
        <f t="shared" si="61"/>
        <v/>
      </c>
      <c r="H596" s="56" t="s">
        <v>593</v>
      </c>
      <c r="I596" s="28"/>
      <c r="J596" s="29"/>
      <c r="K596" s="29"/>
      <c r="L596" s="30"/>
      <c r="M596" s="30"/>
      <c r="N596" s="36"/>
      <c r="O596" s="32"/>
      <c r="P596" s="33"/>
      <c r="Q596" s="34"/>
      <c r="R596" s="37"/>
      <c r="S596" s="14" t="str">
        <f t="shared" si="58"/>
        <v/>
      </c>
    </row>
    <row r="597" spans="2:19" x14ac:dyDescent="0.2">
      <c r="B597" s="2" t="str">
        <f t="shared" si="59"/>
        <v/>
      </c>
      <c r="C597" s="2" t="str">
        <f t="shared" si="60"/>
        <v/>
      </c>
      <c r="D597" s="2" t="str">
        <f t="shared" si="56"/>
        <v>Y</v>
      </c>
      <c r="E597" s="2">
        <f t="shared" si="57"/>
        <v>0</v>
      </c>
      <c r="F597" s="2" t="str">
        <f t="shared" si="61"/>
        <v/>
      </c>
      <c r="H597" s="56" t="s">
        <v>594</v>
      </c>
      <c r="I597" s="28"/>
      <c r="J597" s="29"/>
      <c r="K597" s="29"/>
      <c r="L597" s="30"/>
      <c r="M597" s="30"/>
      <c r="N597" s="36"/>
      <c r="O597" s="32"/>
      <c r="P597" s="33"/>
      <c r="Q597" s="34"/>
      <c r="R597" s="37"/>
      <c r="S597" s="14" t="str">
        <f t="shared" si="58"/>
        <v/>
      </c>
    </row>
    <row r="598" spans="2:19" x14ac:dyDescent="0.2">
      <c r="B598" s="2" t="str">
        <f t="shared" si="59"/>
        <v/>
      </c>
      <c r="C598" s="2" t="str">
        <f t="shared" si="60"/>
        <v/>
      </c>
      <c r="D598" s="2" t="str">
        <f t="shared" si="56"/>
        <v>Y</v>
      </c>
      <c r="E598" s="2">
        <f t="shared" si="57"/>
        <v>0</v>
      </c>
      <c r="F598" s="2" t="str">
        <f t="shared" si="61"/>
        <v/>
      </c>
      <c r="H598" s="56" t="s">
        <v>595</v>
      </c>
      <c r="I598" s="28"/>
      <c r="J598" s="29"/>
      <c r="K598" s="29"/>
      <c r="L598" s="30"/>
      <c r="M598" s="30"/>
      <c r="N598" s="36"/>
      <c r="O598" s="32"/>
      <c r="P598" s="33"/>
      <c r="Q598" s="34"/>
      <c r="R598" s="37"/>
      <c r="S598" s="14" t="str">
        <f t="shared" si="58"/>
        <v/>
      </c>
    </row>
    <row r="599" spans="2:19" x14ac:dyDescent="0.2">
      <c r="B599" s="2" t="str">
        <f t="shared" si="59"/>
        <v/>
      </c>
      <c r="C599" s="2" t="str">
        <f t="shared" si="60"/>
        <v/>
      </c>
      <c r="D599" s="2" t="str">
        <f t="shared" si="56"/>
        <v>Y</v>
      </c>
      <c r="E599" s="2">
        <f t="shared" si="57"/>
        <v>0</v>
      </c>
      <c r="F599" s="2" t="str">
        <f t="shared" si="61"/>
        <v/>
      </c>
      <c r="H599" s="56" t="s">
        <v>596</v>
      </c>
      <c r="I599" s="28"/>
      <c r="J599" s="29"/>
      <c r="K599" s="29"/>
      <c r="L599" s="30"/>
      <c r="M599" s="30"/>
      <c r="N599" s="36"/>
      <c r="O599" s="32"/>
      <c r="P599" s="33"/>
      <c r="Q599" s="34"/>
      <c r="R599" s="37"/>
      <c r="S599" s="14" t="str">
        <f t="shared" si="58"/>
        <v/>
      </c>
    </row>
    <row r="600" spans="2:19" x14ac:dyDescent="0.2">
      <c r="B600" s="2" t="str">
        <f t="shared" si="59"/>
        <v/>
      </c>
      <c r="C600" s="2" t="str">
        <f t="shared" si="60"/>
        <v/>
      </c>
      <c r="D600" s="2" t="str">
        <f t="shared" si="56"/>
        <v>Y</v>
      </c>
      <c r="E600" s="2">
        <f t="shared" si="57"/>
        <v>0</v>
      </c>
      <c r="F600" s="2" t="str">
        <f t="shared" si="61"/>
        <v/>
      </c>
      <c r="H600" s="56" t="s">
        <v>597</v>
      </c>
      <c r="I600" s="28"/>
      <c r="J600" s="29"/>
      <c r="K600" s="29"/>
      <c r="L600" s="30"/>
      <c r="M600" s="30"/>
      <c r="N600" s="36"/>
      <c r="O600" s="32"/>
      <c r="P600" s="33"/>
      <c r="Q600" s="34"/>
      <c r="R600" s="37"/>
      <c r="S600" s="14" t="str">
        <f t="shared" si="58"/>
        <v/>
      </c>
    </row>
    <row r="601" spans="2:19" x14ac:dyDescent="0.2">
      <c r="B601" s="2" t="str">
        <f t="shared" si="59"/>
        <v/>
      </c>
      <c r="C601" s="2" t="str">
        <f t="shared" si="60"/>
        <v/>
      </c>
      <c r="D601" s="2" t="str">
        <f t="shared" si="56"/>
        <v>Y</v>
      </c>
      <c r="E601" s="2">
        <f t="shared" si="57"/>
        <v>0</v>
      </c>
      <c r="F601" s="2" t="str">
        <f t="shared" si="61"/>
        <v/>
      </c>
      <c r="H601" s="56" t="s">
        <v>598</v>
      </c>
      <c r="I601" s="28"/>
      <c r="J601" s="29"/>
      <c r="K601" s="29"/>
      <c r="L601" s="30"/>
      <c r="M601" s="30"/>
      <c r="N601" s="36"/>
      <c r="O601" s="32"/>
      <c r="P601" s="33"/>
      <c r="Q601" s="34"/>
      <c r="R601" s="37"/>
      <c r="S601" s="14" t="str">
        <f t="shared" si="58"/>
        <v/>
      </c>
    </row>
    <row r="602" spans="2:19" x14ac:dyDescent="0.2">
      <c r="B602" s="2" t="str">
        <f t="shared" si="59"/>
        <v/>
      </c>
      <c r="C602" s="2" t="str">
        <f t="shared" si="60"/>
        <v/>
      </c>
      <c r="D602" s="2" t="str">
        <f t="shared" si="56"/>
        <v>Y</v>
      </c>
      <c r="E602" s="2">
        <f t="shared" si="57"/>
        <v>0</v>
      </c>
      <c r="F602" s="2" t="str">
        <f t="shared" si="61"/>
        <v/>
      </c>
      <c r="H602" s="56" t="s">
        <v>599</v>
      </c>
      <c r="I602" s="28"/>
      <c r="J602" s="29"/>
      <c r="K602" s="29"/>
      <c r="L602" s="30"/>
      <c r="M602" s="30"/>
      <c r="N602" s="36"/>
      <c r="O602" s="32"/>
      <c r="P602" s="33"/>
      <c r="Q602" s="34"/>
      <c r="R602" s="37"/>
      <c r="S602" s="14" t="str">
        <f t="shared" si="58"/>
        <v/>
      </c>
    </row>
    <row r="603" spans="2:19" x14ac:dyDescent="0.2">
      <c r="B603" s="2" t="str">
        <f t="shared" si="59"/>
        <v/>
      </c>
      <c r="C603" s="2" t="str">
        <f t="shared" si="60"/>
        <v/>
      </c>
      <c r="D603" s="2" t="str">
        <f t="shared" si="56"/>
        <v>Y</v>
      </c>
      <c r="E603" s="2">
        <f t="shared" si="57"/>
        <v>0</v>
      </c>
      <c r="F603" s="2" t="str">
        <f t="shared" si="61"/>
        <v/>
      </c>
      <c r="H603" s="56" t="s">
        <v>600</v>
      </c>
      <c r="I603" s="28"/>
      <c r="J603" s="29"/>
      <c r="K603" s="29"/>
      <c r="L603" s="30"/>
      <c r="M603" s="30"/>
      <c r="N603" s="36"/>
      <c r="O603" s="32"/>
      <c r="P603" s="33"/>
      <c r="Q603" s="34"/>
      <c r="R603" s="37"/>
      <c r="S603" s="14" t="str">
        <f t="shared" si="58"/>
        <v/>
      </c>
    </row>
    <row r="604" spans="2:19" x14ac:dyDescent="0.2">
      <c r="B604" s="2" t="str">
        <f t="shared" si="59"/>
        <v/>
      </c>
      <c r="C604" s="2" t="str">
        <f t="shared" si="60"/>
        <v/>
      </c>
      <c r="D604" s="2" t="str">
        <f t="shared" si="56"/>
        <v>Y</v>
      </c>
      <c r="E604" s="2">
        <f t="shared" si="57"/>
        <v>0</v>
      </c>
      <c r="F604" s="2" t="str">
        <f t="shared" si="61"/>
        <v/>
      </c>
      <c r="H604" s="56" t="s">
        <v>601</v>
      </c>
      <c r="I604" s="28"/>
      <c r="J604" s="29"/>
      <c r="K604" s="29"/>
      <c r="L604" s="30"/>
      <c r="M604" s="30"/>
      <c r="N604" s="36"/>
      <c r="O604" s="32"/>
      <c r="P604" s="33"/>
      <c r="Q604" s="34"/>
      <c r="R604" s="37"/>
      <c r="S604" s="14" t="str">
        <f t="shared" si="58"/>
        <v/>
      </c>
    </row>
    <row r="605" spans="2:19" x14ac:dyDescent="0.2">
      <c r="B605" s="2" t="str">
        <f t="shared" si="59"/>
        <v/>
      </c>
      <c r="C605" s="2" t="str">
        <f t="shared" si="60"/>
        <v/>
      </c>
      <c r="D605" s="2" t="str">
        <f t="shared" si="56"/>
        <v>Y</v>
      </c>
      <c r="E605" s="2">
        <f t="shared" si="57"/>
        <v>0</v>
      </c>
      <c r="F605" s="2" t="str">
        <f t="shared" si="61"/>
        <v/>
      </c>
      <c r="H605" s="56" t="s">
        <v>602</v>
      </c>
      <c r="I605" s="28"/>
      <c r="J605" s="29"/>
      <c r="K605" s="29"/>
      <c r="L605" s="30"/>
      <c r="M605" s="30"/>
      <c r="N605" s="36"/>
      <c r="O605" s="32"/>
      <c r="P605" s="33"/>
      <c r="Q605" s="34"/>
      <c r="R605" s="37"/>
      <c r="S605" s="14" t="str">
        <f t="shared" si="58"/>
        <v/>
      </c>
    </row>
    <row r="606" spans="2:19" x14ac:dyDescent="0.2">
      <c r="B606" s="2" t="str">
        <f t="shared" si="59"/>
        <v/>
      </c>
      <c r="C606" s="2" t="str">
        <f t="shared" si="60"/>
        <v/>
      </c>
      <c r="D606" s="2" t="str">
        <f t="shared" si="56"/>
        <v>Y</v>
      </c>
      <c r="E606" s="2">
        <f t="shared" si="57"/>
        <v>0</v>
      </c>
      <c r="F606" s="2" t="str">
        <f t="shared" si="61"/>
        <v/>
      </c>
      <c r="H606" s="56" t="s">
        <v>603</v>
      </c>
      <c r="I606" s="28"/>
      <c r="J606" s="29"/>
      <c r="K606" s="29"/>
      <c r="L606" s="30"/>
      <c r="M606" s="30"/>
      <c r="N606" s="36"/>
      <c r="O606" s="32"/>
      <c r="P606" s="33"/>
      <c r="Q606" s="34"/>
      <c r="R606" s="37"/>
      <c r="S606" s="14" t="str">
        <f t="shared" si="58"/>
        <v/>
      </c>
    </row>
    <row r="607" spans="2:19" x14ac:dyDescent="0.2">
      <c r="B607" s="2" t="str">
        <f t="shared" si="59"/>
        <v/>
      </c>
      <c r="C607" s="2" t="str">
        <f t="shared" si="60"/>
        <v/>
      </c>
      <c r="D607" s="2" t="str">
        <f t="shared" si="56"/>
        <v>Y</v>
      </c>
      <c r="E607" s="2">
        <f t="shared" si="57"/>
        <v>0</v>
      </c>
      <c r="F607" s="2" t="str">
        <f t="shared" si="61"/>
        <v/>
      </c>
      <c r="H607" s="56" t="s">
        <v>604</v>
      </c>
      <c r="I607" s="28"/>
      <c r="J607" s="29"/>
      <c r="K607" s="29"/>
      <c r="L607" s="30"/>
      <c r="M607" s="30"/>
      <c r="N607" s="36"/>
      <c r="O607" s="32"/>
      <c r="P607" s="33"/>
      <c r="Q607" s="34"/>
      <c r="R607" s="37"/>
      <c r="S607" s="14" t="str">
        <f t="shared" si="58"/>
        <v/>
      </c>
    </row>
    <row r="608" spans="2:19" x14ac:dyDescent="0.2">
      <c r="B608" s="2" t="str">
        <f t="shared" si="59"/>
        <v/>
      </c>
      <c r="C608" s="2" t="str">
        <f t="shared" si="60"/>
        <v/>
      </c>
      <c r="D608" s="2" t="str">
        <f t="shared" si="56"/>
        <v>Y</v>
      </c>
      <c r="E608" s="2">
        <f t="shared" si="57"/>
        <v>0</v>
      </c>
      <c r="F608" s="2" t="str">
        <f t="shared" si="61"/>
        <v/>
      </c>
      <c r="H608" s="56" t="s">
        <v>605</v>
      </c>
      <c r="I608" s="28"/>
      <c r="J608" s="29"/>
      <c r="K608" s="29"/>
      <c r="L608" s="30"/>
      <c r="M608" s="30"/>
      <c r="N608" s="36"/>
      <c r="O608" s="32"/>
      <c r="P608" s="33"/>
      <c r="Q608" s="34"/>
      <c r="R608" s="37"/>
      <c r="S608" s="14" t="str">
        <f t="shared" si="58"/>
        <v/>
      </c>
    </row>
    <row r="609" spans="2:19" x14ac:dyDescent="0.2">
      <c r="B609" s="2" t="str">
        <f t="shared" si="59"/>
        <v/>
      </c>
      <c r="C609" s="2" t="str">
        <f t="shared" si="60"/>
        <v/>
      </c>
      <c r="D609" s="2" t="str">
        <f t="shared" si="56"/>
        <v>Y</v>
      </c>
      <c r="E609" s="2">
        <f t="shared" si="57"/>
        <v>0</v>
      </c>
      <c r="F609" s="2" t="str">
        <f t="shared" si="61"/>
        <v/>
      </c>
      <c r="H609" s="56" t="s">
        <v>606</v>
      </c>
      <c r="I609" s="28"/>
      <c r="J609" s="29"/>
      <c r="K609" s="29"/>
      <c r="L609" s="30"/>
      <c r="M609" s="30"/>
      <c r="N609" s="36"/>
      <c r="O609" s="32"/>
      <c r="P609" s="33"/>
      <c r="Q609" s="34"/>
      <c r="R609" s="37"/>
      <c r="S609" s="14" t="str">
        <f t="shared" si="58"/>
        <v/>
      </c>
    </row>
    <row r="610" spans="2:19" x14ac:dyDescent="0.2">
      <c r="B610" s="2" t="str">
        <f t="shared" si="59"/>
        <v/>
      </c>
      <c r="C610" s="2" t="str">
        <f t="shared" si="60"/>
        <v/>
      </c>
      <c r="D610" s="2" t="str">
        <f t="shared" si="56"/>
        <v>Y</v>
      </c>
      <c r="E610" s="2">
        <f t="shared" si="57"/>
        <v>0</v>
      </c>
      <c r="F610" s="2" t="str">
        <f t="shared" si="61"/>
        <v/>
      </c>
      <c r="H610" s="56" t="s">
        <v>607</v>
      </c>
      <c r="I610" s="28"/>
      <c r="J610" s="29"/>
      <c r="K610" s="29"/>
      <c r="L610" s="30"/>
      <c r="M610" s="30"/>
      <c r="N610" s="36"/>
      <c r="O610" s="32"/>
      <c r="P610" s="33"/>
      <c r="Q610" s="34"/>
      <c r="R610" s="37"/>
      <c r="S610" s="14" t="str">
        <f t="shared" si="58"/>
        <v/>
      </c>
    </row>
    <row r="611" spans="2:19" x14ac:dyDescent="0.2">
      <c r="B611" s="2" t="str">
        <f t="shared" si="59"/>
        <v/>
      </c>
      <c r="C611" s="2" t="str">
        <f t="shared" si="60"/>
        <v/>
      </c>
      <c r="D611" s="2" t="str">
        <f t="shared" si="56"/>
        <v>Y</v>
      </c>
      <c r="E611" s="2">
        <f t="shared" si="57"/>
        <v>0</v>
      </c>
      <c r="F611" s="2" t="str">
        <f t="shared" si="61"/>
        <v/>
      </c>
      <c r="H611" s="56" t="s">
        <v>608</v>
      </c>
      <c r="I611" s="28"/>
      <c r="J611" s="29"/>
      <c r="K611" s="29"/>
      <c r="L611" s="30"/>
      <c r="M611" s="30"/>
      <c r="N611" s="36"/>
      <c r="O611" s="32"/>
      <c r="P611" s="33"/>
      <c r="Q611" s="34"/>
      <c r="R611" s="37"/>
      <c r="S611" s="14" t="str">
        <f t="shared" si="58"/>
        <v/>
      </c>
    </row>
    <row r="612" spans="2:19" x14ac:dyDescent="0.2">
      <c r="B612" s="2" t="str">
        <f t="shared" si="59"/>
        <v/>
      </c>
      <c r="C612" s="2" t="str">
        <f t="shared" si="60"/>
        <v/>
      </c>
      <c r="D612" s="2" t="str">
        <f t="shared" si="56"/>
        <v>Y</v>
      </c>
      <c r="E612" s="2">
        <f t="shared" si="57"/>
        <v>0</v>
      </c>
      <c r="F612" s="2" t="str">
        <f t="shared" si="61"/>
        <v/>
      </c>
      <c r="H612" s="56" t="s">
        <v>609</v>
      </c>
      <c r="I612" s="28"/>
      <c r="J612" s="29"/>
      <c r="K612" s="29"/>
      <c r="L612" s="30"/>
      <c r="M612" s="30"/>
      <c r="N612" s="36"/>
      <c r="O612" s="32"/>
      <c r="P612" s="33"/>
      <c r="Q612" s="34"/>
      <c r="R612" s="37"/>
      <c r="S612" s="14" t="str">
        <f t="shared" si="58"/>
        <v/>
      </c>
    </row>
    <row r="613" spans="2:19" x14ac:dyDescent="0.2">
      <c r="B613" s="2" t="str">
        <f t="shared" si="59"/>
        <v/>
      </c>
      <c r="C613" s="2" t="str">
        <f t="shared" si="60"/>
        <v/>
      </c>
      <c r="D613" s="2" t="str">
        <f t="shared" si="56"/>
        <v>Y</v>
      </c>
      <c r="E613" s="2">
        <f t="shared" si="57"/>
        <v>0</v>
      </c>
      <c r="F613" s="2" t="str">
        <f t="shared" si="61"/>
        <v/>
      </c>
      <c r="H613" s="56" t="s">
        <v>610</v>
      </c>
      <c r="I613" s="28"/>
      <c r="J613" s="29"/>
      <c r="K613" s="29"/>
      <c r="L613" s="30"/>
      <c r="M613" s="30"/>
      <c r="N613" s="36"/>
      <c r="O613" s="32"/>
      <c r="P613" s="33"/>
      <c r="Q613" s="34"/>
      <c r="R613" s="37"/>
      <c r="S613" s="14" t="str">
        <f t="shared" si="58"/>
        <v/>
      </c>
    </row>
    <row r="614" spans="2:19" x14ac:dyDescent="0.2">
      <c r="B614" s="2" t="str">
        <f t="shared" si="59"/>
        <v/>
      </c>
      <c r="C614" s="2" t="str">
        <f t="shared" si="60"/>
        <v/>
      </c>
      <c r="D614" s="2" t="str">
        <f t="shared" si="56"/>
        <v>Y</v>
      </c>
      <c r="E614" s="2">
        <f t="shared" si="57"/>
        <v>0</v>
      </c>
      <c r="F614" s="2" t="str">
        <f t="shared" si="61"/>
        <v/>
      </c>
      <c r="H614" s="56" t="s">
        <v>611</v>
      </c>
      <c r="I614" s="28"/>
      <c r="J614" s="29"/>
      <c r="K614" s="29"/>
      <c r="L614" s="30"/>
      <c r="M614" s="30"/>
      <c r="N614" s="36"/>
      <c r="O614" s="32"/>
      <c r="P614" s="33"/>
      <c r="Q614" s="34"/>
      <c r="R614" s="37"/>
      <c r="S614" s="14" t="str">
        <f t="shared" si="58"/>
        <v/>
      </c>
    </row>
    <row r="615" spans="2:19" x14ac:dyDescent="0.2">
      <c r="B615" s="2" t="str">
        <f t="shared" si="59"/>
        <v/>
      </c>
      <c r="C615" s="2" t="str">
        <f t="shared" si="60"/>
        <v/>
      </c>
      <c r="D615" s="2" t="str">
        <f t="shared" si="56"/>
        <v>Y</v>
      </c>
      <c r="E615" s="2">
        <f t="shared" si="57"/>
        <v>0</v>
      </c>
      <c r="F615" s="2" t="str">
        <f t="shared" si="61"/>
        <v/>
      </c>
      <c r="H615" s="56" t="s">
        <v>612</v>
      </c>
      <c r="I615" s="28"/>
      <c r="J615" s="29"/>
      <c r="K615" s="29"/>
      <c r="L615" s="30"/>
      <c r="M615" s="30"/>
      <c r="N615" s="36"/>
      <c r="O615" s="32"/>
      <c r="P615" s="33"/>
      <c r="Q615" s="34"/>
      <c r="R615" s="37"/>
      <c r="S615" s="14" t="str">
        <f t="shared" si="58"/>
        <v/>
      </c>
    </row>
    <row r="616" spans="2:19" x14ac:dyDescent="0.2">
      <c r="B616" s="2" t="str">
        <f t="shared" si="59"/>
        <v/>
      </c>
      <c r="C616" s="2" t="str">
        <f t="shared" si="60"/>
        <v/>
      </c>
      <c r="D616" s="2" t="str">
        <f t="shared" si="56"/>
        <v>Y</v>
      </c>
      <c r="E616" s="2">
        <f t="shared" si="57"/>
        <v>0</v>
      </c>
      <c r="F616" s="2" t="str">
        <f t="shared" si="61"/>
        <v/>
      </c>
      <c r="H616" s="56" t="s">
        <v>613</v>
      </c>
      <c r="I616" s="28"/>
      <c r="J616" s="29"/>
      <c r="K616" s="29"/>
      <c r="L616" s="30"/>
      <c r="M616" s="30"/>
      <c r="N616" s="36"/>
      <c r="O616" s="32"/>
      <c r="P616" s="33"/>
      <c r="Q616" s="34"/>
      <c r="R616" s="37"/>
      <c r="S616" s="14" t="str">
        <f t="shared" si="58"/>
        <v/>
      </c>
    </row>
    <row r="617" spans="2:19" x14ac:dyDescent="0.2">
      <c r="B617" s="2" t="str">
        <f t="shared" si="59"/>
        <v/>
      </c>
      <c r="C617" s="2" t="str">
        <f t="shared" si="60"/>
        <v/>
      </c>
      <c r="D617" s="2" t="str">
        <f t="shared" si="56"/>
        <v>Y</v>
      </c>
      <c r="E617" s="2">
        <f t="shared" si="57"/>
        <v>0</v>
      </c>
      <c r="F617" s="2" t="str">
        <f t="shared" si="61"/>
        <v/>
      </c>
      <c r="H617" s="56" t="s">
        <v>614</v>
      </c>
      <c r="I617" s="28"/>
      <c r="J617" s="29"/>
      <c r="K617" s="29"/>
      <c r="L617" s="30"/>
      <c r="M617" s="30"/>
      <c r="N617" s="36"/>
      <c r="O617" s="32"/>
      <c r="P617" s="33"/>
      <c r="Q617" s="34"/>
      <c r="R617" s="37"/>
      <c r="S617" s="14" t="str">
        <f t="shared" si="58"/>
        <v/>
      </c>
    </row>
    <row r="618" spans="2:19" x14ac:dyDescent="0.2">
      <c r="B618" s="2" t="str">
        <f t="shared" si="59"/>
        <v/>
      </c>
      <c r="C618" s="2" t="str">
        <f t="shared" si="60"/>
        <v/>
      </c>
      <c r="D618" s="2" t="str">
        <f t="shared" si="56"/>
        <v>Y</v>
      </c>
      <c r="E618" s="2">
        <f t="shared" si="57"/>
        <v>0</v>
      </c>
      <c r="F618" s="2" t="str">
        <f t="shared" si="61"/>
        <v/>
      </c>
      <c r="H618" s="56" t="s">
        <v>615</v>
      </c>
      <c r="I618" s="28"/>
      <c r="J618" s="29"/>
      <c r="K618" s="29"/>
      <c r="L618" s="30"/>
      <c r="M618" s="30"/>
      <c r="N618" s="36"/>
      <c r="O618" s="32"/>
      <c r="P618" s="33"/>
      <c r="Q618" s="34"/>
      <c r="R618" s="37"/>
      <c r="S618" s="14" t="str">
        <f t="shared" si="58"/>
        <v/>
      </c>
    </row>
    <row r="619" spans="2:19" x14ac:dyDescent="0.2">
      <c r="B619" s="2" t="str">
        <f t="shared" si="59"/>
        <v/>
      </c>
      <c r="C619" s="2" t="str">
        <f t="shared" si="60"/>
        <v/>
      </c>
      <c r="D619" s="2" t="str">
        <f t="shared" si="56"/>
        <v>Y</v>
      </c>
      <c r="E619" s="2">
        <f t="shared" si="57"/>
        <v>0</v>
      </c>
      <c r="F619" s="2" t="str">
        <f t="shared" si="61"/>
        <v/>
      </c>
      <c r="H619" s="56" t="s">
        <v>616</v>
      </c>
      <c r="I619" s="28"/>
      <c r="J619" s="29"/>
      <c r="K619" s="29"/>
      <c r="L619" s="30"/>
      <c r="M619" s="30"/>
      <c r="N619" s="36"/>
      <c r="O619" s="32"/>
      <c r="P619" s="33"/>
      <c r="Q619" s="34"/>
      <c r="R619" s="37"/>
      <c r="S619" s="14" t="str">
        <f t="shared" si="58"/>
        <v/>
      </c>
    </row>
    <row r="620" spans="2:19" x14ac:dyDescent="0.2">
      <c r="B620" s="2" t="str">
        <f t="shared" si="59"/>
        <v/>
      </c>
      <c r="C620" s="2" t="str">
        <f t="shared" si="60"/>
        <v/>
      </c>
      <c r="D620" s="2" t="str">
        <f t="shared" si="56"/>
        <v>Y</v>
      </c>
      <c r="E620" s="2">
        <f t="shared" si="57"/>
        <v>0</v>
      </c>
      <c r="F620" s="2" t="str">
        <f t="shared" si="61"/>
        <v/>
      </c>
      <c r="H620" s="56" t="s">
        <v>617</v>
      </c>
      <c r="I620" s="28"/>
      <c r="J620" s="29"/>
      <c r="K620" s="29"/>
      <c r="L620" s="30"/>
      <c r="M620" s="30"/>
      <c r="N620" s="36"/>
      <c r="O620" s="32"/>
      <c r="P620" s="33"/>
      <c r="Q620" s="34"/>
      <c r="R620" s="37"/>
      <c r="S620" s="14" t="str">
        <f t="shared" si="58"/>
        <v/>
      </c>
    </row>
    <row r="621" spans="2:19" x14ac:dyDescent="0.2">
      <c r="B621" s="2" t="str">
        <f t="shared" si="59"/>
        <v/>
      </c>
      <c r="C621" s="2" t="str">
        <f t="shared" si="60"/>
        <v/>
      </c>
      <c r="D621" s="2" t="str">
        <f t="shared" si="56"/>
        <v>Y</v>
      </c>
      <c r="E621" s="2">
        <f t="shared" si="57"/>
        <v>0</v>
      </c>
      <c r="F621" s="2" t="str">
        <f t="shared" si="61"/>
        <v/>
      </c>
      <c r="H621" s="56" t="s">
        <v>618</v>
      </c>
      <c r="I621" s="28"/>
      <c r="J621" s="29"/>
      <c r="K621" s="29"/>
      <c r="L621" s="30"/>
      <c r="M621" s="30"/>
      <c r="N621" s="36"/>
      <c r="O621" s="32"/>
      <c r="P621" s="33"/>
      <c r="Q621" s="34"/>
      <c r="R621" s="37"/>
      <c r="S621" s="14" t="str">
        <f t="shared" si="58"/>
        <v/>
      </c>
    </row>
    <row r="622" spans="2:19" x14ac:dyDescent="0.2">
      <c r="B622" s="2" t="str">
        <f t="shared" si="59"/>
        <v/>
      </c>
      <c r="C622" s="2" t="str">
        <f t="shared" si="60"/>
        <v/>
      </c>
      <c r="D622" s="2" t="str">
        <f t="shared" si="56"/>
        <v>Y</v>
      </c>
      <c r="E622" s="2">
        <f t="shared" si="57"/>
        <v>0</v>
      </c>
      <c r="F622" s="2" t="str">
        <f t="shared" si="61"/>
        <v/>
      </c>
      <c r="H622" s="56" t="s">
        <v>619</v>
      </c>
      <c r="I622" s="28"/>
      <c r="J622" s="29"/>
      <c r="K622" s="29"/>
      <c r="L622" s="30"/>
      <c r="M622" s="30"/>
      <c r="N622" s="36"/>
      <c r="O622" s="32"/>
      <c r="P622" s="33"/>
      <c r="Q622" s="34"/>
      <c r="R622" s="37"/>
      <c r="S622" s="14" t="str">
        <f t="shared" si="58"/>
        <v/>
      </c>
    </row>
    <row r="623" spans="2:19" x14ac:dyDescent="0.2">
      <c r="B623" s="2" t="str">
        <f t="shared" si="59"/>
        <v/>
      </c>
      <c r="C623" s="2" t="str">
        <f t="shared" si="60"/>
        <v/>
      </c>
      <c r="D623" s="2" t="str">
        <f t="shared" si="56"/>
        <v>Y</v>
      </c>
      <c r="E623" s="2">
        <f t="shared" si="57"/>
        <v>0</v>
      </c>
      <c r="F623" s="2" t="str">
        <f t="shared" si="61"/>
        <v/>
      </c>
      <c r="H623" s="56" t="s">
        <v>620</v>
      </c>
      <c r="I623" s="28"/>
      <c r="J623" s="29"/>
      <c r="K623" s="29"/>
      <c r="L623" s="30"/>
      <c r="M623" s="30"/>
      <c r="N623" s="36"/>
      <c r="O623" s="32"/>
      <c r="P623" s="33"/>
      <c r="Q623" s="34"/>
      <c r="R623" s="37"/>
      <c r="S623" s="14" t="str">
        <f t="shared" si="58"/>
        <v/>
      </c>
    </row>
    <row r="624" spans="2:19" x14ac:dyDescent="0.2">
      <c r="B624" s="2" t="str">
        <f t="shared" si="59"/>
        <v/>
      </c>
      <c r="C624" s="2" t="str">
        <f t="shared" si="60"/>
        <v/>
      </c>
      <c r="D624" s="2" t="str">
        <f t="shared" si="56"/>
        <v>Y</v>
      </c>
      <c r="E624" s="2">
        <f t="shared" si="57"/>
        <v>0</v>
      </c>
      <c r="F624" s="2" t="str">
        <f t="shared" si="61"/>
        <v/>
      </c>
      <c r="H624" s="56" t="s">
        <v>621</v>
      </c>
      <c r="I624" s="28"/>
      <c r="J624" s="29"/>
      <c r="K624" s="29"/>
      <c r="L624" s="30"/>
      <c r="M624" s="30"/>
      <c r="N624" s="36"/>
      <c r="O624" s="32"/>
      <c r="P624" s="33"/>
      <c r="Q624" s="34"/>
      <c r="R624" s="37"/>
      <c r="S624" s="14" t="str">
        <f t="shared" si="58"/>
        <v/>
      </c>
    </row>
    <row r="625" spans="2:19" x14ac:dyDescent="0.2">
      <c r="B625" s="2" t="str">
        <f t="shared" si="59"/>
        <v/>
      </c>
      <c r="C625" s="2" t="str">
        <f t="shared" si="60"/>
        <v/>
      </c>
      <c r="D625" s="2" t="str">
        <f t="shared" si="56"/>
        <v>Y</v>
      </c>
      <c r="E625" s="2">
        <f t="shared" si="57"/>
        <v>0</v>
      </c>
      <c r="F625" s="2" t="str">
        <f t="shared" si="61"/>
        <v/>
      </c>
      <c r="H625" s="56" t="s">
        <v>622</v>
      </c>
      <c r="I625" s="28"/>
      <c r="J625" s="29"/>
      <c r="K625" s="29"/>
      <c r="L625" s="30"/>
      <c r="M625" s="30"/>
      <c r="N625" s="36"/>
      <c r="O625" s="32"/>
      <c r="P625" s="33"/>
      <c r="Q625" s="34"/>
      <c r="R625" s="37"/>
      <c r="S625" s="14" t="str">
        <f t="shared" si="58"/>
        <v/>
      </c>
    </row>
    <row r="626" spans="2:19" x14ac:dyDescent="0.2">
      <c r="B626" s="2" t="str">
        <f t="shared" si="59"/>
        <v/>
      </c>
      <c r="C626" s="2" t="str">
        <f t="shared" si="60"/>
        <v/>
      </c>
      <c r="D626" s="2" t="str">
        <f t="shared" si="56"/>
        <v>Y</v>
      </c>
      <c r="E626" s="2">
        <f t="shared" si="57"/>
        <v>0</v>
      </c>
      <c r="F626" s="2" t="str">
        <f t="shared" si="61"/>
        <v/>
      </c>
      <c r="H626" s="56" t="s">
        <v>623</v>
      </c>
      <c r="I626" s="28"/>
      <c r="J626" s="29"/>
      <c r="K626" s="29"/>
      <c r="L626" s="30"/>
      <c r="M626" s="30"/>
      <c r="N626" s="36"/>
      <c r="O626" s="32"/>
      <c r="P626" s="33"/>
      <c r="Q626" s="34"/>
      <c r="R626" s="37"/>
      <c r="S626" s="14" t="str">
        <f t="shared" si="58"/>
        <v/>
      </c>
    </row>
    <row r="627" spans="2:19" x14ac:dyDescent="0.2">
      <c r="B627" s="2" t="str">
        <f t="shared" si="59"/>
        <v/>
      </c>
      <c r="C627" s="2" t="str">
        <f t="shared" si="60"/>
        <v/>
      </c>
      <c r="D627" s="2" t="str">
        <f t="shared" si="56"/>
        <v>Y</v>
      </c>
      <c r="E627" s="2">
        <f t="shared" si="57"/>
        <v>0</v>
      </c>
      <c r="F627" s="2" t="str">
        <f t="shared" si="61"/>
        <v/>
      </c>
      <c r="H627" s="56" t="s">
        <v>624</v>
      </c>
      <c r="I627" s="28"/>
      <c r="J627" s="29"/>
      <c r="K627" s="29"/>
      <c r="L627" s="30"/>
      <c r="M627" s="30"/>
      <c r="N627" s="36"/>
      <c r="O627" s="32"/>
      <c r="P627" s="33"/>
      <c r="Q627" s="34"/>
      <c r="R627" s="37"/>
      <c r="S627" s="14" t="str">
        <f t="shared" si="58"/>
        <v/>
      </c>
    </row>
    <row r="628" spans="2:19" x14ac:dyDescent="0.2">
      <c r="B628" s="2" t="str">
        <f t="shared" si="59"/>
        <v/>
      </c>
      <c r="C628" s="2" t="str">
        <f t="shared" si="60"/>
        <v/>
      </c>
      <c r="D628" s="2" t="str">
        <f t="shared" si="56"/>
        <v>Y</v>
      </c>
      <c r="E628" s="2">
        <f t="shared" si="57"/>
        <v>0</v>
      </c>
      <c r="F628" s="2" t="str">
        <f t="shared" si="61"/>
        <v/>
      </c>
      <c r="H628" s="56" t="s">
        <v>625</v>
      </c>
      <c r="I628" s="28"/>
      <c r="J628" s="29"/>
      <c r="K628" s="29"/>
      <c r="L628" s="30"/>
      <c r="M628" s="30"/>
      <c r="N628" s="36"/>
      <c r="O628" s="32"/>
      <c r="P628" s="33"/>
      <c r="Q628" s="34"/>
      <c r="R628" s="37"/>
      <c r="S628" s="14" t="str">
        <f t="shared" si="58"/>
        <v/>
      </c>
    </row>
    <row r="629" spans="2:19" x14ac:dyDescent="0.2">
      <c r="B629" s="2" t="str">
        <f t="shared" si="59"/>
        <v/>
      </c>
      <c r="C629" s="2" t="str">
        <f t="shared" si="60"/>
        <v/>
      </c>
      <c r="D629" s="2" t="str">
        <f t="shared" si="56"/>
        <v>Y</v>
      </c>
      <c r="E629" s="2">
        <f t="shared" si="57"/>
        <v>0</v>
      </c>
      <c r="F629" s="2" t="str">
        <f t="shared" si="61"/>
        <v/>
      </c>
      <c r="H629" s="56" t="s">
        <v>626</v>
      </c>
      <c r="I629" s="28"/>
      <c r="J629" s="29"/>
      <c r="K629" s="29"/>
      <c r="L629" s="30"/>
      <c r="M629" s="30"/>
      <c r="N629" s="36"/>
      <c r="O629" s="32"/>
      <c r="P629" s="33"/>
      <c r="Q629" s="34"/>
      <c r="R629" s="37"/>
      <c r="S629" s="14" t="str">
        <f t="shared" si="58"/>
        <v/>
      </c>
    </row>
    <row r="630" spans="2:19" x14ac:dyDescent="0.2">
      <c r="B630" s="2" t="str">
        <f t="shared" si="59"/>
        <v/>
      </c>
      <c r="C630" s="2" t="str">
        <f t="shared" si="60"/>
        <v/>
      </c>
      <c r="D630" s="2" t="str">
        <f t="shared" si="56"/>
        <v>Y</v>
      </c>
      <c r="E630" s="2">
        <f t="shared" si="57"/>
        <v>0</v>
      </c>
      <c r="F630" s="2" t="str">
        <f t="shared" si="61"/>
        <v/>
      </c>
      <c r="H630" s="56" t="s">
        <v>627</v>
      </c>
      <c r="I630" s="28"/>
      <c r="J630" s="29"/>
      <c r="K630" s="29"/>
      <c r="L630" s="30"/>
      <c r="M630" s="30"/>
      <c r="N630" s="36"/>
      <c r="O630" s="32"/>
      <c r="P630" s="33"/>
      <c r="Q630" s="34"/>
      <c r="R630" s="37"/>
      <c r="S630" s="14" t="str">
        <f t="shared" si="58"/>
        <v/>
      </c>
    </row>
    <row r="631" spans="2:19" x14ac:dyDescent="0.2">
      <c r="B631" s="2" t="str">
        <f t="shared" si="59"/>
        <v/>
      </c>
      <c r="C631" s="2" t="str">
        <f t="shared" si="60"/>
        <v/>
      </c>
      <c r="D631" s="2" t="str">
        <f t="shared" si="56"/>
        <v>Y</v>
      </c>
      <c r="E631" s="2">
        <f t="shared" si="57"/>
        <v>0</v>
      </c>
      <c r="F631" s="2" t="str">
        <f t="shared" si="61"/>
        <v/>
      </c>
      <c r="H631" s="56" t="s">
        <v>628</v>
      </c>
      <c r="I631" s="28"/>
      <c r="J631" s="29"/>
      <c r="K631" s="29"/>
      <c r="L631" s="30"/>
      <c r="M631" s="30"/>
      <c r="N631" s="36"/>
      <c r="O631" s="32"/>
      <c r="P631" s="33"/>
      <c r="Q631" s="34"/>
      <c r="R631" s="37"/>
      <c r="S631" s="14" t="str">
        <f t="shared" si="58"/>
        <v/>
      </c>
    </row>
    <row r="632" spans="2:19" x14ac:dyDescent="0.2">
      <c r="B632" s="2" t="str">
        <f t="shared" si="59"/>
        <v/>
      </c>
      <c r="C632" s="2" t="str">
        <f t="shared" si="60"/>
        <v/>
      </c>
      <c r="D632" s="2" t="str">
        <f t="shared" si="56"/>
        <v>Y</v>
      </c>
      <c r="E632" s="2">
        <f t="shared" si="57"/>
        <v>0</v>
      </c>
      <c r="F632" s="2" t="str">
        <f t="shared" si="61"/>
        <v/>
      </c>
      <c r="H632" s="56" t="s">
        <v>629</v>
      </c>
      <c r="I632" s="28"/>
      <c r="J632" s="29"/>
      <c r="K632" s="29"/>
      <c r="L632" s="30"/>
      <c r="M632" s="30"/>
      <c r="N632" s="36"/>
      <c r="O632" s="32"/>
      <c r="P632" s="33"/>
      <c r="Q632" s="34"/>
      <c r="R632" s="37"/>
      <c r="S632" s="14" t="str">
        <f t="shared" si="58"/>
        <v/>
      </c>
    </row>
    <row r="633" spans="2:19" x14ac:dyDescent="0.2">
      <c r="B633" s="2" t="str">
        <f t="shared" si="59"/>
        <v/>
      </c>
      <c r="C633" s="2" t="str">
        <f t="shared" si="60"/>
        <v/>
      </c>
      <c r="D633" s="2" t="str">
        <f t="shared" si="56"/>
        <v>Y</v>
      </c>
      <c r="E633" s="2">
        <f t="shared" si="57"/>
        <v>0</v>
      </c>
      <c r="F633" s="2" t="str">
        <f t="shared" si="61"/>
        <v/>
      </c>
      <c r="H633" s="56" t="s">
        <v>630</v>
      </c>
      <c r="I633" s="28"/>
      <c r="J633" s="29"/>
      <c r="K633" s="29"/>
      <c r="L633" s="30"/>
      <c r="M633" s="30"/>
      <c r="N633" s="36"/>
      <c r="O633" s="32"/>
      <c r="P633" s="33"/>
      <c r="Q633" s="34"/>
      <c r="R633" s="37"/>
      <c r="S633" s="14" t="str">
        <f t="shared" si="58"/>
        <v/>
      </c>
    </row>
    <row r="634" spans="2:19" x14ac:dyDescent="0.2">
      <c r="B634" s="2" t="str">
        <f t="shared" si="59"/>
        <v/>
      </c>
      <c r="C634" s="2" t="str">
        <f t="shared" si="60"/>
        <v/>
      </c>
      <c r="D634" s="2" t="str">
        <f t="shared" si="56"/>
        <v>Y</v>
      </c>
      <c r="E634" s="2">
        <f t="shared" si="57"/>
        <v>0</v>
      </c>
      <c r="F634" s="2" t="str">
        <f t="shared" si="61"/>
        <v/>
      </c>
      <c r="H634" s="56" t="s">
        <v>631</v>
      </c>
      <c r="I634" s="28"/>
      <c r="J634" s="29"/>
      <c r="K634" s="29"/>
      <c r="L634" s="30"/>
      <c r="M634" s="30"/>
      <c r="N634" s="36"/>
      <c r="O634" s="32"/>
      <c r="P634" s="33"/>
      <c r="Q634" s="34"/>
      <c r="R634" s="37"/>
      <c r="S634" s="14" t="str">
        <f t="shared" si="58"/>
        <v/>
      </c>
    </row>
    <row r="635" spans="2:19" x14ac:dyDescent="0.2">
      <c r="B635" s="2" t="str">
        <f t="shared" si="59"/>
        <v/>
      </c>
      <c r="C635" s="2" t="str">
        <f t="shared" si="60"/>
        <v/>
      </c>
      <c r="D635" s="2" t="str">
        <f t="shared" si="56"/>
        <v>Y</v>
      </c>
      <c r="E635" s="2">
        <f t="shared" si="57"/>
        <v>0</v>
      </c>
      <c r="F635" s="2" t="str">
        <f t="shared" si="61"/>
        <v/>
      </c>
      <c r="H635" s="56" t="s">
        <v>632</v>
      </c>
      <c r="I635" s="28"/>
      <c r="J635" s="29"/>
      <c r="K635" s="29"/>
      <c r="L635" s="30"/>
      <c r="M635" s="30"/>
      <c r="N635" s="36"/>
      <c r="O635" s="32"/>
      <c r="P635" s="33"/>
      <c r="Q635" s="34"/>
      <c r="R635" s="37"/>
      <c r="S635" s="14" t="str">
        <f t="shared" si="58"/>
        <v/>
      </c>
    </row>
    <row r="636" spans="2:19" x14ac:dyDescent="0.2">
      <c r="B636" s="2" t="str">
        <f t="shared" si="59"/>
        <v/>
      </c>
      <c r="C636" s="2" t="str">
        <f t="shared" si="60"/>
        <v/>
      </c>
      <c r="D636" s="2" t="str">
        <f t="shared" si="56"/>
        <v>Y</v>
      </c>
      <c r="E636" s="2">
        <f t="shared" si="57"/>
        <v>0</v>
      </c>
      <c r="F636" s="2" t="str">
        <f t="shared" si="61"/>
        <v/>
      </c>
      <c r="H636" s="56" t="s">
        <v>633</v>
      </c>
      <c r="I636" s="28"/>
      <c r="J636" s="29"/>
      <c r="K636" s="29"/>
      <c r="L636" s="30"/>
      <c r="M636" s="30"/>
      <c r="N636" s="36"/>
      <c r="O636" s="32"/>
      <c r="P636" s="33"/>
      <c r="Q636" s="34"/>
      <c r="R636" s="37"/>
      <c r="S636" s="14" t="str">
        <f t="shared" si="58"/>
        <v/>
      </c>
    </row>
    <row r="637" spans="2:19" x14ac:dyDescent="0.2">
      <c r="B637" s="2" t="str">
        <f t="shared" si="59"/>
        <v/>
      </c>
      <c r="C637" s="2" t="str">
        <f t="shared" si="60"/>
        <v/>
      </c>
      <c r="D637" s="2" t="str">
        <f t="shared" si="56"/>
        <v>Y</v>
      </c>
      <c r="E637" s="2">
        <f t="shared" si="57"/>
        <v>0</v>
      </c>
      <c r="F637" s="2" t="str">
        <f t="shared" si="61"/>
        <v/>
      </c>
      <c r="H637" s="56" t="s">
        <v>634</v>
      </c>
      <c r="I637" s="28"/>
      <c r="J637" s="29"/>
      <c r="K637" s="29"/>
      <c r="L637" s="30"/>
      <c r="M637" s="30"/>
      <c r="N637" s="36"/>
      <c r="O637" s="32"/>
      <c r="P637" s="33"/>
      <c r="Q637" s="34"/>
      <c r="R637" s="37"/>
      <c r="S637" s="14" t="str">
        <f t="shared" si="58"/>
        <v/>
      </c>
    </row>
    <row r="638" spans="2:19" x14ac:dyDescent="0.2">
      <c r="B638" s="2" t="str">
        <f t="shared" si="59"/>
        <v/>
      </c>
      <c r="C638" s="2" t="str">
        <f t="shared" si="60"/>
        <v/>
      </c>
      <c r="D638" s="2" t="str">
        <f t="shared" si="56"/>
        <v>Y</v>
      </c>
      <c r="E638" s="2">
        <f t="shared" si="57"/>
        <v>0</v>
      </c>
      <c r="F638" s="2" t="str">
        <f t="shared" si="61"/>
        <v/>
      </c>
      <c r="H638" s="56" t="s">
        <v>635</v>
      </c>
      <c r="I638" s="28"/>
      <c r="J638" s="29"/>
      <c r="K638" s="29"/>
      <c r="L638" s="30"/>
      <c r="M638" s="30"/>
      <c r="N638" s="36"/>
      <c r="O638" s="32"/>
      <c r="P638" s="33"/>
      <c r="Q638" s="34"/>
      <c r="R638" s="37"/>
      <c r="S638" s="14" t="str">
        <f t="shared" si="58"/>
        <v/>
      </c>
    </row>
    <row r="639" spans="2:19" x14ac:dyDescent="0.2">
      <c r="B639" s="2" t="str">
        <f t="shared" si="59"/>
        <v/>
      </c>
      <c r="C639" s="2" t="str">
        <f t="shared" si="60"/>
        <v/>
      </c>
      <c r="D639" s="2" t="str">
        <f t="shared" si="56"/>
        <v>Y</v>
      </c>
      <c r="E639" s="2">
        <f t="shared" si="57"/>
        <v>0</v>
      </c>
      <c r="F639" s="2" t="str">
        <f t="shared" si="61"/>
        <v/>
      </c>
      <c r="H639" s="56" t="s">
        <v>636</v>
      </c>
      <c r="I639" s="28"/>
      <c r="J639" s="29"/>
      <c r="K639" s="29"/>
      <c r="L639" s="30"/>
      <c r="M639" s="30"/>
      <c r="N639" s="36"/>
      <c r="O639" s="32"/>
      <c r="P639" s="33"/>
      <c r="Q639" s="34"/>
      <c r="R639" s="37"/>
      <c r="S639" s="14" t="str">
        <f t="shared" si="58"/>
        <v/>
      </c>
    </row>
    <row r="640" spans="2:19" x14ac:dyDescent="0.2">
      <c r="B640" s="2" t="str">
        <f t="shared" si="59"/>
        <v/>
      </c>
      <c r="C640" s="2" t="str">
        <f t="shared" si="60"/>
        <v/>
      </c>
      <c r="D640" s="2" t="str">
        <f t="shared" si="56"/>
        <v>Y</v>
      </c>
      <c r="E640" s="2">
        <f t="shared" si="57"/>
        <v>0</v>
      </c>
      <c r="F640" s="2" t="str">
        <f t="shared" si="61"/>
        <v/>
      </c>
      <c r="H640" s="56" t="s">
        <v>637</v>
      </c>
      <c r="I640" s="28"/>
      <c r="J640" s="29"/>
      <c r="K640" s="29"/>
      <c r="L640" s="30"/>
      <c r="M640" s="30"/>
      <c r="N640" s="36"/>
      <c r="O640" s="32"/>
      <c r="P640" s="33"/>
      <c r="Q640" s="34"/>
      <c r="R640" s="37"/>
      <c r="S640" s="14" t="str">
        <f t="shared" si="58"/>
        <v/>
      </c>
    </row>
    <row r="641" spans="2:19" x14ac:dyDescent="0.2">
      <c r="B641" s="2" t="str">
        <f t="shared" si="59"/>
        <v/>
      </c>
      <c r="C641" s="2" t="str">
        <f t="shared" si="60"/>
        <v/>
      </c>
      <c r="D641" s="2" t="str">
        <f t="shared" si="56"/>
        <v>Y</v>
      </c>
      <c r="E641" s="2">
        <f t="shared" si="57"/>
        <v>0</v>
      </c>
      <c r="F641" s="2" t="str">
        <f t="shared" si="61"/>
        <v/>
      </c>
      <c r="H641" s="56" t="s">
        <v>638</v>
      </c>
      <c r="I641" s="28"/>
      <c r="J641" s="29"/>
      <c r="K641" s="29"/>
      <c r="L641" s="30"/>
      <c r="M641" s="30"/>
      <c r="N641" s="36"/>
      <c r="O641" s="32"/>
      <c r="P641" s="33"/>
      <c r="Q641" s="34"/>
      <c r="R641" s="37"/>
      <c r="S641" s="14" t="str">
        <f t="shared" si="58"/>
        <v/>
      </c>
    </row>
    <row r="642" spans="2:19" x14ac:dyDescent="0.2">
      <c r="B642" s="2" t="str">
        <f t="shared" si="59"/>
        <v/>
      </c>
      <c r="C642" s="2" t="str">
        <f t="shared" si="60"/>
        <v/>
      </c>
      <c r="D642" s="2" t="str">
        <f t="shared" si="56"/>
        <v>Y</v>
      </c>
      <c r="E642" s="2">
        <f t="shared" si="57"/>
        <v>0</v>
      </c>
      <c r="F642" s="2" t="str">
        <f t="shared" si="61"/>
        <v/>
      </c>
      <c r="H642" s="56" t="s">
        <v>639</v>
      </c>
      <c r="I642" s="28"/>
      <c r="J642" s="29"/>
      <c r="K642" s="29"/>
      <c r="L642" s="30"/>
      <c r="M642" s="30"/>
      <c r="N642" s="36"/>
      <c r="O642" s="32"/>
      <c r="P642" s="33"/>
      <c r="Q642" s="34"/>
      <c r="R642" s="37"/>
      <c r="S642" s="14" t="str">
        <f t="shared" si="58"/>
        <v/>
      </c>
    </row>
    <row r="643" spans="2:19" x14ac:dyDescent="0.2">
      <c r="B643" s="2" t="str">
        <f t="shared" si="59"/>
        <v/>
      </c>
      <c r="C643" s="2" t="str">
        <f t="shared" si="60"/>
        <v/>
      </c>
      <c r="D643" s="2" t="str">
        <f t="shared" si="56"/>
        <v>Y</v>
      </c>
      <c r="E643" s="2">
        <f t="shared" si="57"/>
        <v>0</v>
      </c>
      <c r="F643" s="2" t="str">
        <f t="shared" si="61"/>
        <v/>
      </c>
      <c r="H643" s="56" t="s">
        <v>640</v>
      </c>
      <c r="I643" s="28"/>
      <c r="J643" s="29"/>
      <c r="K643" s="29"/>
      <c r="L643" s="30"/>
      <c r="M643" s="30"/>
      <c r="N643" s="36"/>
      <c r="O643" s="32"/>
      <c r="P643" s="33"/>
      <c r="Q643" s="34"/>
      <c r="R643" s="37"/>
      <c r="S643" s="14" t="str">
        <f t="shared" si="58"/>
        <v/>
      </c>
    </row>
    <row r="644" spans="2:19" x14ac:dyDescent="0.2">
      <c r="B644" s="2" t="str">
        <f t="shared" si="59"/>
        <v/>
      </c>
      <c r="C644" s="2" t="str">
        <f t="shared" si="60"/>
        <v/>
      </c>
      <c r="D644" s="2" t="str">
        <f t="shared" si="56"/>
        <v>Y</v>
      </c>
      <c r="E644" s="2">
        <f t="shared" si="57"/>
        <v>0</v>
      </c>
      <c r="F644" s="2" t="str">
        <f t="shared" si="61"/>
        <v/>
      </c>
      <c r="H644" s="56" t="s">
        <v>641</v>
      </c>
      <c r="I644" s="28"/>
      <c r="J644" s="29"/>
      <c r="K644" s="29"/>
      <c r="L644" s="30"/>
      <c r="M644" s="30"/>
      <c r="N644" s="36"/>
      <c r="O644" s="32"/>
      <c r="P644" s="33"/>
      <c r="Q644" s="34"/>
      <c r="R644" s="37"/>
      <c r="S644" s="14" t="str">
        <f t="shared" si="58"/>
        <v/>
      </c>
    </row>
    <row r="645" spans="2:19" x14ac:dyDescent="0.2">
      <c r="B645" s="2" t="str">
        <f t="shared" si="59"/>
        <v/>
      </c>
      <c r="C645" s="2" t="str">
        <f t="shared" si="60"/>
        <v/>
      </c>
      <c r="D645" s="2" t="str">
        <f t="shared" si="56"/>
        <v>Y</v>
      </c>
      <c r="E645" s="2">
        <f t="shared" si="57"/>
        <v>0</v>
      </c>
      <c r="F645" s="2" t="str">
        <f t="shared" si="61"/>
        <v/>
      </c>
      <c r="H645" s="56" t="s">
        <v>642</v>
      </c>
      <c r="I645" s="28"/>
      <c r="J645" s="29"/>
      <c r="K645" s="29"/>
      <c r="L645" s="30"/>
      <c r="M645" s="30"/>
      <c r="N645" s="36"/>
      <c r="O645" s="32"/>
      <c r="P645" s="33"/>
      <c r="Q645" s="34"/>
      <c r="R645" s="37"/>
      <c r="S645" s="14" t="str">
        <f t="shared" si="58"/>
        <v/>
      </c>
    </row>
    <row r="646" spans="2:19" x14ac:dyDescent="0.2">
      <c r="B646" s="2" t="str">
        <f t="shared" si="59"/>
        <v/>
      </c>
      <c r="C646" s="2" t="str">
        <f t="shared" si="60"/>
        <v/>
      </c>
      <c r="D646" s="2" t="str">
        <f t="shared" si="56"/>
        <v>Y</v>
      </c>
      <c r="E646" s="2">
        <f t="shared" si="57"/>
        <v>0</v>
      </c>
      <c r="F646" s="2" t="str">
        <f t="shared" si="61"/>
        <v/>
      </c>
      <c r="H646" s="56" t="s">
        <v>643</v>
      </c>
      <c r="I646" s="28"/>
      <c r="J646" s="29"/>
      <c r="K646" s="29"/>
      <c r="L646" s="30"/>
      <c r="M646" s="30"/>
      <c r="N646" s="36"/>
      <c r="O646" s="32"/>
      <c r="P646" s="33"/>
      <c r="Q646" s="34"/>
      <c r="R646" s="37"/>
      <c r="S646" s="14" t="str">
        <f t="shared" si="58"/>
        <v/>
      </c>
    </row>
    <row r="647" spans="2:19" x14ac:dyDescent="0.2">
      <c r="B647" s="2" t="str">
        <f t="shared" si="59"/>
        <v/>
      </c>
      <c r="C647" s="2" t="str">
        <f t="shared" si="60"/>
        <v/>
      </c>
      <c r="D647" s="2" t="str">
        <f t="shared" si="56"/>
        <v>Y</v>
      </c>
      <c r="E647" s="2">
        <f t="shared" si="57"/>
        <v>0</v>
      </c>
      <c r="F647" s="2" t="str">
        <f t="shared" si="61"/>
        <v/>
      </c>
      <c r="H647" s="56" t="s">
        <v>644</v>
      </c>
      <c r="I647" s="28"/>
      <c r="J647" s="29"/>
      <c r="K647" s="29"/>
      <c r="L647" s="30"/>
      <c r="M647" s="30"/>
      <c r="N647" s="36"/>
      <c r="O647" s="32"/>
      <c r="P647" s="33"/>
      <c r="Q647" s="34"/>
      <c r="R647" s="37"/>
      <c r="S647" s="14" t="str">
        <f t="shared" si="58"/>
        <v/>
      </c>
    </row>
    <row r="648" spans="2:19" x14ac:dyDescent="0.2">
      <c r="B648" s="2" t="str">
        <f t="shared" si="59"/>
        <v/>
      </c>
      <c r="C648" s="2" t="str">
        <f t="shared" si="60"/>
        <v/>
      </c>
      <c r="D648" s="2" t="str">
        <f t="shared" si="56"/>
        <v>Y</v>
      </c>
      <c r="E648" s="2">
        <f t="shared" si="57"/>
        <v>0</v>
      </c>
      <c r="F648" s="2" t="str">
        <f t="shared" si="61"/>
        <v/>
      </c>
      <c r="H648" s="56" t="s">
        <v>645</v>
      </c>
      <c r="I648" s="28"/>
      <c r="J648" s="29"/>
      <c r="K648" s="29"/>
      <c r="L648" s="30"/>
      <c r="M648" s="30"/>
      <c r="N648" s="36"/>
      <c r="O648" s="32"/>
      <c r="P648" s="33"/>
      <c r="Q648" s="34"/>
      <c r="R648" s="37"/>
      <c r="S648" s="14" t="str">
        <f t="shared" si="58"/>
        <v/>
      </c>
    </row>
    <row r="649" spans="2:19" x14ac:dyDescent="0.2">
      <c r="B649" s="2" t="str">
        <f t="shared" si="59"/>
        <v/>
      </c>
      <c r="C649" s="2" t="str">
        <f t="shared" si="60"/>
        <v/>
      </c>
      <c r="D649" s="2" t="str">
        <f t="shared" si="56"/>
        <v>Y</v>
      </c>
      <c r="E649" s="2">
        <f t="shared" si="57"/>
        <v>0</v>
      </c>
      <c r="F649" s="2" t="str">
        <f t="shared" si="61"/>
        <v/>
      </c>
      <c r="H649" s="56" t="s">
        <v>646</v>
      </c>
      <c r="I649" s="28"/>
      <c r="J649" s="29"/>
      <c r="K649" s="29"/>
      <c r="L649" s="30"/>
      <c r="M649" s="30"/>
      <c r="N649" s="36"/>
      <c r="O649" s="32"/>
      <c r="P649" s="33"/>
      <c r="Q649" s="34"/>
      <c r="R649" s="37"/>
      <c r="S649" s="14" t="str">
        <f t="shared" si="58"/>
        <v/>
      </c>
    </row>
    <row r="650" spans="2:19" x14ac:dyDescent="0.2">
      <c r="B650" s="2" t="str">
        <f t="shared" si="59"/>
        <v/>
      </c>
      <c r="C650" s="2" t="str">
        <f t="shared" si="60"/>
        <v/>
      </c>
      <c r="D650" s="2" t="str">
        <f t="shared" si="56"/>
        <v>Y</v>
      </c>
      <c r="E650" s="2">
        <f t="shared" si="57"/>
        <v>0</v>
      </c>
      <c r="F650" s="2" t="str">
        <f t="shared" si="61"/>
        <v/>
      </c>
      <c r="H650" s="56" t="s">
        <v>647</v>
      </c>
      <c r="I650" s="28"/>
      <c r="J650" s="29"/>
      <c r="K650" s="29"/>
      <c r="L650" s="30"/>
      <c r="M650" s="30"/>
      <c r="N650" s="36"/>
      <c r="O650" s="32"/>
      <c r="P650" s="33"/>
      <c r="Q650" s="34"/>
      <c r="R650" s="37"/>
      <c r="S650" s="14" t="str">
        <f t="shared" si="58"/>
        <v/>
      </c>
    </row>
    <row r="651" spans="2:19" x14ac:dyDescent="0.2">
      <c r="B651" s="2" t="str">
        <f t="shared" si="59"/>
        <v/>
      </c>
      <c r="C651" s="2" t="str">
        <f t="shared" si="60"/>
        <v/>
      </c>
      <c r="D651" s="2" t="str">
        <f t="shared" ref="D651:D714" si="62">IF(OR(P651=Not_started,P651=In_progress),"N",IF(OR(P651=N_A,P651=Suspended,P651=Canceled),"","Y"))</f>
        <v>Y</v>
      </c>
      <c r="E651" s="2">
        <f t="shared" ref="E651:E714" si="63">IF(OR(P651=Not_started,P651=In_progress,P651=Applied,P651=Closed),1,0)</f>
        <v>0</v>
      </c>
      <c r="F651" s="2" t="str">
        <f t="shared" si="61"/>
        <v/>
      </c>
      <c r="H651" s="56" t="s">
        <v>648</v>
      </c>
      <c r="I651" s="28"/>
      <c r="J651" s="29"/>
      <c r="K651" s="29"/>
      <c r="L651" s="30"/>
      <c r="M651" s="30"/>
      <c r="N651" s="36"/>
      <c r="O651" s="32"/>
      <c r="P651" s="33"/>
      <c r="Q651" s="34"/>
      <c r="R651" s="37"/>
      <c r="S651" s="14" t="str">
        <f t="shared" ref="S651:S714" si="64">IF(ISERROR(VLOOKUP(K651,LB_PROJECTS,2,FALSE)),"",VLOOKUP(K651,LB_PROJECTS,2,FALSE))</f>
        <v/>
      </c>
    </row>
    <row r="652" spans="2:19" x14ac:dyDescent="0.2">
      <c r="B652" s="2" t="str">
        <f t="shared" ref="B652:B715" si="65">IF(N652="","",IF(WEEKNUM(N652)&lt;10,VALUE(CONCATENATE(YEAR(N652),"0",WEEKNUM(N652))),VALUE(CONCATENATE(YEAR(N652),WEEKNUM(N652)))))</f>
        <v/>
      </c>
      <c r="C652" s="2" t="str">
        <f t="shared" ref="C652:C715" si="66">IF(Q652="","",IF(WEEKNUM(Q652)&lt;10,VALUE(CONCATENATE(YEAR(Q652),"0",WEEKNUM(Q652))),VALUE(CONCATENATE(YEAR(Q652),WEEKNUM(Q652)))))</f>
        <v/>
      </c>
      <c r="D652" s="2" t="str">
        <f t="shared" si="62"/>
        <v>Y</v>
      </c>
      <c r="E652" s="2">
        <f t="shared" si="63"/>
        <v>0</v>
      </c>
      <c r="F652" s="2" t="str">
        <f t="shared" si="61"/>
        <v/>
      </c>
      <c r="H652" s="56" t="s">
        <v>649</v>
      </c>
      <c r="I652" s="28"/>
      <c r="J652" s="29"/>
      <c r="K652" s="29"/>
      <c r="L652" s="30"/>
      <c r="M652" s="30"/>
      <c r="N652" s="36"/>
      <c r="O652" s="32"/>
      <c r="P652" s="33"/>
      <c r="Q652" s="34"/>
      <c r="R652" s="37"/>
      <c r="S652" s="14" t="str">
        <f t="shared" si="64"/>
        <v/>
      </c>
    </row>
    <row r="653" spans="2:19" x14ac:dyDescent="0.2">
      <c r="B653" s="2" t="str">
        <f t="shared" si="65"/>
        <v/>
      </c>
      <c r="C653" s="2" t="str">
        <f t="shared" si="66"/>
        <v/>
      </c>
      <c r="D653" s="2" t="str">
        <f t="shared" si="62"/>
        <v>Y</v>
      </c>
      <c r="E653" s="2">
        <f t="shared" si="63"/>
        <v>0</v>
      </c>
      <c r="F653" s="2" t="str">
        <f t="shared" si="61"/>
        <v/>
      </c>
      <c r="H653" s="56" t="s">
        <v>650</v>
      </c>
      <c r="I653" s="28"/>
      <c r="J653" s="29"/>
      <c r="K653" s="29"/>
      <c r="L653" s="30"/>
      <c r="M653" s="30"/>
      <c r="N653" s="36"/>
      <c r="O653" s="32"/>
      <c r="P653" s="33"/>
      <c r="Q653" s="34"/>
      <c r="R653" s="37"/>
      <c r="S653" s="14" t="str">
        <f t="shared" si="64"/>
        <v/>
      </c>
    </row>
    <row r="654" spans="2:19" x14ac:dyDescent="0.2">
      <c r="B654" s="2" t="str">
        <f t="shared" si="65"/>
        <v/>
      </c>
      <c r="C654" s="2" t="str">
        <f t="shared" si="66"/>
        <v/>
      </c>
      <c r="D654" s="2" t="str">
        <f t="shared" si="62"/>
        <v>Y</v>
      </c>
      <c r="E654" s="2">
        <f t="shared" si="63"/>
        <v>0</v>
      </c>
      <c r="F654" s="2" t="str">
        <f t="shared" ref="F654:F717" si="67">IF(O654="",B654,IF(WEEKNUM(O654)&lt;10,VALUE(CONCATENATE(YEAR(O654),"0",WEEKNUM(O654))),VALUE(CONCATENATE(YEAR(O654),WEEKNUM(O654)))))</f>
        <v/>
      </c>
      <c r="H654" s="56" t="s">
        <v>651</v>
      </c>
      <c r="I654" s="28"/>
      <c r="J654" s="29"/>
      <c r="K654" s="29"/>
      <c r="L654" s="30"/>
      <c r="M654" s="30"/>
      <c r="N654" s="36"/>
      <c r="O654" s="32"/>
      <c r="P654" s="33"/>
      <c r="Q654" s="34"/>
      <c r="R654" s="37"/>
      <c r="S654" s="14" t="str">
        <f t="shared" si="64"/>
        <v/>
      </c>
    </row>
    <row r="655" spans="2:19" x14ac:dyDescent="0.2">
      <c r="B655" s="2" t="str">
        <f t="shared" si="65"/>
        <v/>
      </c>
      <c r="C655" s="2" t="str">
        <f t="shared" si="66"/>
        <v/>
      </c>
      <c r="D655" s="2" t="str">
        <f t="shared" si="62"/>
        <v>Y</v>
      </c>
      <c r="E655" s="2">
        <f t="shared" si="63"/>
        <v>0</v>
      </c>
      <c r="F655" s="2" t="str">
        <f t="shared" si="67"/>
        <v/>
      </c>
      <c r="H655" s="56" t="s">
        <v>652</v>
      </c>
      <c r="I655" s="28"/>
      <c r="J655" s="29"/>
      <c r="K655" s="29"/>
      <c r="L655" s="30"/>
      <c r="M655" s="30"/>
      <c r="N655" s="36"/>
      <c r="O655" s="32"/>
      <c r="P655" s="33"/>
      <c r="Q655" s="34"/>
      <c r="R655" s="37"/>
      <c r="S655" s="14" t="str">
        <f t="shared" si="64"/>
        <v/>
      </c>
    </row>
    <row r="656" spans="2:19" x14ac:dyDescent="0.2">
      <c r="B656" s="2" t="str">
        <f t="shared" si="65"/>
        <v/>
      </c>
      <c r="C656" s="2" t="str">
        <f t="shared" si="66"/>
        <v/>
      </c>
      <c r="D656" s="2" t="str">
        <f t="shared" si="62"/>
        <v>Y</v>
      </c>
      <c r="E656" s="2">
        <f t="shared" si="63"/>
        <v>0</v>
      </c>
      <c r="F656" s="2" t="str">
        <f t="shared" si="67"/>
        <v/>
      </c>
      <c r="H656" s="56" t="s">
        <v>653</v>
      </c>
      <c r="I656" s="28"/>
      <c r="J656" s="29"/>
      <c r="K656" s="29"/>
      <c r="L656" s="30"/>
      <c r="M656" s="30"/>
      <c r="N656" s="36"/>
      <c r="O656" s="32"/>
      <c r="P656" s="33"/>
      <c r="Q656" s="34"/>
      <c r="R656" s="37"/>
      <c r="S656" s="14" t="str">
        <f t="shared" si="64"/>
        <v/>
      </c>
    </row>
    <row r="657" spans="2:19" x14ac:dyDescent="0.2">
      <c r="B657" s="2" t="str">
        <f t="shared" si="65"/>
        <v/>
      </c>
      <c r="C657" s="2" t="str">
        <f t="shared" si="66"/>
        <v/>
      </c>
      <c r="D657" s="2" t="str">
        <f t="shared" si="62"/>
        <v>Y</v>
      </c>
      <c r="E657" s="2">
        <f t="shared" si="63"/>
        <v>0</v>
      </c>
      <c r="F657" s="2" t="str">
        <f t="shared" si="67"/>
        <v/>
      </c>
      <c r="H657" s="56" t="s">
        <v>654</v>
      </c>
      <c r="I657" s="28"/>
      <c r="J657" s="29"/>
      <c r="K657" s="29"/>
      <c r="L657" s="30"/>
      <c r="M657" s="30"/>
      <c r="N657" s="36"/>
      <c r="O657" s="32"/>
      <c r="P657" s="33"/>
      <c r="Q657" s="34"/>
      <c r="R657" s="37"/>
      <c r="S657" s="14" t="str">
        <f t="shared" si="64"/>
        <v/>
      </c>
    </row>
    <row r="658" spans="2:19" x14ac:dyDescent="0.2">
      <c r="B658" s="2" t="str">
        <f t="shared" si="65"/>
        <v/>
      </c>
      <c r="C658" s="2" t="str">
        <f t="shared" si="66"/>
        <v/>
      </c>
      <c r="D658" s="2" t="str">
        <f t="shared" si="62"/>
        <v>Y</v>
      </c>
      <c r="E658" s="2">
        <f t="shared" si="63"/>
        <v>0</v>
      </c>
      <c r="F658" s="2" t="str">
        <f t="shared" si="67"/>
        <v/>
      </c>
      <c r="H658" s="56" t="s">
        <v>655</v>
      </c>
      <c r="I658" s="28"/>
      <c r="J658" s="29"/>
      <c r="K658" s="29"/>
      <c r="L658" s="30"/>
      <c r="M658" s="30"/>
      <c r="N658" s="36"/>
      <c r="O658" s="32"/>
      <c r="P658" s="33"/>
      <c r="Q658" s="34"/>
      <c r="R658" s="37"/>
      <c r="S658" s="14" t="str">
        <f t="shared" si="64"/>
        <v/>
      </c>
    </row>
    <row r="659" spans="2:19" x14ac:dyDescent="0.2">
      <c r="B659" s="2" t="str">
        <f t="shared" si="65"/>
        <v/>
      </c>
      <c r="C659" s="2" t="str">
        <f t="shared" si="66"/>
        <v/>
      </c>
      <c r="D659" s="2" t="str">
        <f t="shared" si="62"/>
        <v>Y</v>
      </c>
      <c r="E659" s="2">
        <f t="shared" si="63"/>
        <v>0</v>
      </c>
      <c r="F659" s="2" t="str">
        <f t="shared" si="67"/>
        <v/>
      </c>
      <c r="H659" s="56" t="s">
        <v>656</v>
      </c>
      <c r="I659" s="28"/>
      <c r="J659" s="29"/>
      <c r="K659" s="29"/>
      <c r="L659" s="30"/>
      <c r="M659" s="30"/>
      <c r="N659" s="36"/>
      <c r="O659" s="32"/>
      <c r="P659" s="33"/>
      <c r="Q659" s="34"/>
      <c r="R659" s="37"/>
      <c r="S659" s="14" t="str">
        <f t="shared" si="64"/>
        <v/>
      </c>
    </row>
    <row r="660" spans="2:19" x14ac:dyDescent="0.2">
      <c r="B660" s="2" t="str">
        <f t="shared" si="65"/>
        <v/>
      </c>
      <c r="C660" s="2" t="str">
        <f t="shared" si="66"/>
        <v/>
      </c>
      <c r="D660" s="2" t="str">
        <f t="shared" si="62"/>
        <v>Y</v>
      </c>
      <c r="E660" s="2">
        <f t="shared" si="63"/>
        <v>0</v>
      </c>
      <c r="F660" s="2" t="str">
        <f t="shared" si="67"/>
        <v/>
      </c>
      <c r="H660" s="56" t="s">
        <v>657</v>
      </c>
      <c r="I660" s="28"/>
      <c r="J660" s="29"/>
      <c r="K660" s="29"/>
      <c r="L660" s="30"/>
      <c r="M660" s="30"/>
      <c r="N660" s="36"/>
      <c r="O660" s="32"/>
      <c r="P660" s="33"/>
      <c r="Q660" s="34"/>
      <c r="R660" s="37"/>
      <c r="S660" s="14" t="str">
        <f t="shared" si="64"/>
        <v/>
      </c>
    </row>
    <row r="661" spans="2:19" x14ac:dyDescent="0.2">
      <c r="B661" s="2" t="str">
        <f t="shared" si="65"/>
        <v/>
      </c>
      <c r="C661" s="2" t="str">
        <f t="shared" si="66"/>
        <v/>
      </c>
      <c r="D661" s="2" t="str">
        <f t="shared" si="62"/>
        <v>Y</v>
      </c>
      <c r="E661" s="2">
        <f t="shared" si="63"/>
        <v>0</v>
      </c>
      <c r="F661" s="2" t="str">
        <f t="shared" si="67"/>
        <v/>
      </c>
      <c r="H661" s="56" t="s">
        <v>658</v>
      </c>
      <c r="I661" s="28"/>
      <c r="J661" s="29"/>
      <c r="K661" s="29"/>
      <c r="L661" s="30"/>
      <c r="M661" s="30"/>
      <c r="N661" s="36"/>
      <c r="O661" s="32"/>
      <c r="P661" s="33"/>
      <c r="Q661" s="34"/>
      <c r="R661" s="37"/>
      <c r="S661" s="14" t="str">
        <f t="shared" si="64"/>
        <v/>
      </c>
    </row>
    <row r="662" spans="2:19" x14ac:dyDescent="0.2">
      <c r="B662" s="2" t="str">
        <f t="shared" si="65"/>
        <v/>
      </c>
      <c r="C662" s="2" t="str">
        <f t="shared" si="66"/>
        <v/>
      </c>
      <c r="D662" s="2" t="str">
        <f t="shared" si="62"/>
        <v>Y</v>
      </c>
      <c r="E662" s="2">
        <f t="shared" si="63"/>
        <v>0</v>
      </c>
      <c r="F662" s="2" t="str">
        <f t="shared" si="67"/>
        <v/>
      </c>
      <c r="H662" s="56" t="s">
        <v>659</v>
      </c>
      <c r="I662" s="28"/>
      <c r="J662" s="29"/>
      <c r="K662" s="29"/>
      <c r="L662" s="30"/>
      <c r="M662" s="30"/>
      <c r="N662" s="36"/>
      <c r="O662" s="32"/>
      <c r="P662" s="33"/>
      <c r="Q662" s="34"/>
      <c r="R662" s="37"/>
      <c r="S662" s="14" t="str">
        <f t="shared" si="64"/>
        <v/>
      </c>
    </row>
    <row r="663" spans="2:19" x14ac:dyDescent="0.2">
      <c r="B663" s="2" t="str">
        <f t="shared" si="65"/>
        <v/>
      </c>
      <c r="C663" s="2" t="str">
        <f t="shared" si="66"/>
        <v/>
      </c>
      <c r="D663" s="2" t="str">
        <f t="shared" si="62"/>
        <v>Y</v>
      </c>
      <c r="E663" s="2">
        <f t="shared" si="63"/>
        <v>0</v>
      </c>
      <c r="F663" s="2" t="str">
        <f t="shared" si="67"/>
        <v/>
      </c>
      <c r="H663" s="56" t="s">
        <v>660</v>
      </c>
      <c r="I663" s="28"/>
      <c r="J663" s="29"/>
      <c r="K663" s="29"/>
      <c r="L663" s="30"/>
      <c r="M663" s="30"/>
      <c r="N663" s="36"/>
      <c r="O663" s="32"/>
      <c r="P663" s="33"/>
      <c r="Q663" s="34"/>
      <c r="R663" s="37"/>
      <c r="S663" s="14" t="str">
        <f t="shared" si="64"/>
        <v/>
      </c>
    </row>
    <row r="664" spans="2:19" x14ac:dyDescent="0.2">
      <c r="B664" s="2" t="str">
        <f t="shared" si="65"/>
        <v/>
      </c>
      <c r="C664" s="2" t="str">
        <f t="shared" si="66"/>
        <v/>
      </c>
      <c r="D664" s="2" t="str">
        <f t="shared" si="62"/>
        <v>Y</v>
      </c>
      <c r="E664" s="2">
        <f t="shared" si="63"/>
        <v>0</v>
      </c>
      <c r="F664" s="2" t="str">
        <f t="shared" si="67"/>
        <v/>
      </c>
      <c r="H664" s="56" t="s">
        <v>661</v>
      </c>
      <c r="I664" s="28"/>
      <c r="J664" s="29"/>
      <c r="K664" s="29"/>
      <c r="L664" s="30"/>
      <c r="M664" s="30"/>
      <c r="N664" s="36"/>
      <c r="O664" s="32"/>
      <c r="P664" s="33"/>
      <c r="Q664" s="34"/>
      <c r="R664" s="37"/>
      <c r="S664" s="14" t="str">
        <f t="shared" si="64"/>
        <v/>
      </c>
    </row>
    <row r="665" spans="2:19" x14ac:dyDescent="0.2">
      <c r="B665" s="2" t="str">
        <f t="shared" si="65"/>
        <v/>
      </c>
      <c r="C665" s="2" t="str">
        <f t="shared" si="66"/>
        <v/>
      </c>
      <c r="D665" s="2" t="str">
        <f t="shared" si="62"/>
        <v>Y</v>
      </c>
      <c r="E665" s="2">
        <f t="shared" si="63"/>
        <v>0</v>
      </c>
      <c r="F665" s="2" t="str">
        <f t="shared" si="67"/>
        <v/>
      </c>
      <c r="H665" s="56" t="s">
        <v>662</v>
      </c>
      <c r="I665" s="28"/>
      <c r="J665" s="29"/>
      <c r="K665" s="29"/>
      <c r="L665" s="30"/>
      <c r="M665" s="30"/>
      <c r="N665" s="36"/>
      <c r="O665" s="32"/>
      <c r="P665" s="33"/>
      <c r="Q665" s="34"/>
      <c r="R665" s="37"/>
      <c r="S665" s="14" t="str">
        <f t="shared" si="64"/>
        <v/>
      </c>
    </row>
    <row r="666" spans="2:19" x14ac:dyDescent="0.2">
      <c r="B666" s="2" t="str">
        <f t="shared" si="65"/>
        <v/>
      </c>
      <c r="C666" s="2" t="str">
        <f t="shared" si="66"/>
        <v/>
      </c>
      <c r="D666" s="2" t="str">
        <f t="shared" si="62"/>
        <v>Y</v>
      </c>
      <c r="E666" s="2">
        <f t="shared" si="63"/>
        <v>0</v>
      </c>
      <c r="F666" s="2" t="str">
        <f t="shared" si="67"/>
        <v/>
      </c>
      <c r="H666" s="56" t="s">
        <v>663</v>
      </c>
      <c r="I666" s="28"/>
      <c r="J666" s="29"/>
      <c r="K666" s="29"/>
      <c r="L666" s="30"/>
      <c r="M666" s="30"/>
      <c r="N666" s="36"/>
      <c r="O666" s="32"/>
      <c r="P666" s="33"/>
      <c r="Q666" s="34"/>
      <c r="R666" s="37"/>
      <c r="S666" s="14" t="str">
        <f t="shared" si="64"/>
        <v/>
      </c>
    </row>
    <row r="667" spans="2:19" x14ac:dyDescent="0.2">
      <c r="B667" s="2" t="str">
        <f t="shared" si="65"/>
        <v/>
      </c>
      <c r="C667" s="2" t="str">
        <f t="shared" si="66"/>
        <v/>
      </c>
      <c r="D667" s="2" t="str">
        <f t="shared" si="62"/>
        <v>Y</v>
      </c>
      <c r="E667" s="2">
        <f t="shared" si="63"/>
        <v>0</v>
      </c>
      <c r="F667" s="2" t="str">
        <f t="shared" si="67"/>
        <v/>
      </c>
      <c r="H667" s="56" t="s">
        <v>664</v>
      </c>
      <c r="I667" s="28"/>
      <c r="J667" s="29"/>
      <c r="K667" s="29"/>
      <c r="L667" s="30"/>
      <c r="M667" s="30"/>
      <c r="N667" s="36"/>
      <c r="O667" s="32"/>
      <c r="P667" s="33"/>
      <c r="Q667" s="34"/>
      <c r="R667" s="37"/>
      <c r="S667" s="14" t="str">
        <f t="shared" si="64"/>
        <v/>
      </c>
    </row>
    <row r="668" spans="2:19" x14ac:dyDescent="0.2">
      <c r="B668" s="2" t="str">
        <f t="shared" si="65"/>
        <v/>
      </c>
      <c r="C668" s="2" t="str">
        <f t="shared" si="66"/>
        <v/>
      </c>
      <c r="D668" s="2" t="str">
        <f t="shared" si="62"/>
        <v>Y</v>
      </c>
      <c r="E668" s="2">
        <f t="shared" si="63"/>
        <v>0</v>
      </c>
      <c r="F668" s="2" t="str">
        <f t="shared" si="67"/>
        <v/>
      </c>
      <c r="H668" s="56" t="s">
        <v>665</v>
      </c>
      <c r="I668" s="28"/>
      <c r="J668" s="29"/>
      <c r="K668" s="29"/>
      <c r="L668" s="30"/>
      <c r="M668" s="30"/>
      <c r="N668" s="36"/>
      <c r="O668" s="32"/>
      <c r="P668" s="33"/>
      <c r="Q668" s="34"/>
      <c r="R668" s="37"/>
      <c r="S668" s="14" t="str">
        <f t="shared" si="64"/>
        <v/>
      </c>
    </row>
    <row r="669" spans="2:19" x14ac:dyDescent="0.2">
      <c r="B669" s="2" t="str">
        <f t="shared" si="65"/>
        <v/>
      </c>
      <c r="C669" s="2" t="str">
        <f t="shared" si="66"/>
        <v/>
      </c>
      <c r="D669" s="2" t="str">
        <f t="shared" si="62"/>
        <v>Y</v>
      </c>
      <c r="E669" s="2">
        <f t="shared" si="63"/>
        <v>0</v>
      </c>
      <c r="F669" s="2" t="str">
        <f t="shared" si="67"/>
        <v/>
      </c>
      <c r="H669" s="56" t="s">
        <v>666</v>
      </c>
      <c r="I669" s="28"/>
      <c r="J669" s="29"/>
      <c r="K669" s="29"/>
      <c r="L669" s="30"/>
      <c r="M669" s="30"/>
      <c r="N669" s="36"/>
      <c r="O669" s="32"/>
      <c r="P669" s="33"/>
      <c r="Q669" s="34"/>
      <c r="R669" s="37"/>
      <c r="S669" s="14" t="str">
        <f t="shared" si="64"/>
        <v/>
      </c>
    </row>
    <row r="670" spans="2:19" x14ac:dyDescent="0.2">
      <c r="B670" s="2" t="str">
        <f t="shared" si="65"/>
        <v/>
      </c>
      <c r="C670" s="2" t="str">
        <f t="shared" si="66"/>
        <v/>
      </c>
      <c r="D670" s="2" t="str">
        <f t="shared" si="62"/>
        <v>Y</v>
      </c>
      <c r="E670" s="2">
        <f t="shared" si="63"/>
        <v>0</v>
      </c>
      <c r="F670" s="2" t="str">
        <f t="shared" si="67"/>
        <v/>
      </c>
      <c r="H670" s="56" t="s">
        <v>667</v>
      </c>
      <c r="I670" s="28"/>
      <c r="J670" s="29"/>
      <c r="K670" s="29"/>
      <c r="L670" s="30"/>
      <c r="M670" s="30"/>
      <c r="N670" s="36"/>
      <c r="O670" s="32"/>
      <c r="P670" s="33"/>
      <c r="Q670" s="34"/>
      <c r="R670" s="37"/>
      <c r="S670" s="14" t="str">
        <f t="shared" si="64"/>
        <v/>
      </c>
    </row>
    <row r="671" spans="2:19" x14ac:dyDescent="0.2">
      <c r="B671" s="2" t="str">
        <f t="shared" si="65"/>
        <v/>
      </c>
      <c r="C671" s="2" t="str">
        <f t="shared" si="66"/>
        <v/>
      </c>
      <c r="D671" s="2" t="str">
        <f t="shared" si="62"/>
        <v>Y</v>
      </c>
      <c r="E671" s="2">
        <f t="shared" si="63"/>
        <v>0</v>
      </c>
      <c r="F671" s="2" t="str">
        <f t="shared" si="67"/>
        <v/>
      </c>
      <c r="H671" s="56" t="s">
        <v>668</v>
      </c>
      <c r="I671" s="28"/>
      <c r="J671" s="29"/>
      <c r="K671" s="29"/>
      <c r="L671" s="30"/>
      <c r="M671" s="30"/>
      <c r="N671" s="36"/>
      <c r="O671" s="32"/>
      <c r="P671" s="33"/>
      <c r="Q671" s="34"/>
      <c r="R671" s="37"/>
      <c r="S671" s="14" t="str">
        <f t="shared" si="64"/>
        <v/>
      </c>
    </row>
    <row r="672" spans="2:19" x14ac:dyDescent="0.2">
      <c r="B672" s="2" t="str">
        <f t="shared" si="65"/>
        <v/>
      </c>
      <c r="C672" s="2" t="str">
        <f t="shared" si="66"/>
        <v/>
      </c>
      <c r="D672" s="2" t="str">
        <f t="shared" si="62"/>
        <v>Y</v>
      </c>
      <c r="E672" s="2">
        <f t="shared" si="63"/>
        <v>0</v>
      </c>
      <c r="F672" s="2" t="str">
        <f t="shared" si="67"/>
        <v/>
      </c>
      <c r="H672" s="56" t="s">
        <v>669</v>
      </c>
      <c r="I672" s="28"/>
      <c r="J672" s="29"/>
      <c r="K672" s="29"/>
      <c r="L672" s="30"/>
      <c r="M672" s="30"/>
      <c r="N672" s="36"/>
      <c r="O672" s="32"/>
      <c r="P672" s="33"/>
      <c r="Q672" s="34"/>
      <c r="R672" s="37"/>
      <c r="S672" s="14" t="str">
        <f t="shared" si="64"/>
        <v/>
      </c>
    </row>
    <row r="673" spans="2:19" x14ac:dyDescent="0.2">
      <c r="B673" s="2" t="str">
        <f t="shared" si="65"/>
        <v/>
      </c>
      <c r="C673" s="2" t="str">
        <f t="shared" si="66"/>
        <v/>
      </c>
      <c r="D673" s="2" t="str">
        <f t="shared" si="62"/>
        <v>Y</v>
      </c>
      <c r="E673" s="2">
        <f t="shared" si="63"/>
        <v>0</v>
      </c>
      <c r="F673" s="2" t="str">
        <f t="shared" si="67"/>
        <v/>
      </c>
      <c r="H673" s="56" t="s">
        <v>670</v>
      </c>
      <c r="I673" s="28"/>
      <c r="J673" s="29"/>
      <c r="K673" s="29"/>
      <c r="L673" s="30"/>
      <c r="M673" s="30"/>
      <c r="N673" s="36"/>
      <c r="O673" s="32"/>
      <c r="P673" s="33"/>
      <c r="Q673" s="34"/>
      <c r="R673" s="37"/>
      <c r="S673" s="14" t="str">
        <f t="shared" si="64"/>
        <v/>
      </c>
    </row>
    <row r="674" spans="2:19" x14ac:dyDescent="0.2">
      <c r="B674" s="2" t="str">
        <f t="shared" si="65"/>
        <v/>
      </c>
      <c r="C674" s="2" t="str">
        <f t="shared" si="66"/>
        <v/>
      </c>
      <c r="D674" s="2" t="str">
        <f t="shared" si="62"/>
        <v>Y</v>
      </c>
      <c r="E674" s="2">
        <f t="shared" si="63"/>
        <v>0</v>
      </c>
      <c r="F674" s="2" t="str">
        <f t="shared" si="67"/>
        <v/>
      </c>
      <c r="H674" s="56" t="s">
        <v>671</v>
      </c>
      <c r="I674" s="28"/>
      <c r="J674" s="29"/>
      <c r="K674" s="29"/>
      <c r="L674" s="30"/>
      <c r="M674" s="30"/>
      <c r="N674" s="36"/>
      <c r="O674" s="32"/>
      <c r="P674" s="33"/>
      <c r="Q674" s="34"/>
      <c r="R674" s="37"/>
      <c r="S674" s="14" t="str">
        <f t="shared" si="64"/>
        <v/>
      </c>
    </row>
    <row r="675" spans="2:19" x14ac:dyDescent="0.2">
      <c r="B675" s="2" t="str">
        <f t="shared" si="65"/>
        <v/>
      </c>
      <c r="C675" s="2" t="str">
        <f t="shared" si="66"/>
        <v/>
      </c>
      <c r="D675" s="2" t="str">
        <f t="shared" si="62"/>
        <v>Y</v>
      </c>
      <c r="E675" s="2">
        <f t="shared" si="63"/>
        <v>0</v>
      </c>
      <c r="F675" s="2" t="str">
        <f t="shared" si="67"/>
        <v/>
      </c>
      <c r="H675" s="56" t="s">
        <v>672</v>
      </c>
      <c r="I675" s="28"/>
      <c r="J675" s="29"/>
      <c r="K675" s="29"/>
      <c r="L675" s="30"/>
      <c r="M675" s="30"/>
      <c r="N675" s="36"/>
      <c r="O675" s="32"/>
      <c r="P675" s="33"/>
      <c r="Q675" s="34"/>
      <c r="R675" s="37"/>
      <c r="S675" s="14" t="str">
        <f t="shared" si="64"/>
        <v/>
      </c>
    </row>
    <row r="676" spans="2:19" x14ac:dyDescent="0.2">
      <c r="B676" s="2" t="str">
        <f t="shared" si="65"/>
        <v/>
      </c>
      <c r="C676" s="2" t="str">
        <f t="shared" si="66"/>
        <v/>
      </c>
      <c r="D676" s="2" t="str">
        <f t="shared" si="62"/>
        <v>Y</v>
      </c>
      <c r="E676" s="2">
        <f t="shared" si="63"/>
        <v>0</v>
      </c>
      <c r="F676" s="2" t="str">
        <f t="shared" si="67"/>
        <v/>
      </c>
      <c r="H676" s="56" t="s">
        <v>673</v>
      </c>
      <c r="I676" s="28"/>
      <c r="J676" s="29"/>
      <c r="K676" s="29"/>
      <c r="L676" s="30"/>
      <c r="M676" s="30"/>
      <c r="N676" s="36"/>
      <c r="O676" s="32"/>
      <c r="P676" s="33"/>
      <c r="Q676" s="34"/>
      <c r="R676" s="37"/>
      <c r="S676" s="14" t="str">
        <f t="shared" si="64"/>
        <v/>
      </c>
    </row>
    <row r="677" spans="2:19" x14ac:dyDescent="0.2">
      <c r="B677" s="2" t="str">
        <f t="shared" si="65"/>
        <v/>
      </c>
      <c r="C677" s="2" t="str">
        <f t="shared" si="66"/>
        <v/>
      </c>
      <c r="D677" s="2" t="str">
        <f t="shared" si="62"/>
        <v>Y</v>
      </c>
      <c r="E677" s="2">
        <f t="shared" si="63"/>
        <v>0</v>
      </c>
      <c r="F677" s="2" t="str">
        <f t="shared" si="67"/>
        <v/>
      </c>
      <c r="H677" s="56" t="s">
        <v>674</v>
      </c>
      <c r="I677" s="28"/>
      <c r="J677" s="29"/>
      <c r="K677" s="29"/>
      <c r="L677" s="30"/>
      <c r="M677" s="30"/>
      <c r="N677" s="36"/>
      <c r="O677" s="32"/>
      <c r="P677" s="33"/>
      <c r="Q677" s="34"/>
      <c r="R677" s="37"/>
      <c r="S677" s="14" t="str">
        <f t="shared" si="64"/>
        <v/>
      </c>
    </row>
    <row r="678" spans="2:19" x14ac:dyDescent="0.2">
      <c r="B678" s="2" t="str">
        <f t="shared" si="65"/>
        <v/>
      </c>
      <c r="C678" s="2" t="str">
        <f t="shared" si="66"/>
        <v/>
      </c>
      <c r="D678" s="2" t="str">
        <f t="shared" si="62"/>
        <v>Y</v>
      </c>
      <c r="E678" s="2">
        <f t="shared" si="63"/>
        <v>0</v>
      </c>
      <c r="F678" s="2" t="str">
        <f t="shared" si="67"/>
        <v/>
      </c>
      <c r="H678" s="56" t="s">
        <v>675</v>
      </c>
      <c r="I678" s="28"/>
      <c r="J678" s="29"/>
      <c r="K678" s="29"/>
      <c r="L678" s="30"/>
      <c r="M678" s="30"/>
      <c r="N678" s="36"/>
      <c r="O678" s="32"/>
      <c r="P678" s="33"/>
      <c r="Q678" s="34"/>
      <c r="R678" s="37"/>
      <c r="S678" s="14" t="str">
        <f t="shared" si="64"/>
        <v/>
      </c>
    </row>
    <row r="679" spans="2:19" x14ac:dyDescent="0.2">
      <c r="B679" s="2" t="str">
        <f t="shared" si="65"/>
        <v/>
      </c>
      <c r="C679" s="2" t="str">
        <f t="shared" si="66"/>
        <v/>
      </c>
      <c r="D679" s="2" t="str">
        <f t="shared" si="62"/>
        <v>Y</v>
      </c>
      <c r="E679" s="2">
        <f t="shared" si="63"/>
        <v>0</v>
      </c>
      <c r="F679" s="2" t="str">
        <f t="shared" si="67"/>
        <v/>
      </c>
      <c r="H679" s="56" t="s">
        <v>676</v>
      </c>
      <c r="I679" s="28"/>
      <c r="J679" s="29"/>
      <c r="K679" s="29"/>
      <c r="L679" s="30"/>
      <c r="M679" s="30"/>
      <c r="N679" s="36"/>
      <c r="O679" s="32"/>
      <c r="P679" s="33"/>
      <c r="Q679" s="34"/>
      <c r="R679" s="37"/>
      <c r="S679" s="14" t="str">
        <f t="shared" si="64"/>
        <v/>
      </c>
    </row>
    <row r="680" spans="2:19" x14ac:dyDescent="0.2">
      <c r="B680" s="2" t="str">
        <f t="shared" si="65"/>
        <v/>
      </c>
      <c r="C680" s="2" t="str">
        <f t="shared" si="66"/>
        <v/>
      </c>
      <c r="D680" s="2" t="str">
        <f t="shared" si="62"/>
        <v>Y</v>
      </c>
      <c r="E680" s="2">
        <f t="shared" si="63"/>
        <v>0</v>
      </c>
      <c r="F680" s="2" t="str">
        <f t="shared" si="67"/>
        <v/>
      </c>
      <c r="H680" s="56" t="s">
        <v>677</v>
      </c>
      <c r="I680" s="28"/>
      <c r="J680" s="29"/>
      <c r="K680" s="29"/>
      <c r="L680" s="30"/>
      <c r="M680" s="30"/>
      <c r="N680" s="36"/>
      <c r="O680" s="32"/>
      <c r="P680" s="33"/>
      <c r="Q680" s="34"/>
      <c r="R680" s="37"/>
      <c r="S680" s="14" t="str">
        <f t="shared" si="64"/>
        <v/>
      </c>
    </row>
    <row r="681" spans="2:19" x14ac:dyDescent="0.2">
      <c r="B681" s="2" t="str">
        <f t="shared" si="65"/>
        <v/>
      </c>
      <c r="C681" s="2" t="str">
        <f t="shared" si="66"/>
        <v/>
      </c>
      <c r="D681" s="2" t="str">
        <f t="shared" si="62"/>
        <v>Y</v>
      </c>
      <c r="E681" s="2">
        <f t="shared" si="63"/>
        <v>0</v>
      </c>
      <c r="F681" s="2" t="str">
        <f t="shared" si="67"/>
        <v/>
      </c>
      <c r="H681" s="56" t="s">
        <v>678</v>
      </c>
      <c r="I681" s="28"/>
      <c r="J681" s="29"/>
      <c r="K681" s="29"/>
      <c r="L681" s="30"/>
      <c r="M681" s="30"/>
      <c r="N681" s="36"/>
      <c r="O681" s="32"/>
      <c r="P681" s="33"/>
      <c r="Q681" s="34"/>
      <c r="R681" s="37"/>
      <c r="S681" s="14" t="str">
        <f t="shared" si="64"/>
        <v/>
      </c>
    </row>
    <row r="682" spans="2:19" x14ac:dyDescent="0.2">
      <c r="B682" s="2" t="str">
        <f t="shared" si="65"/>
        <v/>
      </c>
      <c r="C682" s="2" t="str">
        <f t="shared" si="66"/>
        <v/>
      </c>
      <c r="D682" s="2" t="str">
        <f t="shared" si="62"/>
        <v>Y</v>
      </c>
      <c r="E682" s="2">
        <f t="shared" si="63"/>
        <v>0</v>
      </c>
      <c r="F682" s="2" t="str">
        <f t="shared" si="67"/>
        <v/>
      </c>
      <c r="H682" s="56" t="s">
        <v>679</v>
      </c>
      <c r="I682" s="28"/>
      <c r="J682" s="29"/>
      <c r="K682" s="29"/>
      <c r="L682" s="30"/>
      <c r="M682" s="30"/>
      <c r="N682" s="36"/>
      <c r="O682" s="32"/>
      <c r="P682" s="33"/>
      <c r="Q682" s="34"/>
      <c r="R682" s="37"/>
      <c r="S682" s="14" t="str">
        <f t="shared" si="64"/>
        <v/>
      </c>
    </row>
    <row r="683" spans="2:19" x14ac:dyDescent="0.2">
      <c r="B683" s="2" t="str">
        <f t="shared" si="65"/>
        <v/>
      </c>
      <c r="C683" s="2" t="str">
        <f t="shared" si="66"/>
        <v/>
      </c>
      <c r="D683" s="2" t="str">
        <f t="shared" si="62"/>
        <v>Y</v>
      </c>
      <c r="E683" s="2">
        <f t="shared" si="63"/>
        <v>0</v>
      </c>
      <c r="F683" s="2" t="str">
        <f t="shared" si="67"/>
        <v/>
      </c>
      <c r="H683" s="56" t="s">
        <v>680</v>
      </c>
      <c r="I683" s="28"/>
      <c r="J683" s="29"/>
      <c r="K683" s="29"/>
      <c r="L683" s="30"/>
      <c r="M683" s="30"/>
      <c r="N683" s="36"/>
      <c r="O683" s="32"/>
      <c r="P683" s="33"/>
      <c r="Q683" s="34"/>
      <c r="R683" s="37"/>
      <c r="S683" s="14" t="str">
        <f t="shared" si="64"/>
        <v/>
      </c>
    </row>
    <row r="684" spans="2:19" x14ac:dyDescent="0.2">
      <c r="B684" s="2" t="str">
        <f t="shared" si="65"/>
        <v/>
      </c>
      <c r="C684" s="2" t="str">
        <f t="shared" si="66"/>
        <v/>
      </c>
      <c r="D684" s="2" t="str">
        <f t="shared" si="62"/>
        <v>Y</v>
      </c>
      <c r="E684" s="2">
        <f t="shared" si="63"/>
        <v>0</v>
      </c>
      <c r="F684" s="2" t="str">
        <f t="shared" si="67"/>
        <v/>
      </c>
      <c r="H684" s="56" t="s">
        <v>681</v>
      </c>
      <c r="I684" s="28"/>
      <c r="J684" s="29"/>
      <c r="K684" s="29"/>
      <c r="L684" s="30"/>
      <c r="M684" s="30"/>
      <c r="N684" s="36"/>
      <c r="O684" s="32"/>
      <c r="P684" s="33"/>
      <c r="Q684" s="34"/>
      <c r="R684" s="37"/>
      <c r="S684" s="14" t="str">
        <f t="shared" si="64"/>
        <v/>
      </c>
    </row>
    <row r="685" spans="2:19" x14ac:dyDescent="0.2">
      <c r="B685" s="2" t="str">
        <f t="shared" si="65"/>
        <v/>
      </c>
      <c r="C685" s="2" t="str">
        <f t="shared" si="66"/>
        <v/>
      </c>
      <c r="D685" s="2" t="str">
        <f t="shared" si="62"/>
        <v>Y</v>
      </c>
      <c r="E685" s="2">
        <f t="shared" si="63"/>
        <v>0</v>
      </c>
      <c r="F685" s="2" t="str">
        <f t="shared" si="67"/>
        <v/>
      </c>
      <c r="H685" s="56" t="s">
        <v>682</v>
      </c>
      <c r="I685" s="28"/>
      <c r="J685" s="29"/>
      <c r="K685" s="29"/>
      <c r="L685" s="30"/>
      <c r="M685" s="30"/>
      <c r="N685" s="36"/>
      <c r="O685" s="32"/>
      <c r="P685" s="33"/>
      <c r="Q685" s="34"/>
      <c r="R685" s="37"/>
      <c r="S685" s="14" t="str">
        <f t="shared" si="64"/>
        <v/>
      </c>
    </row>
    <row r="686" spans="2:19" x14ac:dyDescent="0.2">
      <c r="B686" s="2" t="str">
        <f t="shared" si="65"/>
        <v/>
      </c>
      <c r="C686" s="2" t="str">
        <f t="shared" si="66"/>
        <v/>
      </c>
      <c r="D686" s="2" t="str">
        <f t="shared" si="62"/>
        <v>Y</v>
      </c>
      <c r="E686" s="2">
        <f t="shared" si="63"/>
        <v>0</v>
      </c>
      <c r="F686" s="2" t="str">
        <f t="shared" si="67"/>
        <v/>
      </c>
      <c r="H686" s="56" t="s">
        <v>683</v>
      </c>
      <c r="I686" s="28"/>
      <c r="J686" s="29"/>
      <c r="K686" s="29"/>
      <c r="L686" s="30"/>
      <c r="M686" s="30"/>
      <c r="N686" s="36"/>
      <c r="O686" s="32"/>
      <c r="P686" s="33"/>
      <c r="Q686" s="34"/>
      <c r="R686" s="37"/>
      <c r="S686" s="14" t="str">
        <f t="shared" si="64"/>
        <v/>
      </c>
    </row>
    <row r="687" spans="2:19" x14ac:dyDescent="0.2">
      <c r="B687" s="2" t="str">
        <f t="shared" si="65"/>
        <v/>
      </c>
      <c r="C687" s="2" t="str">
        <f t="shared" si="66"/>
        <v/>
      </c>
      <c r="D687" s="2" t="str">
        <f t="shared" si="62"/>
        <v>Y</v>
      </c>
      <c r="E687" s="2">
        <f t="shared" si="63"/>
        <v>0</v>
      </c>
      <c r="F687" s="2" t="str">
        <f t="shared" si="67"/>
        <v/>
      </c>
      <c r="H687" s="56" t="s">
        <v>684</v>
      </c>
      <c r="I687" s="28"/>
      <c r="J687" s="29"/>
      <c r="K687" s="29"/>
      <c r="L687" s="30"/>
      <c r="M687" s="30"/>
      <c r="N687" s="36"/>
      <c r="O687" s="32"/>
      <c r="P687" s="33"/>
      <c r="Q687" s="34"/>
      <c r="R687" s="37"/>
      <c r="S687" s="14" t="str">
        <f t="shared" si="64"/>
        <v/>
      </c>
    </row>
    <row r="688" spans="2:19" x14ac:dyDescent="0.2">
      <c r="B688" s="2" t="str">
        <f t="shared" si="65"/>
        <v/>
      </c>
      <c r="C688" s="2" t="str">
        <f t="shared" si="66"/>
        <v/>
      </c>
      <c r="D688" s="2" t="str">
        <f t="shared" si="62"/>
        <v>Y</v>
      </c>
      <c r="E688" s="2">
        <f t="shared" si="63"/>
        <v>0</v>
      </c>
      <c r="F688" s="2" t="str">
        <f t="shared" si="67"/>
        <v/>
      </c>
      <c r="H688" s="56" t="s">
        <v>685</v>
      </c>
      <c r="I688" s="28"/>
      <c r="J688" s="29"/>
      <c r="K688" s="29"/>
      <c r="L688" s="30"/>
      <c r="M688" s="30"/>
      <c r="N688" s="36"/>
      <c r="O688" s="32"/>
      <c r="P688" s="33"/>
      <c r="Q688" s="34"/>
      <c r="R688" s="37"/>
      <c r="S688" s="14" t="str">
        <f t="shared" si="64"/>
        <v/>
      </c>
    </row>
    <row r="689" spans="2:19" x14ac:dyDescent="0.2">
      <c r="B689" s="2" t="str">
        <f t="shared" si="65"/>
        <v/>
      </c>
      <c r="C689" s="2" t="str">
        <f t="shared" si="66"/>
        <v/>
      </c>
      <c r="D689" s="2" t="str">
        <f t="shared" si="62"/>
        <v>Y</v>
      </c>
      <c r="E689" s="2">
        <f t="shared" si="63"/>
        <v>0</v>
      </c>
      <c r="F689" s="2" t="str">
        <f t="shared" si="67"/>
        <v/>
      </c>
      <c r="H689" s="56" t="s">
        <v>686</v>
      </c>
      <c r="I689" s="28"/>
      <c r="J689" s="29"/>
      <c r="K689" s="29"/>
      <c r="L689" s="30"/>
      <c r="M689" s="30"/>
      <c r="N689" s="36"/>
      <c r="O689" s="32"/>
      <c r="P689" s="33"/>
      <c r="Q689" s="34"/>
      <c r="R689" s="37"/>
      <c r="S689" s="14" t="str">
        <f t="shared" si="64"/>
        <v/>
      </c>
    </row>
    <row r="690" spans="2:19" x14ac:dyDescent="0.2">
      <c r="B690" s="2" t="str">
        <f t="shared" si="65"/>
        <v/>
      </c>
      <c r="C690" s="2" t="str">
        <f t="shared" si="66"/>
        <v/>
      </c>
      <c r="D690" s="2" t="str">
        <f t="shared" si="62"/>
        <v>Y</v>
      </c>
      <c r="E690" s="2">
        <f t="shared" si="63"/>
        <v>0</v>
      </c>
      <c r="F690" s="2" t="str">
        <f t="shared" si="67"/>
        <v/>
      </c>
      <c r="H690" s="56" t="s">
        <v>687</v>
      </c>
      <c r="I690" s="28"/>
      <c r="J690" s="29"/>
      <c r="K690" s="29"/>
      <c r="L690" s="30"/>
      <c r="M690" s="30"/>
      <c r="N690" s="36"/>
      <c r="O690" s="32"/>
      <c r="P690" s="33"/>
      <c r="Q690" s="34"/>
      <c r="R690" s="37"/>
      <c r="S690" s="14" t="str">
        <f t="shared" si="64"/>
        <v/>
      </c>
    </row>
    <row r="691" spans="2:19" x14ac:dyDescent="0.2">
      <c r="B691" s="2" t="str">
        <f t="shared" si="65"/>
        <v/>
      </c>
      <c r="C691" s="2" t="str">
        <f t="shared" si="66"/>
        <v/>
      </c>
      <c r="D691" s="2" t="str">
        <f t="shared" si="62"/>
        <v>Y</v>
      </c>
      <c r="E691" s="2">
        <f t="shared" si="63"/>
        <v>0</v>
      </c>
      <c r="F691" s="2" t="str">
        <f t="shared" si="67"/>
        <v/>
      </c>
      <c r="H691" s="56" t="s">
        <v>688</v>
      </c>
      <c r="I691" s="28"/>
      <c r="J691" s="29"/>
      <c r="K691" s="29"/>
      <c r="L691" s="30"/>
      <c r="M691" s="30"/>
      <c r="N691" s="36"/>
      <c r="O691" s="32"/>
      <c r="P691" s="33"/>
      <c r="Q691" s="34"/>
      <c r="R691" s="37"/>
      <c r="S691" s="14" t="str">
        <f t="shared" si="64"/>
        <v/>
      </c>
    </row>
    <row r="692" spans="2:19" x14ac:dyDescent="0.2">
      <c r="B692" s="2" t="str">
        <f t="shared" si="65"/>
        <v/>
      </c>
      <c r="C692" s="2" t="str">
        <f t="shared" si="66"/>
        <v/>
      </c>
      <c r="D692" s="2" t="str">
        <f t="shared" si="62"/>
        <v>Y</v>
      </c>
      <c r="E692" s="2">
        <f t="shared" si="63"/>
        <v>0</v>
      </c>
      <c r="F692" s="2" t="str">
        <f t="shared" si="67"/>
        <v/>
      </c>
      <c r="H692" s="56" t="s">
        <v>689</v>
      </c>
      <c r="I692" s="28"/>
      <c r="J692" s="29"/>
      <c r="K692" s="29"/>
      <c r="L692" s="30"/>
      <c r="M692" s="30"/>
      <c r="N692" s="36"/>
      <c r="O692" s="32"/>
      <c r="P692" s="33"/>
      <c r="Q692" s="34"/>
      <c r="R692" s="37"/>
      <c r="S692" s="14" t="str">
        <f t="shared" si="64"/>
        <v/>
      </c>
    </row>
    <row r="693" spans="2:19" x14ac:dyDescent="0.2">
      <c r="B693" s="2" t="str">
        <f t="shared" si="65"/>
        <v/>
      </c>
      <c r="C693" s="2" t="str">
        <f t="shared" si="66"/>
        <v/>
      </c>
      <c r="D693" s="2" t="str">
        <f t="shared" si="62"/>
        <v>Y</v>
      </c>
      <c r="E693" s="2">
        <f t="shared" si="63"/>
        <v>0</v>
      </c>
      <c r="F693" s="2" t="str">
        <f t="shared" si="67"/>
        <v/>
      </c>
      <c r="H693" s="56" t="s">
        <v>690</v>
      </c>
      <c r="I693" s="28"/>
      <c r="J693" s="29"/>
      <c r="K693" s="29"/>
      <c r="L693" s="30"/>
      <c r="M693" s="30"/>
      <c r="N693" s="36"/>
      <c r="O693" s="32"/>
      <c r="P693" s="33"/>
      <c r="Q693" s="34"/>
      <c r="R693" s="37"/>
      <c r="S693" s="14" t="str">
        <f t="shared" si="64"/>
        <v/>
      </c>
    </row>
    <row r="694" spans="2:19" x14ac:dyDescent="0.2">
      <c r="B694" s="2" t="str">
        <f t="shared" si="65"/>
        <v/>
      </c>
      <c r="C694" s="2" t="str">
        <f t="shared" si="66"/>
        <v/>
      </c>
      <c r="D694" s="2" t="str">
        <f t="shared" si="62"/>
        <v>Y</v>
      </c>
      <c r="E694" s="2">
        <f t="shared" si="63"/>
        <v>0</v>
      </c>
      <c r="F694" s="2" t="str">
        <f t="shared" si="67"/>
        <v/>
      </c>
      <c r="H694" s="56" t="s">
        <v>691</v>
      </c>
      <c r="I694" s="28"/>
      <c r="J694" s="29"/>
      <c r="K694" s="29"/>
      <c r="L694" s="30"/>
      <c r="M694" s="30"/>
      <c r="N694" s="36"/>
      <c r="O694" s="32"/>
      <c r="P694" s="33"/>
      <c r="Q694" s="34"/>
      <c r="R694" s="37"/>
      <c r="S694" s="14" t="str">
        <f t="shared" si="64"/>
        <v/>
      </c>
    </row>
    <row r="695" spans="2:19" x14ac:dyDescent="0.2">
      <c r="B695" s="2" t="str">
        <f t="shared" si="65"/>
        <v/>
      </c>
      <c r="C695" s="2" t="str">
        <f t="shared" si="66"/>
        <v/>
      </c>
      <c r="D695" s="2" t="str">
        <f t="shared" si="62"/>
        <v>Y</v>
      </c>
      <c r="E695" s="2">
        <f t="shared" si="63"/>
        <v>0</v>
      </c>
      <c r="F695" s="2" t="str">
        <f t="shared" si="67"/>
        <v/>
      </c>
      <c r="H695" s="56" t="s">
        <v>692</v>
      </c>
      <c r="I695" s="28"/>
      <c r="J695" s="29"/>
      <c r="K695" s="29"/>
      <c r="L695" s="30"/>
      <c r="M695" s="30"/>
      <c r="N695" s="36"/>
      <c r="O695" s="32"/>
      <c r="P695" s="33"/>
      <c r="Q695" s="34"/>
      <c r="R695" s="37"/>
      <c r="S695" s="14" t="str">
        <f t="shared" si="64"/>
        <v/>
      </c>
    </row>
    <row r="696" spans="2:19" x14ac:dyDescent="0.2">
      <c r="B696" s="2" t="str">
        <f t="shared" si="65"/>
        <v/>
      </c>
      <c r="C696" s="2" t="str">
        <f t="shared" si="66"/>
        <v/>
      </c>
      <c r="D696" s="2" t="str">
        <f t="shared" si="62"/>
        <v>Y</v>
      </c>
      <c r="E696" s="2">
        <f t="shared" si="63"/>
        <v>0</v>
      </c>
      <c r="F696" s="2" t="str">
        <f t="shared" si="67"/>
        <v/>
      </c>
      <c r="H696" s="56" t="s">
        <v>693</v>
      </c>
      <c r="I696" s="28"/>
      <c r="J696" s="29"/>
      <c r="K696" s="29"/>
      <c r="L696" s="30"/>
      <c r="M696" s="30"/>
      <c r="N696" s="36"/>
      <c r="O696" s="32"/>
      <c r="P696" s="33"/>
      <c r="Q696" s="34"/>
      <c r="R696" s="37"/>
      <c r="S696" s="14" t="str">
        <f t="shared" si="64"/>
        <v/>
      </c>
    </row>
    <row r="697" spans="2:19" x14ac:dyDescent="0.2">
      <c r="B697" s="2" t="str">
        <f t="shared" si="65"/>
        <v/>
      </c>
      <c r="C697" s="2" t="str">
        <f t="shared" si="66"/>
        <v/>
      </c>
      <c r="D697" s="2" t="str">
        <f t="shared" si="62"/>
        <v>Y</v>
      </c>
      <c r="E697" s="2">
        <f t="shared" si="63"/>
        <v>0</v>
      </c>
      <c r="F697" s="2" t="str">
        <f t="shared" si="67"/>
        <v/>
      </c>
      <c r="H697" s="56" t="s">
        <v>694</v>
      </c>
      <c r="I697" s="28"/>
      <c r="J697" s="29"/>
      <c r="K697" s="29"/>
      <c r="L697" s="30"/>
      <c r="M697" s="30"/>
      <c r="N697" s="36"/>
      <c r="O697" s="32"/>
      <c r="P697" s="33"/>
      <c r="Q697" s="34"/>
      <c r="R697" s="37"/>
      <c r="S697" s="14" t="str">
        <f t="shared" si="64"/>
        <v/>
      </c>
    </row>
    <row r="698" spans="2:19" x14ac:dyDescent="0.2">
      <c r="B698" s="2" t="str">
        <f t="shared" si="65"/>
        <v/>
      </c>
      <c r="C698" s="2" t="str">
        <f t="shared" si="66"/>
        <v/>
      </c>
      <c r="D698" s="2" t="str">
        <f t="shared" si="62"/>
        <v>Y</v>
      </c>
      <c r="E698" s="2">
        <f t="shared" si="63"/>
        <v>0</v>
      </c>
      <c r="F698" s="2" t="str">
        <f t="shared" si="67"/>
        <v/>
      </c>
      <c r="H698" s="56" t="s">
        <v>695</v>
      </c>
      <c r="I698" s="28"/>
      <c r="J698" s="29"/>
      <c r="K698" s="29"/>
      <c r="L698" s="30"/>
      <c r="M698" s="30"/>
      <c r="N698" s="36"/>
      <c r="O698" s="32"/>
      <c r="P698" s="33"/>
      <c r="Q698" s="34"/>
      <c r="R698" s="37"/>
      <c r="S698" s="14" t="str">
        <f t="shared" si="64"/>
        <v/>
      </c>
    </row>
    <row r="699" spans="2:19" x14ac:dyDescent="0.2">
      <c r="B699" s="2" t="str">
        <f t="shared" si="65"/>
        <v/>
      </c>
      <c r="C699" s="2" t="str">
        <f t="shared" si="66"/>
        <v/>
      </c>
      <c r="D699" s="2" t="str">
        <f t="shared" si="62"/>
        <v>Y</v>
      </c>
      <c r="E699" s="2">
        <f t="shared" si="63"/>
        <v>0</v>
      </c>
      <c r="F699" s="2" t="str">
        <f t="shared" si="67"/>
        <v/>
      </c>
      <c r="H699" s="56" t="s">
        <v>696</v>
      </c>
      <c r="I699" s="28"/>
      <c r="J699" s="29"/>
      <c r="K699" s="29"/>
      <c r="L699" s="30"/>
      <c r="M699" s="30"/>
      <c r="N699" s="36"/>
      <c r="O699" s="32"/>
      <c r="P699" s="33"/>
      <c r="Q699" s="34"/>
      <c r="R699" s="37"/>
      <c r="S699" s="14" t="str">
        <f t="shared" si="64"/>
        <v/>
      </c>
    </row>
    <row r="700" spans="2:19" x14ac:dyDescent="0.2">
      <c r="B700" s="2" t="str">
        <f t="shared" si="65"/>
        <v/>
      </c>
      <c r="C700" s="2" t="str">
        <f t="shared" si="66"/>
        <v/>
      </c>
      <c r="D700" s="2" t="str">
        <f t="shared" si="62"/>
        <v>Y</v>
      </c>
      <c r="E700" s="2">
        <f t="shared" si="63"/>
        <v>0</v>
      </c>
      <c r="F700" s="2" t="str">
        <f t="shared" si="67"/>
        <v/>
      </c>
      <c r="H700" s="56" t="s">
        <v>697</v>
      </c>
      <c r="I700" s="28"/>
      <c r="J700" s="29"/>
      <c r="K700" s="29"/>
      <c r="L700" s="30"/>
      <c r="M700" s="30"/>
      <c r="N700" s="36"/>
      <c r="O700" s="32"/>
      <c r="P700" s="33"/>
      <c r="Q700" s="34"/>
      <c r="R700" s="37"/>
      <c r="S700" s="14" t="str">
        <f t="shared" si="64"/>
        <v/>
      </c>
    </row>
    <row r="701" spans="2:19" x14ac:dyDescent="0.2">
      <c r="B701" s="2" t="str">
        <f t="shared" si="65"/>
        <v/>
      </c>
      <c r="C701" s="2" t="str">
        <f t="shared" si="66"/>
        <v/>
      </c>
      <c r="D701" s="2" t="str">
        <f t="shared" si="62"/>
        <v>Y</v>
      </c>
      <c r="E701" s="2">
        <f t="shared" si="63"/>
        <v>0</v>
      </c>
      <c r="F701" s="2" t="str">
        <f t="shared" si="67"/>
        <v/>
      </c>
      <c r="H701" s="56" t="s">
        <v>698</v>
      </c>
      <c r="I701" s="28"/>
      <c r="J701" s="29"/>
      <c r="K701" s="29"/>
      <c r="L701" s="30"/>
      <c r="M701" s="30"/>
      <c r="N701" s="36"/>
      <c r="O701" s="32"/>
      <c r="P701" s="33"/>
      <c r="Q701" s="34"/>
      <c r="R701" s="37"/>
      <c r="S701" s="14" t="str">
        <f t="shared" si="64"/>
        <v/>
      </c>
    </row>
    <row r="702" spans="2:19" x14ac:dyDescent="0.2">
      <c r="B702" s="2" t="str">
        <f t="shared" si="65"/>
        <v/>
      </c>
      <c r="C702" s="2" t="str">
        <f t="shared" si="66"/>
        <v/>
      </c>
      <c r="D702" s="2" t="str">
        <f t="shared" si="62"/>
        <v>Y</v>
      </c>
      <c r="E702" s="2">
        <f t="shared" si="63"/>
        <v>0</v>
      </c>
      <c r="F702" s="2" t="str">
        <f t="shared" si="67"/>
        <v/>
      </c>
      <c r="H702" s="56" t="s">
        <v>699</v>
      </c>
      <c r="I702" s="28"/>
      <c r="J702" s="29"/>
      <c r="K702" s="29"/>
      <c r="L702" s="30"/>
      <c r="M702" s="30"/>
      <c r="N702" s="36"/>
      <c r="O702" s="32"/>
      <c r="P702" s="33"/>
      <c r="Q702" s="34"/>
      <c r="R702" s="37"/>
      <c r="S702" s="14" t="str">
        <f t="shared" si="64"/>
        <v/>
      </c>
    </row>
    <row r="703" spans="2:19" x14ac:dyDescent="0.2">
      <c r="B703" s="2" t="str">
        <f t="shared" si="65"/>
        <v/>
      </c>
      <c r="C703" s="2" t="str">
        <f t="shared" si="66"/>
        <v/>
      </c>
      <c r="D703" s="2" t="str">
        <f t="shared" si="62"/>
        <v>Y</v>
      </c>
      <c r="E703" s="2">
        <f t="shared" si="63"/>
        <v>0</v>
      </c>
      <c r="F703" s="2" t="str">
        <f t="shared" si="67"/>
        <v/>
      </c>
      <c r="H703" s="56" t="s">
        <v>700</v>
      </c>
      <c r="I703" s="28"/>
      <c r="J703" s="29"/>
      <c r="K703" s="29"/>
      <c r="L703" s="30"/>
      <c r="M703" s="30"/>
      <c r="N703" s="36"/>
      <c r="O703" s="32"/>
      <c r="P703" s="33"/>
      <c r="Q703" s="34"/>
      <c r="R703" s="37"/>
      <c r="S703" s="14" t="str">
        <f t="shared" si="64"/>
        <v/>
      </c>
    </row>
    <row r="704" spans="2:19" x14ac:dyDescent="0.2">
      <c r="B704" s="2" t="str">
        <f t="shared" si="65"/>
        <v/>
      </c>
      <c r="C704" s="2" t="str">
        <f t="shared" si="66"/>
        <v/>
      </c>
      <c r="D704" s="2" t="str">
        <f t="shared" si="62"/>
        <v>Y</v>
      </c>
      <c r="E704" s="2">
        <f t="shared" si="63"/>
        <v>0</v>
      </c>
      <c r="F704" s="2" t="str">
        <f t="shared" si="67"/>
        <v/>
      </c>
      <c r="H704" s="56" t="s">
        <v>701</v>
      </c>
      <c r="I704" s="28"/>
      <c r="J704" s="29"/>
      <c r="K704" s="29"/>
      <c r="L704" s="30"/>
      <c r="M704" s="30"/>
      <c r="N704" s="36"/>
      <c r="O704" s="32"/>
      <c r="P704" s="33"/>
      <c r="Q704" s="34"/>
      <c r="R704" s="37"/>
      <c r="S704" s="14" t="str">
        <f t="shared" si="64"/>
        <v/>
      </c>
    </row>
    <row r="705" spans="2:19" x14ac:dyDescent="0.2">
      <c r="B705" s="2" t="str">
        <f t="shared" si="65"/>
        <v/>
      </c>
      <c r="C705" s="2" t="str">
        <f t="shared" si="66"/>
        <v/>
      </c>
      <c r="D705" s="2" t="str">
        <f t="shared" si="62"/>
        <v>Y</v>
      </c>
      <c r="E705" s="2">
        <f t="shared" si="63"/>
        <v>0</v>
      </c>
      <c r="F705" s="2" t="str">
        <f t="shared" si="67"/>
        <v/>
      </c>
      <c r="H705" s="56" t="s">
        <v>702</v>
      </c>
      <c r="I705" s="28"/>
      <c r="J705" s="29"/>
      <c r="K705" s="29"/>
      <c r="L705" s="30"/>
      <c r="M705" s="30"/>
      <c r="N705" s="36"/>
      <c r="O705" s="32"/>
      <c r="P705" s="33"/>
      <c r="Q705" s="34"/>
      <c r="R705" s="37"/>
      <c r="S705" s="14" t="str">
        <f t="shared" si="64"/>
        <v/>
      </c>
    </row>
    <row r="706" spans="2:19" x14ac:dyDescent="0.2">
      <c r="B706" s="2" t="str">
        <f t="shared" si="65"/>
        <v/>
      </c>
      <c r="C706" s="2" t="str">
        <f t="shared" si="66"/>
        <v/>
      </c>
      <c r="D706" s="2" t="str">
        <f t="shared" si="62"/>
        <v>Y</v>
      </c>
      <c r="E706" s="2">
        <f t="shared" si="63"/>
        <v>0</v>
      </c>
      <c r="F706" s="2" t="str">
        <f t="shared" si="67"/>
        <v/>
      </c>
      <c r="H706" s="56" t="s">
        <v>703</v>
      </c>
      <c r="I706" s="28"/>
      <c r="J706" s="29"/>
      <c r="K706" s="29"/>
      <c r="L706" s="30"/>
      <c r="M706" s="30"/>
      <c r="N706" s="36"/>
      <c r="O706" s="32"/>
      <c r="P706" s="33"/>
      <c r="Q706" s="34"/>
      <c r="R706" s="37"/>
      <c r="S706" s="14" t="str">
        <f t="shared" si="64"/>
        <v/>
      </c>
    </row>
    <row r="707" spans="2:19" x14ac:dyDescent="0.2">
      <c r="B707" s="2" t="str">
        <f t="shared" si="65"/>
        <v/>
      </c>
      <c r="C707" s="2" t="str">
        <f t="shared" si="66"/>
        <v/>
      </c>
      <c r="D707" s="2" t="str">
        <f t="shared" si="62"/>
        <v>Y</v>
      </c>
      <c r="E707" s="2">
        <f t="shared" si="63"/>
        <v>0</v>
      </c>
      <c r="F707" s="2" t="str">
        <f t="shared" si="67"/>
        <v/>
      </c>
      <c r="H707" s="56" t="s">
        <v>704</v>
      </c>
      <c r="I707" s="28"/>
      <c r="J707" s="29"/>
      <c r="K707" s="29"/>
      <c r="L707" s="30"/>
      <c r="M707" s="30"/>
      <c r="N707" s="36"/>
      <c r="O707" s="32"/>
      <c r="P707" s="33"/>
      <c r="Q707" s="34"/>
      <c r="R707" s="37"/>
      <c r="S707" s="14" t="str">
        <f t="shared" si="64"/>
        <v/>
      </c>
    </row>
    <row r="708" spans="2:19" x14ac:dyDescent="0.2">
      <c r="B708" s="2" t="str">
        <f t="shared" si="65"/>
        <v/>
      </c>
      <c r="C708" s="2" t="str">
        <f t="shared" si="66"/>
        <v/>
      </c>
      <c r="D708" s="2" t="str">
        <f t="shared" si="62"/>
        <v>Y</v>
      </c>
      <c r="E708" s="2">
        <f t="shared" si="63"/>
        <v>0</v>
      </c>
      <c r="F708" s="2" t="str">
        <f t="shared" si="67"/>
        <v/>
      </c>
      <c r="H708" s="56" t="s">
        <v>705</v>
      </c>
      <c r="I708" s="28"/>
      <c r="J708" s="29"/>
      <c r="K708" s="29"/>
      <c r="L708" s="30"/>
      <c r="M708" s="30"/>
      <c r="N708" s="36"/>
      <c r="O708" s="32"/>
      <c r="P708" s="33"/>
      <c r="Q708" s="34"/>
      <c r="R708" s="37"/>
      <c r="S708" s="14" t="str">
        <f t="shared" si="64"/>
        <v/>
      </c>
    </row>
    <row r="709" spans="2:19" x14ac:dyDescent="0.2">
      <c r="B709" s="2" t="str">
        <f t="shared" si="65"/>
        <v/>
      </c>
      <c r="C709" s="2" t="str">
        <f t="shared" si="66"/>
        <v/>
      </c>
      <c r="D709" s="2" t="str">
        <f t="shared" si="62"/>
        <v>Y</v>
      </c>
      <c r="E709" s="2">
        <f t="shared" si="63"/>
        <v>0</v>
      </c>
      <c r="F709" s="2" t="str">
        <f t="shared" si="67"/>
        <v/>
      </c>
      <c r="H709" s="56" t="s">
        <v>706</v>
      </c>
      <c r="I709" s="28"/>
      <c r="J709" s="29"/>
      <c r="K709" s="29"/>
      <c r="L709" s="30"/>
      <c r="M709" s="30"/>
      <c r="N709" s="36"/>
      <c r="O709" s="32"/>
      <c r="P709" s="33"/>
      <c r="Q709" s="34"/>
      <c r="R709" s="37"/>
      <c r="S709" s="14" t="str">
        <f t="shared" si="64"/>
        <v/>
      </c>
    </row>
    <row r="710" spans="2:19" x14ac:dyDescent="0.2">
      <c r="B710" s="2" t="str">
        <f t="shared" si="65"/>
        <v/>
      </c>
      <c r="C710" s="2" t="str">
        <f t="shared" si="66"/>
        <v/>
      </c>
      <c r="D710" s="2" t="str">
        <f t="shared" si="62"/>
        <v>Y</v>
      </c>
      <c r="E710" s="2">
        <f t="shared" si="63"/>
        <v>0</v>
      </c>
      <c r="F710" s="2" t="str">
        <f t="shared" si="67"/>
        <v/>
      </c>
      <c r="H710" s="56" t="s">
        <v>707</v>
      </c>
      <c r="I710" s="28"/>
      <c r="J710" s="29"/>
      <c r="K710" s="29"/>
      <c r="L710" s="30"/>
      <c r="M710" s="30"/>
      <c r="N710" s="36"/>
      <c r="O710" s="32"/>
      <c r="P710" s="33"/>
      <c r="Q710" s="34"/>
      <c r="R710" s="37"/>
      <c r="S710" s="14" t="str">
        <f t="shared" si="64"/>
        <v/>
      </c>
    </row>
    <row r="711" spans="2:19" x14ac:dyDescent="0.2">
      <c r="B711" s="2" t="str">
        <f t="shared" si="65"/>
        <v/>
      </c>
      <c r="C711" s="2" t="str">
        <f t="shared" si="66"/>
        <v/>
      </c>
      <c r="D711" s="2" t="str">
        <f t="shared" si="62"/>
        <v>Y</v>
      </c>
      <c r="E711" s="2">
        <f t="shared" si="63"/>
        <v>0</v>
      </c>
      <c r="F711" s="2" t="str">
        <f t="shared" si="67"/>
        <v/>
      </c>
      <c r="H711" s="56" t="s">
        <v>708</v>
      </c>
      <c r="I711" s="28"/>
      <c r="J711" s="29"/>
      <c r="K711" s="29"/>
      <c r="L711" s="30"/>
      <c r="M711" s="30"/>
      <c r="N711" s="36"/>
      <c r="O711" s="32"/>
      <c r="P711" s="33"/>
      <c r="Q711" s="34"/>
      <c r="R711" s="37"/>
      <c r="S711" s="14" t="str">
        <f t="shared" si="64"/>
        <v/>
      </c>
    </row>
    <row r="712" spans="2:19" x14ac:dyDescent="0.2">
      <c r="B712" s="2" t="str">
        <f t="shared" si="65"/>
        <v/>
      </c>
      <c r="C712" s="2" t="str">
        <f t="shared" si="66"/>
        <v/>
      </c>
      <c r="D712" s="2" t="str">
        <f t="shared" si="62"/>
        <v>Y</v>
      </c>
      <c r="E712" s="2">
        <f t="shared" si="63"/>
        <v>0</v>
      </c>
      <c r="F712" s="2" t="str">
        <f t="shared" si="67"/>
        <v/>
      </c>
      <c r="H712" s="56" t="s">
        <v>709</v>
      </c>
      <c r="I712" s="28"/>
      <c r="J712" s="29"/>
      <c r="K712" s="29"/>
      <c r="L712" s="30"/>
      <c r="M712" s="30"/>
      <c r="N712" s="36"/>
      <c r="O712" s="32"/>
      <c r="P712" s="33"/>
      <c r="Q712" s="34"/>
      <c r="R712" s="37"/>
      <c r="S712" s="14" t="str">
        <f t="shared" si="64"/>
        <v/>
      </c>
    </row>
    <row r="713" spans="2:19" x14ac:dyDescent="0.2">
      <c r="B713" s="2" t="str">
        <f t="shared" si="65"/>
        <v/>
      </c>
      <c r="C713" s="2" t="str">
        <f t="shared" si="66"/>
        <v/>
      </c>
      <c r="D713" s="2" t="str">
        <f t="shared" si="62"/>
        <v>Y</v>
      </c>
      <c r="E713" s="2">
        <f t="shared" si="63"/>
        <v>0</v>
      </c>
      <c r="F713" s="2" t="str">
        <f t="shared" si="67"/>
        <v/>
      </c>
      <c r="H713" s="56" t="s">
        <v>710</v>
      </c>
      <c r="I713" s="28"/>
      <c r="J713" s="29"/>
      <c r="K713" s="29"/>
      <c r="L713" s="30"/>
      <c r="M713" s="30"/>
      <c r="N713" s="36"/>
      <c r="O713" s="32"/>
      <c r="P713" s="33"/>
      <c r="Q713" s="34"/>
      <c r="R713" s="37"/>
      <c r="S713" s="14" t="str">
        <f t="shared" si="64"/>
        <v/>
      </c>
    </row>
    <row r="714" spans="2:19" x14ac:dyDescent="0.2">
      <c r="B714" s="2" t="str">
        <f t="shared" si="65"/>
        <v/>
      </c>
      <c r="C714" s="2" t="str">
        <f t="shared" si="66"/>
        <v/>
      </c>
      <c r="D714" s="2" t="str">
        <f t="shared" si="62"/>
        <v>Y</v>
      </c>
      <c r="E714" s="2">
        <f t="shared" si="63"/>
        <v>0</v>
      </c>
      <c r="F714" s="2" t="str">
        <f t="shared" si="67"/>
        <v/>
      </c>
      <c r="H714" s="56" t="s">
        <v>711</v>
      </c>
      <c r="I714" s="28"/>
      <c r="J714" s="29"/>
      <c r="K714" s="29"/>
      <c r="L714" s="30"/>
      <c r="M714" s="30"/>
      <c r="N714" s="36"/>
      <c r="O714" s="32"/>
      <c r="P714" s="33"/>
      <c r="Q714" s="34"/>
      <c r="R714" s="37"/>
      <c r="S714" s="14" t="str">
        <f t="shared" si="64"/>
        <v/>
      </c>
    </row>
    <row r="715" spans="2:19" x14ac:dyDescent="0.2">
      <c r="B715" s="2" t="str">
        <f t="shared" si="65"/>
        <v/>
      </c>
      <c r="C715" s="2" t="str">
        <f t="shared" si="66"/>
        <v/>
      </c>
      <c r="D715" s="2" t="str">
        <f t="shared" ref="D715:D778" si="68">IF(OR(P715=Not_started,P715=In_progress),"N",IF(OR(P715=N_A,P715=Suspended,P715=Canceled),"","Y"))</f>
        <v>Y</v>
      </c>
      <c r="E715" s="2">
        <f t="shared" ref="E715:E778" si="69">IF(OR(P715=Not_started,P715=In_progress,P715=Applied,P715=Closed),1,0)</f>
        <v>0</v>
      </c>
      <c r="F715" s="2" t="str">
        <f t="shared" si="67"/>
        <v/>
      </c>
      <c r="H715" s="56" t="s">
        <v>712</v>
      </c>
      <c r="I715" s="28"/>
      <c r="J715" s="29"/>
      <c r="K715" s="29"/>
      <c r="L715" s="30"/>
      <c r="M715" s="30"/>
      <c r="N715" s="36"/>
      <c r="O715" s="32"/>
      <c r="P715" s="33"/>
      <c r="Q715" s="34"/>
      <c r="R715" s="37"/>
      <c r="S715" s="14" t="str">
        <f t="shared" ref="S715:S778" si="70">IF(ISERROR(VLOOKUP(K715,LB_PROJECTS,2,FALSE)),"",VLOOKUP(K715,LB_PROJECTS,2,FALSE))</f>
        <v/>
      </c>
    </row>
    <row r="716" spans="2:19" x14ac:dyDescent="0.2">
      <c r="B716" s="2" t="str">
        <f t="shared" ref="B716:B779" si="71">IF(N716="","",IF(WEEKNUM(N716)&lt;10,VALUE(CONCATENATE(YEAR(N716),"0",WEEKNUM(N716))),VALUE(CONCATENATE(YEAR(N716),WEEKNUM(N716)))))</f>
        <v/>
      </c>
      <c r="C716" s="2" t="str">
        <f t="shared" ref="C716:C779" si="72">IF(Q716="","",IF(WEEKNUM(Q716)&lt;10,VALUE(CONCATENATE(YEAR(Q716),"0",WEEKNUM(Q716))),VALUE(CONCATENATE(YEAR(Q716),WEEKNUM(Q716)))))</f>
        <v/>
      </c>
      <c r="D716" s="2" t="str">
        <f t="shared" si="68"/>
        <v>Y</v>
      </c>
      <c r="E716" s="2">
        <f t="shared" si="69"/>
        <v>0</v>
      </c>
      <c r="F716" s="2" t="str">
        <f t="shared" si="67"/>
        <v/>
      </c>
      <c r="H716" s="56" t="s">
        <v>713</v>
      </c>
      <c r="I716" s="28"/>
      <c r="J716" s="29"/>
      <c r="K716" s="29"/>
      <c r="L716" s="30"/>
      <c r="M716" s="30"/>
      <c r="N716" s="36"/>
      <c r="O716" s="32"/>
      <c r="P716" s="33"/>
      <c r="Q716" s="34"/>
      <c r="R716" s="37"/>
      <c r="S716" s="14" t="str">
        <f t="shared" si="70"/>
        <v/>
      </c>
    </row>
    <row r="717" spans="2:19" x14ac:dyDescent="0.2">
      <c r="B717" s="2" t="str">
        <f t="shared" si="71"/>
        <v/>
      </c>
      <c r="C717" s="2" t="str">
        <f t="shared" si="72"/>
        <v/>
      </c>
      <c r="D717" s="2" t="str">
        <f t="shared" si="68"/>
        <v>Y</v>
      </c>
      <c r="E717" s="2">
        <f t="shared" si="69"/>
        <v>0</v>
      </c>
      <c r="F717" s="2" t="str">
        <f t="shared" si="67"/>
        <v/>
      </c>
      <c r="H717" s="56" t="s">
        <v>714</v>
      </c>
      <c r="I717" s="28"/>
      <c r="J717" s="29"/>
      <c r="K717" s="29"/>
      <c r="L717" s="30"/>
      <c r="M717" s="30"/>
      <c r="N717" s="36"/>
      <c r="O717" s="32"/>
      <c r="P717" s="33"/>
      <c r="Q717" s="34"/>
      <c r="R717" s="37"/>
      <c r="S717" s="14" t="str">
        <f t="shared" si="70"/>
        <v/>
      </c>
    </row>
    <row r="718" spans="2:19" x14ac:dyDescent="0.2">
      <c r="B718" s="2" t="str">
        <f t="shared" si="71"/>
        <v/>
      </c>
      <c r="C718" s="2" t="str">
        <f t="shared" si="72"/>
        <v/>
      </c>
      <c r="D718" s="2" t="str">
        <f t="shared" si="68"/>
        <v>Y</v>
      </c>
      <c r="E718" s="2">
        <f t="shared" si="69"/>
        <v>0</v>
      </c>
      <c r="F718" s="2" t="str">
        <f t="shared" ref="F718:F781" si="73">IF(O718="",B718,IF(WEEKNUM(O718)&lt;10,VALUE(CONCATENATE(YEAR(O718),"0",WEEKNUM(O718))),VALUE(CONCATENATE(YEAR(O718),WEEKNUM(O718)))))</f>
        <v/>
      </c>
      <c r="H718" s="56" t="s">
        <v>715</v>
      </c>
      <c r="I718" s="28"/>
      <c r="J718" s="29"/>
      <c r="K718" s="29"/>
      <c r="L718" s="30"/>
      <c r="M718" s="30"/>
      <c r="N718" s="36"/>
      <c r="O718" s="32"/>
      <c r="P718" s="33"/>
      <c r="Q718" s="34"/>
      <c r="R718" s="37"/>
      <c r="S718" s="14" t="str">
        <f t="shared" si="70"/>
        <v/>
      </c>
    </row>
    <row r="719" spans="2:19" x14ac:dyDescent="0.2">
      <c r="B719" s="2" t="str">
        <f t="shared" si="71"/>
        <v/>
      </c>
      <c r="C719" s="2" t="str">
        <f t="shared" si="72"/>
        <v/>
      </c>
      <c r="D719" s="2" t="str">
        <f t="shared" si="68"/>
        <v>Y</v>
      </c>
      <c r="E719" s="2">
        <f t="shared" si="69"/>
        <v>0</v>
      </c>
      <c r="F719" s="2" t="str">
        <f t="shared" si="73"/>
        <v/>
      </c>
      <c r="H719" s="56" t="s">
        <v>716</v>
      </c>
      <c r="I719" s="28"/>
      <c r="J719" s="29"/>
      <c r="K719" s="29"/>
      <c r="L719" s="30"/>
      <c r="M719" s="30"/>
      <c r="N719" s="36"/>
      <c r="O719" s="32"/>
      <c r="P719" s="33"/>
      <c r="Q719" s="34"/>
      <c r="R719" s="37"/>
      <c r="S719" s="14" t="str">
        <f t="shared" si="70"/>
        <v/>
      </c>
    </row>
    <row r="720" spans="2:19" x14ac:dyDescent="0.2">
      <c r="B720" s="2" t="str">
        <f t="shared" si="71"/>
        <v/>
      </c>
      <c r="C720" s="2" t="str">
        <f t="shared" si="72"/>
        <v/>
      </c>
      <c r="D720" s="2" t="str">
        <f t="shared" si="68"/>
        <v>Y</v>
      </c>
      <c r="E720" s="2">
        <f t="shared" si="69"/>
        <v>0</v>
      </c>
      <c r="F720" s="2" t="str">
        <f t="shared" si="73"/>
        <v/>
      </c>
      <c r="H720" s="56" t="s">
        <v>717</v>
      </c>
      <c r="I720" s="28"/>
      <c r="J720" s="29"/>
      <c r="K720" s="29"/>
      <c r="L720" s="30"/>
      <c r="M720" s="30"/>
      <c r="N720" s="36"/>
      <c r="O720" s="32"/>
      <c r="P720" s="33"/>
      <c r="Q720" s="34"/>
      <c r="R720" s="37"/>
      <c r="S720" s="14" t="str">
        <f t="shared" si="70"/>
        <v/>
      </c>
    </row>
    <row r="721" spans="2:19" x14ac:dyDescent="0.2">
      <c r="B721" s="2" t="str">
        <f t="shared" si="71"/>
        <v/>
      </c>
      <c r="C721" s="2" t="str">
        <f t="shared" si="72"/>
        <v/>
      </c>
      <c r="D721" s="2" t="str">
        <f t="shared" si="68"/>
        <v>Y</v>
      </c>
      <c r="E721" s="2">
        <f t="shared" si="69"/>
        <v>0</v>
      </c>
      <c r="F721" s="2" t="str">
        <f t="shared" si="73"/>
        <v/>
      </c>
      <c r="H721" s="56" t="s">
        <v>718</v>
      </c>
      <c r="I721" s="28"/>
      <c r="J721" s="29"/>
      <c r="K721" s="29"/>
      <c r="L721" s="30"/>
      <c r="M721" s="30"/>
      <c r="N721" s="36"/>
      <c r="O721" s="32"/>
      <c r="P721" s="33"/>
      <c r="Q721" s="34"/>
      <c r="R721" s="37"/>
      <c r="S721" s="14" t="str">
        <f t="shared" si="70"/>
        <v/>
      </c>
    </row>
    <row r="722" spans="2:19" x14ac:dyDescent="0.2">
      <c r="B722" s="2" t="str">
        <f t="shared" si="71"/>
        <v/>
      </c>
      <c r="C722" s="2" t="str">
        <f t="shared" si="72"/>
        <v/>
      </c>
      <c r="D722" s="2" t="str">
        <f t="shared" si="68"/>
        <v>Y</v>
      </c>
      <c r="E722" s="2">
        <f t="shared" si="69"/>
        <v>0</v>
      </c>
      <c r="F722" s="2" t="str">
        <f t="shared" si="73"/>
        <v/>
      </c>
      <c r="H722" s="56" t="s">
        <v>719</v>
      </c>
      <c r="I722" s="28"/>
      <c r="J722" s="29"/>
      <c r="K722" s="29"/>
      <c r="L722" s="30"/>
      <c r="M722" s="30"/>
      <c r="N722" s="36"/>
      <c r="O722" s="32"/>
      <c r="P722" s="33"/>
      <c r="Q722" s="34"/>
      <c r="R722" s="37"/>
      <c r="S722" s="14" t="str">
        <f t="shared" si="70"/>
        <v/>
      </c>
    </row>
    <row r="723" spans="2:19" x14ac:dyDescent="0.2">
      <c r="B723" s="2" t="str">
        <f t="shared" si="71"/>
        <v/>
      </c>
      <c r="C723" s="2" t="str">
        <f t="shared" si="72"/>
        <v/>
      </c>
      <c r="D723" s="2" t="str">
        <f t="shared" si="68"/>
        <v>Y</v>
      </c>
      <c r="E723" s="2">
        <f t="shared" si="69"/>
        <v>0</v>
      </c>
      <c r="F723" s="2" t="str">
        <f t="shared" si="73"/>
        <v/>
      </c>
      <c r="H723" s="56" t="s">
        <v>720</v>
      </c>
      <c r="I723" s="28"/>
      <c r="J723" s="29"/>
      <c r="K723" s="29"/>
      <c r="L723" s="30"/>
      <c r="M723" s="30"/>
      <c r="N723" s="36"/>
      <c r="O723" s="32"/>
      <c r="P723" s="33"/>
      <c r="Q723" s="34"/>
      <c r="R723" s="37"/>
      <c r="S723" s="14" t="str">
        <f t="shared" si="70"/>
        <v/>
      </c>
    </row>
    <row r="724" spans="2:19" x14ac:dyDescent="0.2">
      <c r="B724" s="2" t="str">
        <f t="shared" si="71"/>
        <v/>
      </c>
      <c r="C724" s="2" t="str">
        <f t="shared" si="72"/>
        <v/>
      </c>
      <c r="D724" s="2" t="str">
        <f t="shared" si="68"/>
        <v>Y</v>
      </c>
      <c r="E724" s="2">
        <f t="shared" si="69"/>
        <v>0</v>
      </c>
      <c r="F724" s="2" t="str">
        <f t="shared" si="73"/>
        <v/>
      </c>
      <c r="H724" s="56" t="s">
        <v>721</v>
      </c>
      <c r="I724" s="28"/>
      <c r="J724" s="29"/>
      <c r="K724" s="29"/>
      <c r="L724" s="30"/>
      <c r="M724" s="30"/>
      <c r="N724" s="36"/>
      <c r="O724" s="32"/>
      <c r="P724" s="33"/>
      <c r="Q724" s="34"/>
      <c r="R724" s="37"/>
      <c r="S724" s="14" t="str">
        <f t="shared" si="70"/>
        <v/>
      </c>
    </row>
    <row r="725" spans="2:19" x14ac:dyDescent="0.2">
      <c r="B725" s="2" t="str">
        <f t="shared" si="71"/>
        <v/>
      </c>
      <c r="C725" s="2" t="str">
        <f t="shared" si="72"/>
        <v/>
      </c>
      <c r="D725" s="2" t="str">
        <f t="shared" si="68"/>
        <v>Y</v>
      </c>
      <c r="E725" s="2">
        <f t="shared" si="69"/>
        <v>0</v>
      </c>
      <c r="F725" s="2" t="str">
        <f t="shared" si="73"/>
        <v/>
      </c>
      <c r="H725" s="56" t="s">
        <v>722</v>
      </c>
      <c r="I725" s="28"/>
      <c r="J725" s="29"/>
      <c r="K725" s="29"/>
      <c r="L725" s="30"/>
      <c r="M725" s="30"/>
      <c r="N725" s="36"/>
      <c r="O725" s="32"/>
      <c r="P725" s="33"/>
      <c r="Q725" s="34"/>
      <c r="R725" s="37"/>
      <c r="S725" s="14" t="str">
        <f t="shared" si="70"/>
        <v/>
      </c>
    </row>
    <row r="726" spans="2:19" x14ac:dyDescent="0.2">
      <c r="B726" s="2" t="str">
        <f t="shared" si="71"/>
        <v/>
      </c>
      <c r="C726" s="2" t="str">
        <f t="shared" si="72"/>
        <v/>
      </c>
      <c r="D726" s="2" t="str">
        <f t="shared" si="68"/>
        <v>Y</v>
      </c>
      <c r="E726" s="2">
        <f t="shared" si="69"/>
        <v>0</v>
      </c>
      <c r="F726" s="2" t="str">
        <f t="shared" si="73"/>
        <v/>
      </c>
      <c r="H726" s="56" t="s">
        <v>723</v>
      </c>
      <c r="I726" s="28"/>
      <c r="J726" s="29"/>
      <c r="K726" s="29"/>
      <c r="L726" s="30"/>
      <c r="M726" s="30"/>
      <c r="N726" s="36"/>
      <c r="O726" s="32"/>
      <c r="P726" s="33"/>
      <c r="Q726" s="34"/>
      <c r="R726" s="37"/>
      <c r="S726" s="14" t="str">
        <f t="shared" si="70"/>
        <v/>
      </c>
    </row>
    <row r="727" spans="2:19" x14ac:dyDescent="0.2">
      <c r="B727" s="2" t="str">
        <f t="shared" si="71"/>
        <v/>
      </c>
      <c r="C727" s="2" t="str">
        <f t="shared" si="72"/>
        <v/>
      </c>
      <c r="D727" s="2" t="str">
        <f t="shared" si="68"/>
        <v>Y</v>
      </c>
      <c r="E727" s="2">
        <f t="shared" si="69"/>
        <v>0</v>
      </c>
      <c r="F727" s="2" t="str">
        <f t="shared" si="73"/>
        <v/>
      </c>
      <c r="H727" s="56" t="s">
        <v>724</v>
      </c>
      <c r="I727" s="28"/>
      <c r="J727" s="29"/>
      <c r="K727" s="29"/>
      <c r="L727" s="30"/>
      <c r="M727" s="30"/>
      <c r="N727" s="36"/>
      <c r="O727" s="32"/>
      <c r="P727" s="33"/>
      <c r="Q727" s="34"/>
      <c r="R727" s="37"/>
      <c r="S727" s="14" t="str">
        <f t="shared" si="70"/>
        <v/>
      </c>
    </row>
    <row r="728" spans="2:19" x14ac:dyDescent="0.2">
      <c r="B728" s="2" t="str">
        <f t="shared" si="71"/>
        <v/>
      </c>
      <c r="C728" s="2" t="str">
        <f t="shared" si="72"/>
        <v/>
      </c>
      <c r="D728" s="2" t="str">
        <f t="shared" si="68"/>
        <v>Y</v>
      </c>
      <c r="E728" s="2">
        <f t="shared" si="69"/>
        <v>0</v>
      </c>
      <c r="F728" s="2" t="str">
        <f t="shared" si="73"/>
        <v/>
      </c>
      <c r="H728" s="56" t="s">
        <v>725</v>
      </c>
      <c r="I728" s="28"/>
      <c r="J728" s="29"/>
      <c r="K728" s="29"/>
      <c r="L728" s="30"/>
      <c r="M728" s="30"/>
      <c r="N728" s="36"/>
      <c r="O728" s="32"/>
      <c r="P728" s="33"/>
      <c r="Q728" s="34"/>
      <c r="R728" s="37"/>
      <c r="S728" s="14" t="str">
        <f t="shared" si="70"/>
        <v/>
      </c>
    </row>
    <row r="729" spans="2:19" x14ac:dyDescent="0.2">
      <c r="B729" s="2" t="str">
        <f t="shared" si="71"/>
        <v/>
      </c>
      <c r="C729" s="2" t="str">
        <f t="shared" si="72"/>
        <v/>
      </c>
      <c r="D729" s="2" t="str">
        <f t="shared" si="68"/>
        <v>Y</v>
      </c>
      <c r="E729" s="2">
        <f t="shared" si="69"/>
        <v>0</v>
      </c>
      <c r="F729" s="2" t="str">
        <f t="shared" si="73"/>
        <v/>
      </c>
      <c r="H729" s="56" t="s">
        <v>726</v>
      </c>
      <c r="I729" s="28"/>
      <c r="J729" s="29"/>
      <c r="K729" s="29"/>
      <c r="L729" s="30"/>
      <c r="M729" s="30"/>
      <c r="N729" s="36"/>
      <c r="O729" s="32"/>
      <c r="P729" s="33"/>
      <c r="Q729" s="34"/>
      <c r="R729" s="37"/>
      <c r="S729" s="14" t="str">
        <f t="shared" si="70"/>
        <v/>
      </c>
    </row>
    <row r="730" spans="2:19" x14ac:dyDescent="0.2">
      <c r="B730" s="2" t="str">
        <f t="shared" si="71"/>
        <v/>
      </c>
      <c r="C730" s="2" t="str">
        <f t="shared" si="72"/>
        <v/>
      </c>
      <c r="D730" s="2" t="str">
        <f t="shared" si="68"/>
        <v>Y</v>
      </c>
      <c r="E730" s="2">
        <f t="shared" si="69"/>
        <v>0</v>
      </c>
      <c r="F730" s="2" t="str">
        <f t="shared" si="73"/>
        <v/>
      </c>
      <c r="H730" s="56" t="s">
        <v>727</v>
      </c>
      <c r="I730" s="28"/>
      <c r="J730" s="29"/>
      <c r="K730" s="29"/>
      <c r="L730" s="30"/>
      <c r="M730" s="30"/>
      <c r="N730" s="36"/>
      <c r="O730" s="32"/>
      <c r="P730" s="33"/>
      <c r="Q730" s="34"/>
      <c r="R730" s="37"/>
      <c r="S730" s="14" t="str">
        <f t="shared" si="70"/>
        <v/>
      </c>
    </row>
    <row r="731" spans="2:19" x14ac:dyDescent="0.2">
      <c r="B731" s="2" t="str">
        <f t="shared" si="71"/>
        <v/>
      </c>
      <c r="C731" s="2" t="str">
        <f t="shared" si="72"/>
        <v/>
      </c>
      <c r="D731" s="2" t="str">
        <f t="shared" si="68"/>
        <v>Y</v>
      </c>
      <c r="E731" s="2">
        <f t="shared" si="69"/>
        <v>0</v>
      </c>
      <c r="F731" s="2" t="str">
        <f t="shared" si="73"/>
        <v/>
      </c>
      <c r="H731" s="56" t="s">
        <v>728</v>
      </c>
      <c r="I731" s="28"/>
      <c r="J731" s="29"/>
      <c r="K731" s="29"/>
      <c r="L731" s="30"/>
      <c r="M731" s="30"/>
      <c r="N731" s="36"/>
      <c r="O731" s="32"/>
      <c r="P731" s="33"/>
      <c r="Q731" s="34"/>
      <c r="R731" s="37"/>
      <c r="S731" s="14" t="str">
        <f t="shared" si="70"/>
        <v/>
      </c>
    </row>
    <row r="732" spans="2:19" x14ac:dyDescent="0.2">
      <c r="B732" s="2" t="str">
        <f t="shared" si="71"/>
        <v/>
      </c>
      <c r="C732" s="2" t="str">
        <f t="shared" si="72"/>
        <v/>
      </c>
      <c r="D732" s="2" t="str">
        <f t="shared" si="68"/>
        <v>Y</v>
      </c>
      <c r="E732" s="2">
        <f t="shared" si="69"/>
        <v>0</v>
      </c>
      <c r="F732" s="2" t="str">
        <f t="shared" si="73"/>
        <v/>
      </c>
      <c r="H732" s="56" t="s">
        <v>729</v>
      </c>
      <c r="I732" s="28"/>
      <c r="J732" s="29"/>
      <c r="K732" s="29"/>
      <c r="L732" s="30"/>
      <c r="M732" s="30"/>
      <c r="N732" s="36"/>
      <c r="O732" s="32"/>
      <c r="P732" s="33"/>
      <c r="Q732" s="34"/>
      <c r="R732" s="37"/>
      <c r="S732" s="14" t="str">
        <f t="shared" si="70"/>
        <v/>
      </c>
    </row>
    <row r="733" spans="2:19" x14ac:dyDescent="0.2">
      <c r="B733" s="2" t="str">
        <f t="shared" si="71"/>
        <v/>
      </c>
      <c r="C733" s="2" t="str">
        <f t="shared" si="72"/>
        <v/>
      </c>
      <c r="D733" s="2" t="str">
        <f t="shared" si="68"/>
        <v>Y</v>
      </c>
      <c r="E733" s="2">
        <f t="shared" si="69"/>
        <v>0</v>
      </c>
      <c r="F733" s="2" t="str">
        <f t="shared" si="73"/>
        <v/>
      </c>
      <c r="H733" s="56" t="s">
        <v>730</v>
      </c>
      <c r="I733" s="28"/>
      <c r="J733" s="29"/>
      <c r="K733" s="29"/>
      <c r="L733" s="30"/>
      <c r="M733" s="30"/>
      <c r="N733" s="36"/>
      <c r="O733" s="32"/>
      <c r="P733" s="33"/>
      <c r="Q733" s="34"/>
      <c r="R733" s="37"/>
      <c r="S733" s="14" t="str">
        <f t="shared" si="70"/>
        <v/>
      </c>
    </row>
    <row r="734" spans="2:19" x14ac:dyDescent="0.2">
      <c r="B734" s="2" t="str">
        <f t="shared" si="71"/>
        <v/>
      </c>
      <c r="C734" s="2" t="str">
        <f t="shared" si="72"/>
        <v/>
      </c>
      <c r="D734" s="2" t="str">
        <f t="shared" si="68"/>
        <v>Y</v>
      </c>
      <c r="E734" s="2">
        <f t="shared" si="69"/>
        <v>0</v>
      </c>
      <c r="F734" s="2" t="str">
        <f t="shared" si="73"/>
        <v/>
      </c>
      <c r="H734" s="56" t="s">
        <v>731</v>
      </c>
      <c r="I734" s="28"/>
      <c r="J734" s="29"/>
      <c r="K734" s="29"/>
      <c r="L734" s="30"/>
      <c r="M734" s="30"/>
      <c r="N734" s="36"/>
      <c r="O734" s="32"/>
      <c r="P734" s="33"/>
      <c r="Q734" s="34"/>
      <c r="R734" s="37"/>
      <c r="S734" s="14" t="str">
        <f t="shared" si="70"/>
        <v/>
      </c>
    </row>
    <row r="735" spans="2:19" x14ac:dyDescent="0.2">
      <c r="B735" s="2" t="str">
        <f t="shared" si="71"/>
        <v/>
      </c>
      <c r="C735" s="2" t="str">
        <f t="shared" si="72"/>
        <v/>
      </c>
      <c r="D735" s="2" t="str">
        <f t="shared" si="68"/>
        <v>Y</v>
      </c>
      <c r="E735" s="2">
        <f t="shared" si="69"/>
        <v>0</v>
      </c>
      <c r="F735" s="2" t="str">
        <f t="shared" si="73"/>
        <v/>
      </c>
      <c r="H735" s="56" t="s">
        <v>732</v>
      </c>
      <c r="I735" s="28"/>
      <c r="J735" s="29"/>
      <c r="K735" s="29"/>
      <c r="L735" s="30"/>
      <c r="M735" s="30"/>
      <c r="N735" s="36"/>
      <c r="O735" s="32"/>
      <c r="P735" s="33"/>
      <c r="Q735" s="34"/>
      <c r="R735" s="37"/>
      <c r="S735" s="14" t="str">
        <f t="shared" si="70"/>
        <v/>
      </c>
    </row>
    <row r="736" spans="2:19" x14ac:dyDescent="0.2">
      <c r="B736" s="2" t="str">
        <f t="shared" si="71"/>
        <v/>
      </c>
      <c r="C736" s="2" t="str">
        <f t="shared" si="72"/>
        <v/>
      </c>
      <c r="D736" s="2" t="str">
        <f t="shared" si="68"/>
        <v>Y</v>
      </c>
      <c r="E736" s="2">
        <f t="shared" si="69"/>
        <v>0</v>
      </c>
      <c r="F736" s="2" t="str">
        <f t="shared" si="73"/>
        <v/>
      </c>
      <c r="H736" s="56" t="s">
        <v>733</v>
      </c>
      <c r="I736" s="28"/>
      <c r="J736" s="29"/>
      <c r="K736" s="29"/>
      <c r="L736" s="30"/>
      <c r="M736" s="30"/>
      <c r="N736" s="36"/>
      <c r="O736" s="32"/>
      <c r="P736" s="33"/>
      <c r="Q736" s="34"/>
      <c r="R736" s="37"/>
      <c r="S736" s="14" t="str">
        <f t="shared" si="70"/>
        <v/>
      </c>
    </row>
    <row r="737" spans="2:19" x14ac:dyDescent="0.2">
      <c r="B737" s="2" t="str">
        <f t="shared" si="71"/>
        <v/>
      </c>
      <c r="C737" s="2" t="str">
        <f t="shared" si="72"/>
        <v/>
      </c>
      <c r="D737" s="2" t="str">
        <f t="shared" si="68"/>
        <v>Y</v>
      </c>
      <c r="E737" s="2">
        <f t="shared" si="69"/>
        <v>0</v>
      </c>
      <c r="F737" s="2" t="str">
        <f t="shared" si="73"/>
        <v/>
      </c>
      <c r="H737" s="56" t="s">
        <v>734</v>
      </c>
      <c r="I737" s="28"/>
      <c r="J737" s="29"/>
      <c r="K737" s="29"/>
      <c r="L737" s="30"/>
      <c r="M737" s="30"/>
      <c r="N737" s="36"/>
      <c r="O737" s="32"/>
      <c r="P737" s="33"/>
      <c r="Q737" s="34"/>
      <c r="R737" s="37"/>
      <c r="S737" s="14" t="str">
        <f t="shared" si="70"/>
        <v/>
      </c>
    </row>
    <row r="738" spans="2:19" x14ac:dyDescent="0.2">
      <c r="B738" s="2" t="str">
        <f t="shared" si="71"/>
        <v/>
      </c>
      <c r="C738" s="2" t="str">
        <f t="shared" si="72"/>
        <v/>
      </c>
      <c r="D738" s="2" t="str">
        <f t="shared" si="68"/>
        <v>Y</v>
      </c>
      <c r="E738" s="2">
        <f t="shared" si="69"/>
        <v>0</v>
      </c>
      <c r="F738" s="2" t="str">
        <f t="shared" si="73"/>
        <v/>
      </c>
      <c r="H738" s="56" t="s">
        <v>735</v>
      </c>
      <c r="I738" s="28"/>
      <c r="J738" s="29"/>
      <c r="K738" s="29"/>
      <c r="L738" s="30"/>
      <c r="M738" s="30"/>
      <c r="N738" s="36"/>
      <c r="O738" s="32"/>
      <c r="P738" s="33"/>
      <c r="Q738" s="34"/>
      <c r="R738" s="37"/>
      <c r="S738" s="14" t="str">
        <f t="shared" si="70"/>
        <v/>
      </c>
    </row>
    <row r="739" spans="2:19" x14ac:dyDescent="0.2">
      <c r="B739" s="2" t="str">
        <f t="shared" si="71"/>
        <v/>
      </c>
      <c r="C739" s="2" t="str">
        <f t="shared" si="72"/>
        <v/>
      </c>
      <c r="D739" s="2" t="str">
        <f t="shared" si="68"/>
        <v>Y</v>
      </c>
      <c r="E739" s="2">
        <f t="shared" si="69"/>
        <v>0</v>
      </c>
      <c r="F739" s="2" t="str">
        <f t="shared" si="73"/>
        <v/>
      </c>
      <c r="H739" s="56" t="s">
        <v>736</v>
      </c>
      <c r="I739" s="28"/>
      <c r="J739" s="29"/>
      <c r="K739" s="29"/>
      <c r="L739" s="30"/>
      <c r="M739" s="30"/>
      <c r="N739" s="36"/>
      <c r="O739" s="32"/>
      <c r="P739" s="33"/>
      <c r="Q739" s="34"/>
      <c r="R739" s="37"/>
      <c r="S739" s="14" t="str">
        <f t="shared" si="70"/>
        <v/>
      </c>
    </row>
    <row r="740" spans="2:19" x14ac:dyDescent="0.2">
      <c r="B740" s="2" t="str">
        <f t="shared" si="71"/>
        <v/>
      </c>
      <c r="C740" s="2" t="str">
        <f t="shared" si="72"/>
        <v/>
      </c>
      <c r="D740" s="2" t="str">
        <f t="shared" si="68"/>
        <v>Y</v>
      </c>
      <c r="E740" s="2">
        <f t="shared" si="69"/>
        <v>0</v>
      </c>
      <c r="F740" s="2" t="str">
        <f t="shared" si="73"/>
        <v/>
      </c>
      <c r="H740" s="56" t="s">
        <v>737</v>
      </c>
      <c r="I740" s="28"/>
      <c r="J740" s="29"/>
      <c r="K740" s="29"/>
      <c r="L740" s="30"/>
      <c r="M740" s="30"/>
      <c r="N740" s="36"/>
      <c r="O740" s="32"/>
      <c r="P740" s="33"/>
      <c r="Q740" s="34"/>
      <c r="R740" s="37"/>
      <c r="S740" s="14" t="str">
        <f t="shared" si="70"/>
        <v/>
      </c>
    </row>
    <row r="741" spans="2:19" x14ac:dyDescent="0.2">
      <c r="B741" s="2" t="str">
        <f t="shared" si="71"/>
        <v/>
      </c>
      <c r="C741" s="2" t="str">
        <f t="shared" si="72"/>
        <v/>
      </c>
      <c r="D741" s="2" t="str">
        <f t="shared" si="68"/>
        <v>Y</v>
      </c>
      <c r="E741" s="2">
        <f t="shared" si="69"/>
        <v>0</v>
      </c>
      <c r="F741" s="2" t="str">
        <f t="shared" si="73"/>
        <v/>
      </c>
      <c r="H741" s="56" t="s">
        <v>738</v>
      </c>
      <c r="I741" s="28"/>
      <c r="J741" s="29"/>
      <c r="K741" s="29"/>
      <c r="L741" s="30"/>
      <c r="M741" s="30"/>
      <c r="N741" s="36"/>
      <c r="O741" s="32"/>
      <c r="P741" s="33"/>
      <c r="Q741" s="34"/>
      <c r="R741" s="37"/>
      <c r="S741" s="14" t="str">
        <f t="shared" si="70"/>
        <v/>
      </c>
    </row>
    <row r="742" spans="2:19" x14ac:dyDescent="0.2">
      <c r="B742" s="2" t="str">
        <f t="shared" si="71"/>
        <v/>
      </c>
      <c r="C742" s="2" t="str">
        <f t="shared" si="72"/>
        <v/>
      </c>
      <c r="D742" s="2" t="str">
        <f t="shared" si="68"/>
        <v>Y</v>
      </c>
      <c r="E742" s="2">
        <f t="shared" si="69"/>
        <v>0</v>
      </c>
      <c r="F742" s="2" t="str">
        <f t="shared" si="73"/>
        <v/>
      </c>
      <c r="H742" s="56" t="s">
        <v>739</v>
      </c>
      <c r="I742" s="28"/>
      <c r="J742" s="29"/>
      <c r="K742" s="29"/>
      <c r="L742" s="30"/>
      <c r="M742" s="30"/>
      <c r="N742" s="36"/>
      <c r="O742" s="32"/>
      <c r="P742" s="33"/>
      <c r="Q742" s="34"/>
      <c r="R742" s="37"/>
      <c r="S742" s="14" t="str">
        <f t="shared" si="70"/>
        <v/>
      </c>
    </row>
    <row r="743" spans="2:19" x14ac:dyDescent="0.2">
      <c r="B743" s="2" t="str">
        <f t="shared" si="71"/>
        <v/>
      </c>
      <c r="C743" s="2" t="str">
        <f t="shared" si="72"/>
        <v/>
      </c>
      <c r="D743" s="2" t="str">
        <f t="shared" si="68"/>
        <v>Y</v>
      </c>
      <c r="E743" s="2">
        <f t="shared" si="69"/>
        <v>0</v>
      </c>
      <c r="F743" s="2" t="str">
        <f t="shared" si="73"/>
        <v/>
      </c>
      <c r="H743" s="56" t="s">
        <v>740</v>
      </c>
      <c r="I743" s="28"/>
      <c r="J743" s="29"/>
      <c r="K743" s="29"/>
      <c r="L743" s="30"/>
      <c r="M743" s="30"/>
      <c r="N743" s="36"/>
      <c r="O743" s="32"/>
      <c r="P743" s="33"/>
      <c r="Q743" s="34"/>
      <c r="R743" s="37"/>
      <c r="S743" s="14" t="str">
        <f t="shared" si="70"/>
        <v/>
      </c>
    </row>
    <row r="744" spans="2:19" x14ac:dyDescent="0.2">
      <c r="B744" s="2" t="str">
        <f t="shared" si="71"/>
        <v/>
      </c>
      <c r="C744" s="2" t="str">
        <f t="shared" si="72"/>
        <v/>
      </c>
      <c r="D744" s="2" t="str">
        <f t="shared" si="68"/>
        <v>Y</v>
      </c>
      <c r="E744" s="2">
        <f t="shared" si="69"/>
        <v>0</v>
      </c>
      <c r="F744" s="2" t="str">
        <f t="shared" si="73"/>
        <v/>
      </c>
      <c r="H744" s="56" t="s">
        <v>741</v>
      </c>
      <c r="I744" s="28"/>
      <c r="J744" s="29"/>
      <c r="K744" s="29"/>
      <c r="L744" s="30"/>
      <c r="M744" s="30"/>
      <c r="N744" s="36"/>
      <c r="O744" s="32"/>
      <c r="P744" s="33"/>
      <c r="Q744" s="34"/>
      <c r="R744" s="37"/>
      <c r="S744" s="14" t="str">
        <f t="shared" si="70"/>
        <v/>
      </c>
    </row>
    <row r="745" spans="2:19" x14ac:dyDescent="0.2">
      <c r="B745" s="2" t="str">
        <f t="shared" si="71"/>
        <v/>
      </c>
      <c r="C745" s="2" t="str">
        <f t="shared" si="72"/>
        <v/>
      </c>
      <c r="D745" s="2" t="str">
        <f t="shared" si="68"/>
        <v>Y</v>
      </c>
      <c r="E745" s="2">
        <f t="shared" si="69"/>
        <v>0</v>
      </c>
      <c r="F745" s="2" t="str">
        <f t="shared" si="73"/>
        <v/>
      </c>
      <c r="H745" s="56" t="s">
        <v>742</v>
      </c>
      <c r="I745" s="28"/>
      <c r="J745" s="29"/>
      <c r="K745" s="29"/>
      <c r="L745" s="30"/>
      <c r="M745" s="30"/>
      <c r="N745" s="36"/>
      <c r="O745" s="32"/>
      <c r="P745" s="33"/>
      <c r="Q745" s="34"/>
      <c r="R745" s="37"/>
      <c r="S745" s="14" t="str">
        <f t="shared" si="70"/>
        <v/>
      </c>
    </row>
    <row r="746" spans="2:19" x14ac:dyDescent="0.2">
      <c r="B746" s="2" t="str">
        <f t="shared" si="71"/>
        <v/>
      </c>
      <c r="C746" s="2" t="str">
        <f t="shared" si="72"/>
        <v/>
      </c>
      <c r="D746" s="2" t="str">
        <f t="shared" si="68"/>
        <v>Y</v>
      </c>
      <c r="E746" s="2">
        <f t="shared" si="69"/>
        <v>0</v>
      </c>
      <c r="F746" s="2" t="str">
        <f t="shared" si="73"/>
        <v/>
      </c>
      <c r="H746" s="56" t="s">
        <v>743</v>
      </c>
      <c r="I746" s="28"/>
      <c r="J746" s="29"/>
      <c r="K746" s="29"/>
      <c r="L746" s="30"/>
      <c r="M746" s="30"/>
      <c r="N746" s="36"/>
      <c r="O746" s="32"/>
      <c r="P746" s="33"/>
      <c r="Q746" s="34"/>
      <c r="R746" s="37"/>
      <c r="S746" s="14" t="str">
        <f t="shared" si="70"/>
        <v/>
      </c>
    </row>
    <row r="747" spans="2:19" x14ac:dyDescent="0.2">
      <c r="B747" s="2" t="str">
        <f t="shared" si="71"/>
        <v/>
      </c>
      <c r="C747" s="2" t="str">
        <f t="shared" si="72"/>
        <v/>
      </c>
      <c r="D747" s="2" t="str">
        <f t="shared" si="68"/>
        <v>Y</v>
      </c>
      <c r="E747" s="2">
        <f t="shared" si="69"/>
        <v>0</v>
      </c>
      <c r="F747" s="2" t="str">
        <f t="shared" si="73"/>
        <v/>
      </c>
      <c r="H747" s="56" t="s">
        <v>744</v>
      </c>
      <c r="I747" s="28"/>
      <c r="J747" s="29"/>
      <c r="K747" s="29"/>
      <c r="L747" s="30"/>
      <c r="M747" s="30"/>
      <c r="N747" s="36"/>
      <c r="O747" s="32"/>
      <c r="P747" s="33"/>
      <c r="Q747" s="34"/>
      <c r="R747" s="37"/>
      <c r="S747" s="14" t="str">
        <f t="shared" si="70"/>
        <v/>
      </c>
    </row>
    <row r="748" spans="2:19" x14ac:dyDescent="0.2">
      <c r="B748" s="2" t="str">
        <f t="shared" si="71"/>
        <v/>
      </c>
      <c r="C748" s="2" t="str">
        <f t="shared" si="72"/>
        <v/>
      </c>
      <c r="D748" s="2" t="str">
        <f t="shared" si="68"/>
        <v>Y</v>
      </c>
      <c r="E748" s="2">
        <f t="shared" si="69"/>
        <v>0</v>
      </c>
      <c r="F748" s="2" t="str">
        <f t="shared" si="73"/>
        <v/>
      </c>
      <c r="H748" s="56" t="s">
        <v>745</v>
      </c>
      <c r="I748" s="28"/>
      <c r="J748" s="29"/>
      <c r="K748" s="29"/>
      <c r="L748" s="30"/>
      <c r="M748" s="30"/>
      <c r="N748" s="36"/>
      <c r="O748" s="32"/>
      <c r="P748" s="33"/>
      <c r="Q748" s="34"/>
      <c r="R748" s="37"/>
      <c r="S748" s="14" t="str">
        <f t="shared" si="70"/>
        <v/>
      </c>
    </row>
    <row r="749" spans="2:19" x14ac:dyDescent="0.2">
      <c r="B749" s="2" t="str">
        <f t="shared" si="71"/>
        <v/>
      </c>
      <c r="C749" s="2" t="str">
        <f t="shared" si="72"/>
        <v/>
      </c>
      <c r="D749" s="2" t="str">
        <f t="shared" si="68"/>
        <v>Y</v>
      </c>
      <c r="E749" s="2">
        <f t="shared" si="69"/>
        <v>0</v>
      </c>
      <c r="F749" s="2" t="str">
        <f t="shared" si="73"/>
        <v/>
      </c>
      <c r="H749" s="56" t="s">
        <v>746</v>
      </c>
      <c r="I749" s="28"/>
      <c r="J749" s="29"/>
      <c r="K749" s="29"/>
      <c r="L749" s="30"/>
      <c r="M749" s="30"/>
      <c r="N749" s="36"/>
      <c r="O749" s="32"/>
      <c r="P749" s="33"/>
      <c r="Q749" s="34"/>
      <c r="R749" s="37"/>
      <c r="S749" s="14" t="str">
        <f t="shared" si="70"/>
        <v/>
      </c>
    </row>
    <row r="750" spans="2:19" x14ac:dyDescent="0.2">
      <c r="B750" s="2" t="str">
        <f t="shared" si="71"/>
        <v/>
      </c>
      <c r="C750" s="2" t="str">
        <f t="shared" si="72"/>
        <v/>
      </c>
      <c r="D750" s="2" t="str">
        <f t="shared" si="68"/>
        <v>Y</v>
      </c>
      <c r="E750" s="2">
        <f t="shared" si="69"/>
        <v>0</v>
      </c>
      <c r="F750" s="2" t="str">
        <f t="shared" si="73"/>
        <v/>
      </c>
      <c r="H750" s="56" t="s">
        <v>747</v>
      </c>
      <c r="I750" s="28"/>
      <c r="J750" s="29"/>
      <c r="K750" s="29"/>
      <c r="L750" s="30"/>
      <c r="M750" s="30"/>
      <c r="N750" s="36"/>
      <c r="O750" s="32"/>
      <c r="P750" s="33"/>
      <c r="Q750" s="34"/>
      <c r="R750" s="37"/>
      <c r="S750" s="14" t="str">
        <f t="shared" si="70"/>
        <v/>
      </c>
    </row>
    <row r="751" spans="2:19" x14ac:dyDescent="0.2">
      <c r="B751" s="2" t="str">
        <f t="shared" si="71"/>
        <v/>
      </c>
      <c r="C751" s="2" t="str">
        <f t="shared" si="72"/>
        <v/>
      </c>
      <c r="D751" s="2" t="str">
        <f t="shared" si="68"/>
        <v>Y</v>
      </c>
      <c r="E751" s="2">
        <f t="shared" si="69"/>
        <v>0</v>
      </c>
      <c r="F751" s="2" t="str">
        <f t="shared" si="73"/>
        <v/>
      </c>
      <c r="H751" s="56" t="s">
        <v>748</v>
      </c>
      <c r="I751" s="28"/>
      <c r="J751" s="29"/>
      <c r="K751" s="29"/>
      <c r="L751" s="30"/>
      <c r="M751" s="30"/>
      <c r="N751" s="36"/>
      <c r="O751" s="32"/>
      <c r="P751" s="33"/>
      <c r="Q751" s="34"/>
      <c r="R751" s="37"/>
      <c r="S751" s="14" t="str">
        <f t="shared" si="70"/>
        <v/>
      </c>
    </row>
    <row r="752" spans="2:19" x14ac:dyDescent="0.2">
      <c r="B752" s="2" t="str">
        <f t="shared" si="71"/>
        <v/>
      </c>
      <c r="C752" s="2" t="str">
        <f t="shared" si="72"/>
        <v/>
      </c>
      <c r="D752" s="2" t="str">
        <f t="shared" si="68"/>
        <v>Y</v>
      </c>
      <c r="E752" s="2">
        <f t="shared" si="69"/>
        <v>0</v>
      </c>
      <c r="F752" s="2" t="str">
        <f t="shared" si="73"/>
        <v/>
      </c>
      <c r="H752" s="56" t="s">
        <v>749</v>
      </c>
      <c r="I752" s="28"/>
      <c r="J752" s="29"/>
      <c r="K752" s="29"/>
      <c r="L752" s="30"/>
      <c r="M752" s="30"/>
      <c r="N752" s="36"/>
      <c r="O752" s="32"/>
      <c r="P752" s="33"/>
      <c r="Q752" s="34"/>
      <c r="R752" s="37"/>
      <c r="S752" s="14" t="str">
        <f t="shared" si="70"/>
        <v/>
      </c>
    </row>
    <row r="753" spans="2:19" x14ac:dyDescent="0.2">
      <c r="B753" s="2" t="str">
        <f t="shared" si="71"/>
        <v/>
      </c>
      <c r="C753" s="2" t="str">
        <f t="shared" si="72"/>
        <v/>
      </c>
      <c r="D753" s="2" t="str">
        <f t="shared" si="68"/>
        <v>Y</v>
      </c>
      <c r="E753" s="2">
        <f t="shared" si="69"/>
        <v>0</v>
      </c>
      <c r="F753" s="2" t="str">
        <f t="shared" si="73"/>
        <v/>
      </c>
      <c r="H753" s="56" t="s">
        <v>750</v>
      </c>
      <c r="I753" s="28"/>
      <c r="J753" s="29"/>
      <c r="K753" s="29"/>
      <c r="L753" s="30"/>
      <c r="M753" s="30"/>
      <c r="N753" s="36"/>
      <c r="O753" s="32"/>
      <c r="P753" s="33"/>
      <c r="Q753" s="34"/>
      <c r="R753" s="37"/>
      <c r="S753" s="14" t="str">
        <f t="shared" si="70"/>
        <v/>
      </c>
    </row>
    <row r="754" spans="2:19" x14ac:dyDescent="0.2">
      <c r="B754" s="2" t="str">
        <f t="shared" si="71"/>
        <v/>
      </c>
      <c r="C754" s="2" t="str">
        <f t="shared" si="72"/>
        <v/>
      </c>
      <c r="D754" s="2" t="str">
        <f t="shared" si="68"/>
        <v>Y</v>
      </c>
      <c r="E754" s="2">
        <f t="shared" si="69"/>
        <v>0</v>
      </c>
      <c r="F754" s="2" t="str">
        <f t="shared" si="73"/>
        <v/>
      </c>
      <c r="H754" s="56" t="s">
        <v>751</v>
      </c>
      <c r="I754" s="28"/>
      <c r="J754" s="29"/>
      <c r="K754" s="29"/>
      <c r="L754" s="30"/>
      <c r="M754" s="30"/>
      <c r="N754" s="36"/>
      <c r="O754" s="32"/>
      <c r="P754" s="33"/>
      <c r="Q754" s="34"/>
      <c r="R754" s="37"/>
      <c r="S754" s="14" t="str">
        <f t="shared" si="70"/>
        <v/>
      </c>
    </row>
    <row r="755" spans="2:19" x14ac:dyDescent="0.2">
      <c r="B755" s="2" t="str">
        <f t="shared" si="71"/>
        <v/>
      </c>
      <c r="C755" s="2" t="str">
        <f t="shared" si="72"/>
        <v/>
      </c>
      <c r="D755" s="2" t="str">
        <f t="shared" si="68"/>
        <v>Y</v>
      </c>
      <c r="E755" s="2">
        <f t="shared" si="69"/>
        <v>0</v>
      </c>
      <c r="F755" s="2" t="str">
        <f t="shared" si="73"/>
        <v/>
      </c>
      <c r="H755" s="56" t="s">
        <v>752</v>
      </c>
      <c r="I755" s="28"/>
      <c r="J755" s="29"/>
      <c r="K755" s="29"/>
      <c r="L755" s="30"/>
      <c r="M755" s="30"/>
      <c r="N755" s="36"/>
      <c r="O755" s="32"/>
      <c r="P755" s="33"/>
      <c r="Q755" s="34"/>
      <c r="R755" s="37"/>
      <c r="S755" s="14" t="str">
        <f t="shared" si="70"/>
        <v/>
      </c>
    </row>
    <row r="756" spans="2:19" x14ac:dyDescent="0.2">
      <c r="B756" s="2" t="str">
        <f t="shared" si="71"/>
        <v/>
      </c>
      <c r="C756" s="2" t="str">
        <f t="shared" si="72"/>
        <v/>
      </c>
      <c r="D756" s="2" t="str">
        <f t="shared" si="68"/>
        <v>Y</v>
      </c>
      <c r="E756" s="2">
        <f t="shared" si="69"/>
        <v>0</v>
      </c>
      <c r="F756" s="2" t="str">
        <f t="shared" si="73"/>
        <v/>
      </c>
      <c r="H756" s="56" t="s">
        <v>753</v>
      </c>
      <c r="I756" s="28"/>
      <c r="J756" s="29"/>
      <c r="K756" s="29"/>
      <c r="L756" s="30"/>
      <c r="M756" s="30"/>
      <c r="N756" s="36"/>
      <c r="O756" s="32"/>
      <c r="P756" s="33"/>
      <c r="Q756" s="34"/>
      <c r="R756" s="37"/>
      <c r="S756" s="14" t="str">
        <f t="shared" si="70"/>
        <v/>
      </c>
    </row>
    <row r="757" spans="2:19" x14ac:dyDescent="0.2">
      <c r="B757" s="2" t="str">
        <f t="shared" si="71"/>
        <v/>
      </c>
      <c r="C757" s="2" t="str">
        <f t="shared" si="72"/>
        <v/>
      </c>
      <c r="D757" s="2" t="str">
        <f t="shared" si="68"/>
        <v>Y</v>
      </c>
      <c r="E757" s="2">
        <f t="shared" si="69"/>
        <v>0</v>
      </c>
      <c r="F757" s="2" t="str">
        <f t="shared" si="73"/>
        <v/>
      </c>
      <c r="H757" s="56" t="s">
        <v>754</v>
      </c>
      <c r="I757" s="28"/>
      <c r="J757" s="29"/>
      <c r="K757" s="29"/>
      <c r="L757" s="30"/>
      <c r="M757" s="30"/>
      <c r="N757" s="36"/>
      <c r="O757" s="32"/>
      <c r="P757" s="33"/>
      <c r="Q757" s="34"/>
      <c r="R757" s="37"/>
      <c r="S757" s="14" t="str">
        <f t="shared" si="70"/>
        <v/>
      </c>
    </row>
    <row r="758" spans="2:19" x14ac:dyDescent="0.2">
      <c r="B758" s="2" t="str">
        <f t="shared" si="71"/>
        <v/>
      </c>
      <c r="C758" s="2" t="str">
        <f t="shared" si="72"/>
        <v/>
      </c>
      <c r="D758" s="2" t="str">
        <f t="shared" si="68"/>
        <v>Y</v>
      </c>
      <c r="E758" s="2">
        <f t="shared" si="69"/>
        <v>0</v>
      </c>
      <c r="F758" s="2" t="str">
        <f t="shared" si="73"/>
        <v/>
      </c>
      <c r="H758" s="56" t="s">
        <v>755</v>
      </c>
      <c r="I758" s="28"/>
      <c r="J758" s="29"/>
      <c r="K758" s="29"/>
      <c r="L758" s="30"/>
      <c r="M758" s="30"/>
      <c r="N758" s="36"/>
      <c r="O758" s="32"/>
      <c r="P758" s="33"/>
      <c r="Q758" s="34"/>
      <c r="R758" s="37"/>
      <c r="S758" s="14" t="str">
        <f t="shared" si="70"/>
        <v/>
      </c>
    </row>
    <row r="759" spans="2:19" x14ac:dyDescent="0.2">
      <c r="B759" s="2" t="str">
        <f t="shared" si="71"/>
        <v/>
      </c>
      <c r="C759" s="2" t="str">
        <f t="shared" si="72"/>
        <v/>
      </c>
      <c r="D759" s="2" t="str">
        <f t="shared" si="68"/>
        <v>Y</v>
      </c>
      <c r="E759" s="2">
        <f t="shared" si="69"/>
        <v>0</v>
      </c>
      <c r="F759" s="2" t="str">
        <f t="shared" si="73"/>
        <v/>
      </c>
      <c r="H759" s="56" t="s">
        <v>756</v>
      </c>
      <c r="I759" s="28"/>
      <c r="J759" s="29"/>
      <c r="K759" s="29"/>
      <c r="L759" s="30"/>
      <c r="M759" s="30"/>
      <c r="N759" s="36"/>
      <c r="O759" s="32"/>
      <c r="P759" s="33"/>
      <c r="Q759" s="34"/>
      <c r="R759" s="37"/>
      <c r="S759" s="14" t="str">
        <f t="shared" si="70"/>
        <v/>
      </c>
    </row>
    <row r="760" spans="2:19" x14ac:dyDescent="0.2">
      <c r="B760" s="2" t="str">
        <f t="shared" si="71"/>
        <v/>
      </c>
      <c r="C760" s="2" t="str">
        <f t="shared" si="72"/>
        <v/>
      </c>
      <c r="D760" s="2" t="str">
        <f t="shared" si="68"/>
        <v>Y</v>
      </c>
      <c r="E760" s="2">
        <f t="shared" si="69"/>
        <v>0</v>
      </c>
      <c r="F760" s="2" t="str">
        <f t="shared" si="73"/>
        <v/>
      </c>
      <c r="H760" s="56" t="s">
        <v>757</v>
      </c>
      <c r="I760" s="28"/>
      <c r="J760" s="29"/>
      <c r="K760" s="29"/>
      <c r="L760" s="30"/>
      <c r="M760" s="30"/>
      <c r="N760" s="36"/>
      <c r="O760" s="32"/>
      <c r="P760" s="33"/>
      <c r="Q760" s="34"/>
      <c r="R760" s="37"/>
      <c r="S760" s="14" t="str">
        <f t="shared" si="70"/>
        <v/>
      </c>
    </row>
    <row r="761" spans="2:19" x14ac:dyDescent="0.2">
      <c r="B761" s="2" t="str">
        <f t="shared" si="71"/>
        <v/>
      </c>
      <c r="C761" s="2" t="str">
        <f t="shared" si="72"/>
        <v/>
      </c>
      <c r="D761" s="2" t="str">
        <f t="shared" si="68"/>
        <v>Y</v>
      </c>
      <c r="E761" s="2">
        <f t="shared" si="69"/>
        <v>0</v>
      </c>
      <c r="F761" s="2" t="str">
        <f t="shared" si="73"/>
        <v/>
      </c>
      <c r="H761" s="56" t="s">
        <v>758</v>
      </c>
      <c r="I761" s="28"/>
      <c r="J761" s="29"/>
      <c r="K761" s="29"/>
      <c r="L761" s="30"/>
      <c r="M761" s="30"/>
      <c r="N761" s="36"/>
      <c r="O761" s="32"/>
      <c r="P761" s="33"/>
      <c r="Q761" s="34"/>
      <c r="R761" s="37"/>
      <c r="S761" s="14" t="str">
        <f t="shared" si="70"/>
        <v/>
      </c>
    </row>
    <row r="762" spans="2:19" x14ac:dyDescent="0.2">
      <c r="B762" s="2" t="str">
        <f t="shared" si="71"/>
        <v/>
      </c>
      <c r="C762" s="2" t="str">
        <f t="shared" si="72"/>
        <v/>
      </c>
      <c r="D762" s="2" t="str">
        <f t="shared" si="68"/>
        <v>Y</v>
      </c>
      <c r="E762" s="2">
        <f t="shared" si="69"/>
        <v>0</v>
      </c>
      <c r="F762" s="2" t="str">
        <f t="shared" si="73"/>
        <v/>
      </c>
      <c r="H762" s="56" t="s">
        <v>759</v>
      </c>
      <c r="I762" s="28"/>
      <c r="J762" s="29"/>
      <c r="K762" s="29"/>
      <c r="L762" s="30"/>
      <c r="M762" s="30"/>
      <c r="N762" s="36"/>
      <c r="O762" s="32"/>
      <c r="P762" s="33"/>
      <c r="Q762" s="34"/>
      <c r="R762" s="37"/>
      <c r="S762" s="14" t="str">
        <f t="shared" si="70"/>
        <v/>
      </c>
    </row>
    <row r="763" spans="2:19" x14ac:dyDescent="0.2">
      <c r="B763" s="2" t="str">
        <f t="shared" si="71"/>
        <v/>
      </c>
      <c r="C763" s="2" t="str">
        <f t="shared" si="72"/>
        <v/>
      </c>
      <c r="D763" s="2" t="str">
        <f t="shared" si="68"/>
        <v>Y</v>
      </c>
      <c r="E763" s="2">
        <f t="shared" si="69"/>
        <v>0</v>
      </c>
      <c r="F763" s="2" t="str">
        <f t="shared" si="73"/>
        <v/>
      </c>
      <c r="H763" s="56" t="s">
        <v>760</v>
      </c>
      <c r="I763" s="28"/>
      <c r="J763" s="29"/>
      <c r="K763" s="29"/>
      <c r="L763" s="30"/>
      <c r="M763" s="30"/>
      <c r="N763" s="36"/>
      <c r="O763" s="32"/>
      <c r="P763" s="33"/>
      <c r="Q763" s="34"/>
      <c r="R763" s="37"/>
      <c r="S763" s="14" t="str">
        <f t="shared" si="70"/>
        <v/>
      </c>
    </row>
    <row r="764" spans="2:19" x14ac:dyDescent="0.2">
      <c r="B764" s="2" t="str">
        <f t="shared" si="71"/>
        <v/>
      </c>
      <c r="C764" s="2" t="str">
        <f t="shared" si="72"/>
        <v/>
      </c>
      <c r="D764" s="2" t="str">
        <f t="shared" si="68"/>
        <v>Y</v>
      </c>
      <c r="E764" s="2">
        <f t="shared" si="69"/>
        <v>0</v>
      </c>
      <c r="F764" s="2" t="str">
        <f t="shared" si="73"/>
        <v/>
      </c>
      <c r="H764" s="56" t="s">
        <v>761</v>
      </c>
      <c r="I764" s="28"/>
      <c r="J764" s="29"/>
      <c r="K764" s="29"/>
      <c r="L764" s="30"/>
      <c r="M764" s="30"/>
      <c r="N764" s="36"/>
      <c r="O764" s="32"/>
      <c r="P764" s="33"/>
      <c r="Q764" s="34"/>
      <c r="R764" s="37"/>
      <c r="S764" s="14" t="str">
        <f t="shared" si="70"/>
        <v/>
      </c>
    </row>
    <row r="765" spans="2:19" x14ac:dyDescent="0.2">
      <c r="B765" s="2" t="str">
        <f t="shared" si="71"/>
        <v/>
      </c>
      <c r="C765" s="2" t="str">
        <f t="shared" si="72"/>
        <v/>
      </c>
      <c r="D765" s="2" t="str">
        <f t="shared" si="68"/>
        <v>Y</v>
      </c>
      <c r="E765" s="2">
        <f t="shared" si="69"/>
        <v>0</v>
      </c>
      <c r="F765" s="2" t="str">
        <f t="shared" si="73"/>
        <v/>
      </c>
      <c r="H765" s="56" t="s">
        <v>762</v>
      </c>
      <c r="I765" s="28"/>
      <c r="J765" s="29"/>
      <c r="K765" s="29"/>
      <c r="L765" s="30"/>
      <c r="M765" s="30"/>
      <c r="N765" s="36"/>
      <c r="O765" s="32"/>
      <c r="P765" s="33"/>
      <c r="Q765" s="34"/>
      <c r="R765" s="37"/>
      <c r="S765" s="14" t="str">
        <f t="shared" si="70"/>
        <v/>
      </c>
    </row>
    <row r="766" spans="2:19" x14ac:dyDescent="0.2">
      <c r="B766" s="2" t="str">
        <f t="shared" si="71"/>
        <v/>
      </c>
      <c r="C766" s="2" t="str">
        <f t="shared" si="72"/>
        <v/>
      </c>
      <c r="D766" s="2" t="str">
        <f t="shared" si="68"/>
        <v>Y</v>
      </c>
      <c r="E766" s="2">
        <f t="shared" si="69"/>
        <v>0</v>
      </c>
      <c r="F766" s="2" t="str">
        <f t="shared" si="73"/>
        <v/>
      </c>
      <c r="H766" s="56" t="s">
        <v>763</v>
      </c>
      <c r="I766" s="28"/>
      <c r="J766" s="29"/>
      <c r="K766" s="29"/>
      <c r="L766" s="30"/>
      <c r="M766" s="30"/>
      <c r="N766" s="36"/>
      <c r="O766" s="32"/>
      <c r="P766" s="33"/>
      <c r="Q766" s="34"/>
      <c r="R766" s="37"/>
      <c r="S766" s="14" t="str">
        <f t="shared" si="70"/>
        <v/>
      </c>
    </row>
    <row r="767" spans="2:19" x14ac:dyDescent="0.2">
      <c r="B767" s="2" t="str">
        <f t="shared" si="71"/>
        <v/>
      </c>
      <c r="C767" s="2" t="str">
        <f t="shared" si="72"/>
        <v/>
      </c>
      <c r="D767" s="2" t="str">
        <f t="shared" si="68"/>
        <v>Y</v>
      </c>
      <c r="E767" s="2">
        <f t="shared" si="69"/>
        <v>0</v>
      </c>
      <c r="F767" s="2" t="str">
        <f t="shared" si="73"/>
        <v/>
      </c>
      <c r="H767" s="56" t="s">
        <v>764</v>
      </c>
      <c r="I767" s="28"/>
      <c r="J767" s="29"/>
      <c r="K767" s="29"/>
      <c r="L767" s="30"/>
      <c r="M767" s="30"/>
      <c r="N767" s="36"/>
      <c r="O767" s="32"/>
      <c r="P767" s="33"/>
      <c r="Q767" s="34"/>
      <c r="R767" s="37"/>
      <c r="S767" s="14" t="str">
        <f t="shared" si="70"/>
        <v/>
      </c>
    </row>
    <row r="768" spans="2:19" x14ac:dyDescent="0.2">
      <c r="B768" s="2" t="str">
        <f t="shared" si="71"/>
        <v/>
      </c>
      <c r="C768" s="2" t="str">
        <f t="shared" si="72"/>
        <v/>
      </c>
      <c r="D768" s="2" t="str">
        <f t="shared" si="68"/>
        <v>Y</v>
      </c>
      <c r="E768" s="2">
        <f t="shared" si="69"/>
        <v>0</v>
      </c>
      <c r="F768" s="2" t="str">
        <f t="shared" si="73"/>
        <v/>
      </c>
      <c r="H768" s="56" t="s">
        <v>765</v>
      </c>
      <c r="I768" s="28"/>
      <c r="J768" s="29"/>
      <c r="K768" s="29"/>
      <c r="L768" s="30"/>
      <c r="M768" s="30"/>
      <c r="N768" s="36"/>
      <c r="O768" s="32"/>
      <c r="P768" s="33"/>
      <c r="Q768" s="34"/>
      <c r="R768" s="37"/>
      <c r="S768" s="14" t="str">
        <f t="shared" si="70"/>
        <v/>
      </c>
    </row>
    <row r="769" spans="2:19" x14ac:dyDescent="0.2">
      <c r="B769" s="2" t="str">
        <f t="shared" si="71"/>
        <v/>
      </c>
      <c r="C769" s="2" t="str">
        <f t="shared" si="72"/>
        <v/>
      </c>
      <c r="D769" s="2" t="str">
        <f t="shared" si="68"/>
        <v>Y</v>
      </c>
      <c r="E769" s="2">
        <f t="shared" si="69"/>
        <v>0</v>
      </c>
      <c r="F769" s="2" t="str">
        <f t="shared" si="73"/>
        <v/>
      </c>
      <c r="H769" s="56" t="s">
        <v>766</v>
      </c>
      <c r="I769" s="28"/>
      <c r="J769" s="29"/>
      <c r="K769" s="29"/>
      <c r="L769" s="30"/>
      <c r="M769" s="30"/>
      <c r="N769" s="36"/>
      <c r="O769" s="32"/>
      <c r="P769" s="33"/>
      <c r="Q769" s="34"/>
      <c r="R769" s="37"/>
      <c r="S769" s="14" t="str">
        <f t="shared" si="70"/>
        <v/>
      </c>
    </row>
    <row r="770" spans="2:19" x14ac:dyDescent="0.2">
      <c r="B770" s="2" t="str">
        <f t="shared" si="71"/>
        <v/>
      </c>
      <c r="C770" s="2" t="str">
        <f t="shared" si="72"/>
        <v/>
      </c>
      <c r="D770" s="2" t="str">
        <f t="shared" si="68"/>
        <v>Y</v>
      </c>
      <c r="E770" s="2">
        <f t="shared" si="69"/>
        <v>0</v>
      </c>
      <c r="F770" s="2" t="str">
        <f t="shared" si="73"/>
        <v/>
      </c>
      <c r="H770" s="56" t="s">
        <v>767</v>
      </c>
      <c r="I770" s="28"/>
      <c r="J770" s="29"/>
      <c r="K770" s="29"/>
      <c r="L770" s="30"/>
      <c r="M770" s="30"/>
      <c r="N770" s="36"/>
      <c r="O770" s="32"/>
      <c r="P770" s="33"/>
      <c r="Q770" s="34"/>
      <c r="R770" s="37"/>
      <c r="S770" s="14" t="str">
        <f t="shared" si="70"/>
        <v/>
      </c>
    </row>
    <row r="771" spans="2:19" x14ac:dyDescent="0.2">
      <c r="B771" s="2" t="str">
        <f t="shared" si="71"/>
        <v/>
      </c>
      <c r="C771" s="2" t="str">
        <f t="shared" si="72"/>
        <v/>
      </c>
      <c r="D771" s="2" t="str">
        <f t="shared" si="68"/>
        <v>Y</v>
      </c>
      <c r="E771" s="2">
        <f t="shared" si="69"/>
        <v>0</v>
      </c>
      <c r="F771" s="2" t="str">
        <f t="shared" si="73"/>
        <v/>
      </c>
      <c r="H771" s="56" t="s">
        <v>768</v>
      </c>
      <c r="I771" s="28"/>
      <c r="J771" s="29"/>
      <c r="K771" s="29"/>
      <c r="L771" s="30"/>
      <c r="M771" s="30"/>
      <c r="N771" s="36"/>
      <c r="O771" s="32"/>
      <c r="P771" s="33"/>
      <c r="Q771" s="34"/>
      <c r="R771" s="37"/>
      <c r="S771" s="14" t="str">
        <f t="shared" si="70"/>
        <v/>
      </c>
    </row>
    <row r="772" spans="2:19" x14ac:dyDescent="0.2">
      <c r="B772" s="2" t="str">
        <f t="shared" si="71"/>
        <v/>
      </c>
      <c r="C772" s="2" t="str">
        <f t="shared" si="72"/>
        <v/>
      </c>
      <c r="D772" s="2" t="str">
        <f t="shared" si="68"/>
        <v>Y</v>
      </c>
      <c r="E772" s="2">
        <f t="shared" si="69"/>
        <v>0</v>
      </c>
      <c r="F772" s="2" t="str">
        <f t="shared" si="73"/>
        <v/>
      </c>
      <c r="H772" s="56" t="s">
        <v>769</v>
      </c>
      <c r="I772" s="28"/>
      <c r="J772" s="29"/>
      <c r="K772" s="29"/>
      <c r="L772" s="30"/>
      <c r="M772" s="30"/>
      <c r="N772" s="36"/>
      <c r="O772" s="32"/>
      <c r="P772" s="33"/>
      <c r="Q772" s="34"/>
      <c r="R772" s="37"/>
      <c r="S772" s="14" t="str">
        <f t="shared" si="70"/>
        <v/>
      </c>
    </row>
    <row r="773" spans="2:19" x14ac:dyDescent="0.2">
      <c r="B773" s="2" t="str">
        <f t="shared" si="71"/>
        <v/>
      </c>
      <c r="C773" s="2" t="str">
        <f t="shared" si="72"/>
        <v/>
      </c>
      <c r="D773" s="2" t="str">
        <f t="shared" si="68"/>
        <v>Y</v>
      </c>
      <c r="E773" s="2">
        <f t="shared" si="69"/>
        <v>0</v>
      </c>
      <c r="F773" s="2" t="str">
        <f t="shared" si="73"/>
        <v/>
      </c>
      <c r="H773" s="56" t="s">
        <v>770</v>
      </c>
      <c r="I773" s="28"/>
      <c r="J773" s="29"/>
      <c r="K773" s="29"/>
      <c r="L773" s="30"/>
      <c r="M773" s="30"/>
      <c r="N773" s="36"/>
      <c r="O773" s="32"/>
      <c r="P773" s="33"/>
      <c r="Q773" s="34"/>
      <c r="R773" s="37"/>
      <c r="S773" s="14" t="str">
        <f t="shared" si="70"/>
        <v/>
      </c>
    </row>
    <row r="774" spans="2:19" x14ac:dyDescent="0.2">
      <c r="B774" s="2" t="str">
        <f t="shared" si="71"/>
        <v/>
      </c>
      <c r="C774" s="2" t="str">
        <f t="shared" si="72"/>
        <v/>
      </c>
      <c r="D774" s="2" t="str">
        <f t="shared" si="68"/>
        <v>Y</v>
      </c>
      <c r="E774" s="2">
        <f t="shared" si="69"/>
        <v>0</v>
      </c>
      <c r="F774" s="2" t="str">
        <f t="shared" si="73"/>
        <v/>
      </c>
      <c r="H774" s="56" t="s">
        <v>771</v>
      </c>
      <c r="I774" s="28"/>
      <c r="J774" s="29"/>
      <c r="K774" s="29"/>
      <c r="L774" s="30"/>
      <c r="M774" s="30"/>
      <c r="N774" s="36"/>
      <c r="O774" s="32"/>
      <c r="P774" s="33"/>
      <c r="Q774" s="34"/>
      <c r="R774" s="37"/>
      <c r="S774" s="14" t="str">
        <f t="shared" si="70"/>
        <v/>
      </c>
    </row>
    <row r="775" spans="2:19" x14ac:dyDescent="0.2">
      <c r="B775" s="2" t="str">
        <f t="shared" si="71"/>
        <v/>
      </c>
      <c r="C775" s="2" t="str">
        <f t="shared" si="72"/>
        <v/>
      </c>
      <c r="D775" s="2" t="str">
        <f t="shared" si="68"/>
        <v>Y</v>
      </c>
      <c r="E775" s="2">
        <f t="shared" si="69"/>
        <v>0</v>
      </c>
      <c r="F775" s="2" t="str">
        <f t="shared" si="73"/>
        <v/>
      </c>
      <c r="H775" s="56" t="s">
        <v>772</v>
      </c>
      <c r="I775" s="28"/>
      <c r="J775" s="29"/>
      <c r="K775" s="29"/>
      <c r="L775" s="30"/>
      <c r="M775" s="30"/>
      <c r="N775" s="36"/>
      <c r="O775" s="32"/>
      <c r="P775" s="33"/>
      <c r="Q775" s="34"/>
      <c r="R775" s="37"/>
      <c r="S775" s="14" t="str">
        <f t="shared" si="70"/>
        <v/>
      </c>
    </row>
    <row r="776" spans="2:19" x14ac:dyDescent="0.2">
      <c r="B776" s="2" t="str">
        <f t="shared" si="71"/>
        <v/>
      </c>
      <c r="C776" s="2" t="str">
        <f t="shared" si="72"/>
        <v/>
      </c>
      <c r="D776" s="2" t="str">
        <f t="shared" si="68"/>
        <v>Y</v>
      </c>
      <c r="E776" s="2">
        <f t="shared" si="69"/>
        <v>0</v>
      </c>
      <c r="F776" s="2" t="str">
        <f t="shared" si="73"/>
        <v/>
      </c>
      <c r="H776" s="56" t="s">
        <v>773</v>
      </c>
      <c r="I776" s="28"/>
      <c r="J776" s="29"/>
      <c r="K776" s="29"/>
      <c r="L776" s="30"/>
      <c r="M776" s="30"/>
      <c r="N776" s="36"/>
      <c r="O776" s="32"/>
      <c r="P776" s="33"/>
      <c r="Q776" s="34"/>
      <c r="R776" s="37"/>
      <c r="S776" s="14" t="str">
        <f t="shared" si="70"/>
        <v/>
      </c>
    </row>
    <row r="777" spans="2:19" x14ac:dyDescent="0.2">
      <c r="B777" s="2" t="str">
        <f t="shared" si="71"/>
        <v/>
      </c>
      <c r="C777" s="2" t="str">
        <f t="shared" si="72"/>
        <v/>
      </c>
      <c r="D777" s="2" t="str">
        <f t="shared" si="68"/>
        <v>Y</v>
      </c>
      <c r="E777" s="2">
        <f t="shared" si="69"/>
        <v>0</v>
      </c>
      <c r="F777" s="2" t="str">
        <f t="shared" si="73"/>
        <v/>
      </c>
      <c r="H777" s="56" t="s">
        <v>774</v>
      </c>
      <c r="I777" s="28"/>
      <c r="J777" s="29"/>
      <c r="K777" s="29"/>
      <c r="L777" s="30"/>
      <c r="M777" s="30"/>
      <c r="N777" s="36"/>
      <c r="O777" s="32"/>
      <c r="P777" s="33"/>
      <c r="Q777" s="34"/>
      <c r="R777" s="37"/>
      <c r="S777" s="14" t="str">
        <f t="shared" si="70"/>
        <v/>
      </c>
    </row>
    <row r="778" spans="2:19" x14ac:dyDescent="0.2">
      <c r="B778" s="2" t="str">
        <f t="shared" si="71"/>
        <v/>
      </c>
      <c r="C778" s="2" t="str">
        <f t="shared" si="72"/>
        <v/>
      </c>
      <c r="D778" s="2" t="str">
        <f t="shared" si="68"/>
        <v>Y</v>
      </c>
      <c r="E778" s="2">
        <f t="shared" si="69"/>
        <v>0</v>
      </c>
      <c r="F778" s="2" t="str">
        <f t="shared" si="73"/>
        <v/>
      </c>
      <c r="H778" s="56" t="s">
        <v>775</v>
      </c>
      <c r="I778" s="28"/>
      <c r="J778" s="29"/>
      <c r="K778" s="29"/>
      <c r="L778" s="30"/>
      <c r="M778" s="30"/>
      <c r="N778" s="36"/>
      <c r="O778" s="32"/>
      <c r="P778" s="33"/>
      <c r="Q778" s="34"/>
      <c r="R778" s="37"/>
      <c r="S778" s="14" t="str">
        <f t="shared" si="70"/>
        <v/>
      </c>
    </row>
    <row r="779" spans="2:19" x14ac:dyDescent="0.2">
      <c r="B779" s="2" t="str">
        <f t="shared" si="71"/>
        <v/>
      </c>
      <c r="C779" s="2" t="str">
        <f t="shared" si="72"/>
        <v/>
      </c>
      <c r="D779" s="2" t="str">
        <f t="shared" ref="D779:D842" si="74">IF(OR(P779=Not_started,P779=In_progress),"N",IF(OR(P779=N_A,P779=Suspended,P779=Canceled),"","Y"))</f>
        <v>Y</v>
      </c>
      <c r="E779" s="2">
        <f t="shared" ref="E779:E842" si="75">IF(OR(P779=Not_started,P779=In_progress,P779=Applied,P779=Closed),1,0)</f>
        <v>0</v>
      </c>
      <c r="F779" s="2" t="str">
        <f t="shared" si="73"/>
        <v/>
      </c>
      <c r="H779" s="56" t="s">
        <v>776</v>
      </c>
      <c r="I779" s="28"/>
      <c r="J779" s="29"/>
      <c r="K779" s="29"/>
      <c r="L779" s="30"/>
      <c r="M779" s="30"/>
      <c r="N779" s="36"/>
      <c r="O779" s="32"/>
      <c r="P779" s="33"/>
      <c r="Q779" s="34"/>
      <c r="R779" s="37"/>
      <c r="S779" s="14" t="str">
        <f t="shared" ref="S779:S842" si="76">IF(ISERROR(VLOOKUP(K779,LB_PROJECTS,2,FALSE)),"",VLOOKUP(K779,LB_PROJECTS,2,FALSE))</f>
        <v/>
      </c>
    </row>
    <row r="780" spans="2:19" x14ac:dyDescent="0.2">
      <c r="B780" s="2" t="str">
        <f t="shared" ref="B780:B843" si="77">IF(N780="","",IF(WEEKNUM(N780)&lt;10,VALUE(CONCATENATE(YEAR(N780),"0",WEEKNUM(N780))),VALUE(CONCATENATE(YEAR(N780),WEEKNUM(N780)))))</f>
        <v/>
      </c>
      <c r="C780" s="2" t="str">
        <f t="shared" ref="C780:C843" si="78">IF(Q780="","",IF(WEEKNUM(Q780)&lt;10,VALUE(CONCATENATE(YEAR(Q780),"0",WEEKNUM(Q780))),VALUE(CONCATENATE(YEAR(Q780),WEEKNUM(Q780)))))</f>
        <v/>
      </c>
      <c r="D780" s="2" t="str">
        <f t="shared" si="74"/>
        <v>Y</v>
      </c>
      <c r="E780" s="2">
        <f t="shared" si="75"/>
        <v>0</v>
      </c>
      <c r="F780" s="2" t="str">
        <f t="shared" si="73"/>
        <v/>
      </c>
      <c r="H780" s="56" t="s">
        <v>777</v>
      </c>
      <c r="I780" s="28"/>
      <c r="J780" s="29"/>
      <c r="K780" s="29"/>
      <c r="L780" s="30"/>
      <c r="M780" s="30"/>
      <c r="N780" s="36"/>
      <c r="O780" s="32"/>
      <c r="P780" s="33"/>
      <c r="Q780" s="34"/>
      <c r="R780" s="37"/>
      <c r="S780" s="14" t="str">
        <f t="shared" si="76"/>
        <v/>
      </c>
    </row>
    <row r="781" spans="2:19" x14ac:dyDescent="0.2">
      <c r="B781" s="2" t="str">
        <f t="shared" si="77"/>
        <v/>
      </c>
      <c r="C781" s="2" t="str">
        <f t="shared" si="78"/>
        <v/>
      </c>
      <c r="D781" s="2" t="str">
        <f t="shared" si="74"/>
        <v>Y</v>
      </c>
      <c r="E781" s="2">
        <f t="shared" si="75"/>
        <v>0</v>
      </c>
      <c r="F781" s="2" t="str">
        <f t="shared" si="73"/>
        <v/>
      </c>
      <c r="H781" s="56" t="s">
        <v>778</v>
      </c>
      <c r="I781" s="28"/>
      <c r="J781" s="29"/>
      <c r="K781" s="29"/>
      <c r="L781" s="30"/>
      <c r="M781" s="30"/>
      <c r="N781" s="36"/>
      <c r="O781" s="32"/>
      <c r="P781" s="33"/>
      <c r="Q781" s="34"/>
      <c r="R781" s="37"/>
      <c r="S781" s="14" t="str">
        <f t="shared" si="76"/>
        <v/>
      </c>
    </row>
    <row r="782" spans="2:19" x14ac:dyDescent="0.2">
      <c r="B782" s="2" t="str">
        <f t="shared" si="77"/>
        <v/>
      </c>
      <c r="C782" s="2" t="str">
        <f t="shared" si="78"/>
        <v/>
      </c>
      <c r="D782" s="2" t="str">
        <f t="shared" si="74"/>
        <v>Y</v>
      </c>
      <c r="E782" s="2">
        <f t="shared" si="75"/>
        <v>0</v>
      </c>
      <c r="F782" s="2" t="str">
        <f t="shared" ref="F782:F845" si="79">IF(O782="",B782,IF(WEEKNUM(O782)&lt;10,VALUE(CONCATENATE(YEAR(O782),"0",WEEKNUM(O782))),VALUE(CONCATENATE(YEAR(O782),WEEKNUM(O782)))))</f>
        <v/>
      </c>
      <c r="H782" s="56" t="s">
        <v>779</v>
      </c>
      <c r="I782" s="28"/>
      <c r="J782" s="29"/>
      <c r="K782" s="29"/>
      <c r="L782" s="30"/>
      <c r="M782" s="30"/>
      <c r="N782" s="36"/>
      <c r="O782" s="32"/>
      <c r="P782" s="33"/>
      <c r="Q782" s="34"/>
      <c r="R782" s="37"/>
      <c r="S782" s="14" t="str">
        <f t="shared" si="76"/>
        <v/>
      </c>
    </row>
    <row r="783" spans="2:19" x14ac:dyDescent="0.2">
      <c r="B783" s="2" t="str">
        <f t="shared" si="77"/>
        <v/>
      </c>
      <c r="C783" s="2" t="str">
        <f t="shared" si="78"/>
        <v/>
      </c>
      <c r="D783" s="2" t="str">
        <f t="shared" si="74"/>
        <v>Y</v>
      </c>
      <c r="E783" s="2">
        <f t="shared" si="75"/>
        <v>0</v>
      </c>
      <c r="F783" s="2" t="str">
        <f t="shared" si="79"/>
        <v/>
      </c>
      <c r="H783" s="56" t="s">
        <v>780</v>
      </c>
      <c r="I783" s="28"/>
      <c r="J783" s="29"/>
      <c r="K783" s="29"/>
      <c r="L783" s="30"/>
      <c r="M783" s="30"/>
      <c r="N783" s="36"/>
      <c r="O783" s="32"/>
      <c r="P783" s="33"/>
      <c r="Q783" s="34"/>
      <c r="R783" s="37"/>
      <c r="S783" s="14" t="str">
        <f t="shared" si="76"/>
        <v/>
      </c>
    </row>
    <row r="784" spans="2:19" x14ac:dyDescent="0.2">
      <c r="B784" s="2" t="str">
        <f t="shared" si="77"/>
        <v/>
      </c>
      <c r="C784" s="2" t="str">
        <f t="shared" si="78"/>
        <v/>
      </c>
      <c r="D784" s="2" t="str">
        <f t="shared" si="74"/>
        <v>Y</v>
      </c>
      <c r="E784" s="2">
        <f t="shared" si="75"/>
        <v>0</v>
      </c>
      <c r="F784" s="2" t="str">
        <f t="shared" si="79"/>
        <v/>
      </c>
      <c r="H784" s="56" t="s">
        <v>781</v>
      </c>
      <c r="I784" s="28"/>
      <c r="J784" s="29"/>
      <c r="K784" s="29"/>
      <c r="L784" s="30"/>
      <c r="M784" s="30"/>
      <c r="N784" s="36"/>
      <c r="O784" s="32"/>
      <c r="P784" s="33"/>
      <c r="Q784" s="34"/>
      <c r="R784" s="37"/>
      <c r="S784" s="14" t="str">
        <f t="shared" si="76"/>
        <v/>
      </c>
    </row>
    <row r="785" spans="2:19" x14ac:dyDescent="0.2">
      <c r="B785" s="2" t="str">
        <f t="shared" si="77"/>
        <v/>
      </c>
      <c r="C785" s="2" t="str">
        <f t="shared" si="78"/>
        <v/>
      </c>
      <c r="D785" s="2" t="str">
        <f t="shared" si="74"/>
        <v>Y</v>
      </c>
      <c r="E785" s="2">
        <f t="shared" si="75"/>
        <v>0</v>
      </c>
      <c r="F785" s="2" t="str">
        <f t="shared" si="79"/>
        <v/>
      </c>
      <c r="H785" s="56" t="s">
        <v>782</v>
      </c>
      <c r="I785" s="28"/>
      <c r="J785" s="29"/>
      <c r="K785" s="29"/>
      <c r="L785" s="30"/>
      <c r="M785" s="30"/>
      <c r="N785" s="36"/>
      <c r="O785" s="32"/>
      <c r="P785" s="33"/>
      <c r="Q785" s="34"/>
      <c r="R785" s="37"/>
      <c r="S785" s="14" t="str">
        <f t="shared" si="76"/>
        <v/>
      </c>
    </row>
    <row r="786" spans="2:19" x14ac:dyDescent="0.2">
      <c r="B786" s="2" t="str">
        <f t="shared" si="77"/>
        <v/>
      </c>
      <c r="C786" s="2" t="str">
        <f t="shared" si="78"/>
        <v/>
      </c>
      <c r="D786" s="2" t="str">
        <f t="shared" si="74"/>
        <v>Y</v>
      </c>
      <c r="E786" s="2">
        <f t="shared" si="75"/>
        <v>0</v>
      </c>
      <c r="F786" s="2" t="str">
        <f t="shared" si="79"/>
        <v/>
      </c>
      <c r="H786" s="56" t="s">
        <v>783</v>
      </c>
      <c r="I786" s="28"/>
      <c r="J786" s="29"/>
      <c r="K786" s="29"/>
      <c r="L786" s="30"/>
      <c r="M786" s="30"/>
      <c r="N786" s="36"/>
      <c r="O786" s="32"/>
      <c r="P786" s="33"/>
      <c r="Q786" s="34"/>
      <c r="R786" s="37"/>
      <c r="S786" s="14" t="str">
        <f t="shared" si="76"/>
        <v/>
      </c>
    </row>
    <row r="787" spans="2:19" x14ac:dyDescent="0.2">
      <c r="B787" s="2" t="str">
        <f t="shared" si="77"/>
        <v/>
      </c>
      <c r="C787" s="2" t="str">
        <f t="shared" si="78"/>
        <v/>
      </c>
      <c r="D787" s="2" t="str">
        <f t="shared" si="74"/>
        <v>Y</v>
      </c>
      <c r="E787" s="2">
        <f t="shared" si="75"/>
        <v>0</v>
      </c>
      <c r="F787" s="2" t="str">
        <f t="shared" si="79"/>
        <v/>
      </c>
      <c r="H787" s="56" t="s">
        <v>784</v>
      </c>
      <c r="I787" s="28"/>
      <c r="J787" s="29"/>
      <c r="K787" s="29"/>
      <c r="L787" s="30"/>
      <c r="M787" s="30"/>
      <c r="N787" s="36"/>
      <c r="O787" s="32"/>
      <c r="P787" s="33"/>
      <c r="Q787" s="34"/>
      <c r="R787" s="37"/>
      <c r="S787" s="14" t="str">
        <f t="shared" si="76"/>
        <v/>
      </c>
    </row>
    <row r="788" spans="2:19" x14ac:dyDescent="0.2">
      <c r="B788" s="2" t="str">
        <f t="shared" si="77"/>
        <v/>
      </c>
      <c r="C788" s="2" t="str">
        <f t="shared" si="78"/>
        <v/>
      </c>
      <c r="D788" s="2" t="str">
        <f t="shared" si="74"/>
        <v>Y</v>
      </c>
      <c r="E788" s="2">
        <f t="shared" si="75"/>
        <v>0</v>
      </c>
      <c r="F788" s="2" t="str">
        <f t="shared" si="79"/>
        <v/>
      </c>
      <c r="H788" s="56" t="s">
        <v>785</v>
      </c>
      <c r="I788" s="28"/>
      <c r="J788" s="29"/>
      <c r="K788" s="29"/>
      <c r="L788" s="30"/>
      <c r="M788" s="30"/>
      <c r="N788" s="36"/>
      <c r="O788" s="32"/>
      <c r="P788" s="33"/>
      <c r="Q788" s="34"/>
      <c r="R788" s="37"/>
      <c r="S788" s="14" t="str">
        <f t="shared" si="76"/>
        <v/>
      </c>
    </row>
    <row r="789" spans="2:19" x14ac:dyDescent="0.2">
      <c r="B789" s="2" t="str">
        <f t="shared" si="77"/>
        <v/>
      </c>
      <c r="C789" s="2" t="str">
        <f t="shared" si="78"/>
        <v/>
      </c>
      <c r="D789" s="2" t="str">
        <f t="shared" si="74"/>
        <v>Y</v>
      </c>
      <c r="E789" s="2">
        <f t="shared" si="75"/>
        <v>0</v>
      </c>
      <c r="F789" s="2" t="str">
        <f t="shared" si="79"/>
        <v/>
      </c>
      <c r="H789" s="56" t="s">
        <v>786</v>
      </c>
      <c r="I789" s="28"/>
      <c r="J789" s="29"/>
      <c r="K789" s="29"/>
      <c r="L789" s="30"/>
      <c r="M789" s="30"/>
      <c r="N789" s="36"/>
      <c r="O789" s="32"/>
      <c r="P789" s="33"/>
      <c r="Q789" s="34"/>
      <c r="R789" s="37"/>
      <c r="S789" s="14" t="str">
        <f t="shared" si="76"/>
        <v/>
      </c>
    </row>
    <row r="790" spans="2:19" x14ac:dyDescent="0.2">
      <c r="B790" s="2" t="str">
        <f t="shared" si="77"/>
        <v/>
      </c>
      <c r="C790" s="2" t="str">
        <f t="shared" si="78"/>
        <v/>
      </c>
      <c r="D790" s="2" t="str">
        <f t="shared" si="74"/>
        <v>Y</v>
      </c>
      <c r="E790" s="2">
        <f t="shared" si="75"/>
        <v>0</v>
      </c>
      <c r="F790" s="2" t="str">
        <f t="shared" si="79"/>
        <v/>
      </c>
      <c r="H790" s="56" t="s">
        <v>787</v>
      </c>
      <c r="I790" s="28"/>
      <c r="J790" s="29"/>
      <c r="K790" s="29"/>
      <c r="L790" s="30"/>
      <c r="M790" s="30"/>
      <c r="N790" s="36"/>
      <c r="O790" s="32"/>
      <c r="P790" s="33"/>
      <c r="Q790" s="34"/>
      <c r="R790" s="37"/>
      <c r="S790" s="14" t="str">
        <f t="shared" si="76"/>
        <v/>
      </c>
    </row>
    <row r="791" spans="2:19" x14ac:dyDescent="0.2">
      <c r="B791" s="2" t="str">
        <f t="shared" si="77"/>
        <v/>
      </c>
      <c r="C791" s="2" t="str">
        <f t="shared" si="78"/>
        <v/>
      </c>
      <c r="D791" s="2" t="str">
        <f t="shared" si="74"/>
        <v>Y</v>
      </c>
      <c r="E791" s="2">
        <f t="shared" si="75"/>
        <v>0</v>
      </c>
      <c r="F791" s="2" t="str">
        <f t="shared" si="79"/>
        <v/>
      </c>
      <c r="H791" s="56" t="s">
        <v>788</v>
      </c>
      <c r="I791" s="28"/>
      <c r="J791" s="29"/>
      <c r="K791" s="29"/>
      <c r="L791" s="30"/>
      <c r="M791" s="30"/>
      <c r="N791" s="36"/>
      <c r="O791" s="32"/>
      <c r="P791" s="33"/>
      <c r="Q791" s="34"/>
      <c r="R791" s="37"/>
      <c r="S791" s="14" t="str">
        <f t="shared" si="76"/>
        <v/>
      </c>
    </row>
    <row r="792" spans="2:19" x14ac:dyDescent="0.2">
      <c r="B792" s="2" t="str">
        <f t="shared" si="77"/>
        <v/>
      </c>
      <c r="C792" s="2" t="str">
        <f t="shared" si="78"/>
        <v/>
      </c>
      <c r="D792" s="2" t="str">
        <f t="shared" si="74"/>
        <v>Y</v>
      </c>
      <c r="E792" s="2">
        <f t="shared" si="75"/>
        <v>0</v>
      </c>
      <c r="F792" s="2" t="str">
        <f t="shared" si="79"/>
        <v/>
      </c>
      <c r="H792" s="56" t="s">
        <v>789</v>
      </c>
      <c r="I792" s="28"/>
      <c r="J792" s="29"/>
      <c r="K792" s="29"/>
      <c r="L792" s="30"/>
      <c r="M792" s="30"/>
      <c r="N792" s="36"/>
      <c r="O792" s="32"/>
      <c r="P792" s="33"/>
      <c r="Q792" s="34"/>
      <c r="R792" s="37"/>
      <c r="S792" s="14" t="str">
        <f t="shared" si="76"/>
        <v/>
      </c>
    </row>
    <row r="793" spans="2:19" x14ac:dyDescent="0.2">
      <c r="B793" s="2" t="str">
        <f t="shared" si="77"/>
        <v/>
      </c>
      <c r="C793" s="2" t="str">
        <f t="shared" si="78"/>
        <v/>
      </c>
      <c r="D793" s="2" t="str">
        <f t="shared" si="74"/>
        <v>Y</v>
      </c>
      <c r="E793" s="2">
        <f t="shared" si="75"/>
        <v>0</v>
      </c>
      <c r="F793" s="2" t="str">
        <f t="shared" si="79"/>
        <v/>
      </c>
      <c r="H793" s="56" t="s">
        <v>790</v>
      </c>
      <c r="I793" s="28"/>
      <c r="J793" s="29"/>
      <c r="K793" s="29"/>
      <c r="L793" s="30"/>
      <c r="M793" s="30"/>
      <c r="N793" s="36"/>
      <c r="O793" s="32"/>
      <c r="P793" s="33"/>
      <c r="Q793" s="34"/>
      <c r="R793" s="37"/>
      <c r="S793" s="14" t="str">
        <f t="shared" si="76"/>
        <v/>
      </c>
    </row>
    <row r="794" spans="2:19" x14ac:dyDescent="0.2">
      <c r="B794" s="2" t="str">
        <f t="shared" si="77"/>
        <v/>
      </c>
      <c r="C794" s="2" t="str">
        <f t="shared" si="78"/>
        <v/>
      </c>
      <c r="D794" s="2" t="str">
        <f t="shared" si="74"/>
        <v>Y</v>
      </c>
      <c r="E794" s="2">
        <f t="shared" si="75"/>
        <v>0</v>
      </c>
      <c r="F794" s="2" t="str">
        <f t="shared" si="79"/>
        <v/>
      </c>
      <c r="H794" s="56" t="s">
        <v>791</v>
      </c>
      <c r="I794" s="28"/>
      <c r="J794" s="29"/>
      <c r="K794" s="29"/>
      <c r="L794" s="30"/>
      <c r="M794" s="30"/>
      <c r="N794" s="36"/>
      <c r="O794" s="32"/>
      <c r="P794" s="33"/>
      <c r="Q794" s="34"/>
      <c r="R794" s="37"/>
      <c r="S794" s="14" t="str">
        <f t="shared" si="76"/>
        <v/>
      </c>
    </row>
    <row r="795" spans="2:19" x14ac:dyDescent="0.2">
      <c r="B795" s="2" t="str">
        <f t="shared" si="77"/>
        <v/>
      </c>
      <c r="C795" s="2" t="str">
        <f t="shared" si="78"/>
        <v/>
      </c>
      <c r="D795" s="2" t="str">
        <f t="shared" si="74"/>
        <v>Y</v>
      </c>
      <c r="E795" s="2">
        <f t="shared" si="75"/>
        <v>0</v>
      </c>
      <c r="F795" s="2" t="str">
        <f t="shared" si="79"/>
        <v/>
      </c>
      <c r="H795" s="56" t="s">
        <v>792</v>
      </c>
      <c r="I795" s="28"/>
      <c r="J795" s="29"/>
      <c r="K795" s="29"/>
      <c r="L795" s="30"/>
      <c r="M795" s="30"/>
      <c r="N795" s="36"/>
      <c r="O795" s="32"/>
      <c r="P795" s="33"/>
      <c r="Q795" s="34"/>
      <c r="R795" s="37"/>
      <c r="S795" s="14" t="str">
        <f t="shared" si="76"/>
        <v/>
      </c>
    </row>
    <row r="796" spans="2:19" x14ac:dyDescent="0.2">
      <c r="B796" s="2" t="str">
        <f t="shared" si="77"/>
        <v/>
      </c>
      <c r="C796" s="2" t="str">
        <f t="shared" si="78"/>
        <v/>
      </c>
      <c r="D796" s="2" t="str">
        <f t="shared" si="74"/>
        <v>Y</v>
      </c>
      <c r="E796" s="2">
        <f t="shared" si="75"/>
        <v>0</v>
      </c>
      <c r="F796" s="2" t="str">
        <f t="shared" si="79"/>
        <v/>
      </c>
      <c r="H796" s="56" t="s">
        <v>793</v>
      </c>
      <c r="I796" s="28"/>
      <c r="J796" s="29"/>
      <c r="K796" s="29"/>
      <c r="L796" s="30"/>
      <c r="M796" s="30"/>
      <c r="N796" s="36"/>
      <c r="O796" s="32"/>
      <c r="P796" s="33"/>
      <c r="Q796" s="34"/>
      <c r="R796" s="37"/>
      <c r="S796" s="14" t="str">
        <f t="shared" si="76"/>
        <v/>
      </c>
    </row>
    <row r="797" spans="2:19" x14ac:dyDescent="0.2">
      <c r="B797" s="2" t="str">
        <f t="shared" si="77"/>
        <v/>
      </c>
      <c r="C797" s="2" t="str">
        <f t="shared" si="78"/>
        <v/>
      </c>
      <c r="D797" s="2" t="str">
        <f t="shared" si="74"/>
        <v>Y</v>
      </c>
      <c r="E797" s="2">
        <f t="shared" si="75"/>
        <v>0</v>
      </c>
      <c r="F797" s="2" t="str">
        <f t="shared" si="79"/>
        <v/>
      </c>
      <c r="H797" s="56" t="s">
        <v>794</v>
      </c>
      <c r="I797" s="28"/>
      <c r="J797" s="29"/>
      <c r="K797" s="29"/>
      <c r="L797" s="30"/>
      <c r="M797" s="30"/>
      <c r="N797" s="36"/>
      <c r="O797" s="32"/>
      <c r="P797" s="33"/>
      <c r="Q797" s="34"/>
      <c r="R797" s="37"/>
      <c r="S797" s="14" t="str">
        <f t="shared" si="76"/>
        <v/>
      </c>
    </row>
    <row r="798" spans="2:19" x14ac:dyDescent="0.2">
      <c r="B798" s="2" t="str">
        <f t="shared" si="77"/>
        <v/>
      </c>
      <c r="C798" s="2" t="str">
        <f t="shared" si="78"/>
        <v/>
      </c>
      <c r="D798" s="2" t="str">
        <f t="shared" si="74"/>
        <v>Y</v>
      </c>
      <c r="E798" s="2">
        <f t="shared" si="75"/>
        <v>0</v>
      </c>
      <c r="F798" s="2" t="str">
        <f t="shared" si="79"/>
        <v/>
      </c>
      <c r="H798" s="56" t="s">
        <v>795</v>
      </c>
      <c r="I798" s="28"/>
      <c r="J798" s="29"/>
      <c r="K798" s="29"/>
      <c r="L798" s="30"/>
      <c r="M798" s="30"/>
      <c r="N798" s="36"/>
      <c r="O798" s="32"/>
      <c r="P798" s="33"/>
      <c r="Q798" s="34"/>
      <c r="R798" s="37"/>
      <c r="S798" s="14" t="str">
        <f t="shared" si="76"/>
        <v/>
      </c>
    </row>
    <row r="799" spans="2:19" x14ac:dyDescent="0.2">
      <c r="B799" s="2" t="str">
        <f t="shared" si="77"/>
        <v/>
      </c>
      <c r="C799" s="2" t="str">
        <f t="shared" si="78"/>
        <v/>
      </c>
      <c r="D799" s="2" t="str">
        <f t="shared" si="74"/>
        <v>Y</v>
      </c>
      <c r="E799" s="2">
        <f t="shared" si="75"/>
        <v>0</v>
      </c>
      <c r="F799" s="2" t="str">
        <f t="shared" si="79"/>
        <v/>
      </c>
      <c r="H799" s="56" t="s">
        <v>796</v>
      </c>
      <c r="I799" s="28"/>
      <c r="J799" s="29"/>
      <c r="K799" s="29"/>
      <c r="L799" s="30"/>
      <c r="M799" s="30"/>
      <c r="N799" s="36"/>
      <c r="O799" s="32"/>
      <c r="P799" s="33"/>
      <c r="Q799" s="34"/>
      <c r="R799" s="37"/>
      <c r="S799" s="14" t="str">
        <f t="shared" si="76"/>
        <v/>
      </c>
    </row>
    <row r="800" spans="2:19" x14ac:dyDescent="0.2">
      <c r="B800" s="2" t="str">
        <f t="shared" si="77"/>
        <v/>
      </c>
      <c r="C800" s="2" t="str">
        <f t="shared" si="78"/>
        <v/>
      </c>
      <c r="D800" s="2" t="str">
        <f t="shared" si="74"/>
        <v>Y</v>
      </c>
      <c r="E800" s="2">
        <f t="shared" si="75"/>
        <v>0</v>
      </c>
      <c r="F800" s="2" t="str">
        <f t="shared" si="79"/>
        <v/>
      </c>
      <c r="H800" s="56" t="s">
        <v>797</v>
      </c>
      <c r="I800" s="28"/>
      <c r="J800" s="29"/>
      <c r="K800" s="29"/>
      <c r="L800" s="30"/>
      <c r="M800" s="30"/>
      <c r="N800" s="36"/>
      <c r="O800" s="32"/>
      <c r="P800" s="33"/>
      <c r="Q800" s="34"/>
      <c r="R800" s="37"/>
      <c r="S800" s="14" t="str">
        <f t="shared" si="76"/>
        <v/>
      </c>
    </row>
    <row r="801" spans="2:19" x14ac:dyDescent="0.2">
      <c r="B801" s="2" t="str">
        <f t="shared" si="77"/>
        <v/>
      </c>
      <c r="C801" s="2" t="str">
        <f t="shared" si="78"/>
        <v/>
      </c>
      <c r="D801" s="2" t="str">
        <f t="shared" si="74"/>
        <v>Y</v>
      </c>
      <c r="E801" s="2">
        <f t="shared" si="75"/>
        <v>0</v>
      </c>
      <c r="F801" s="2" t="str">
        <f t="shared" si="79"/>
        <v/>
      </c>
      <c r="H801" s="56" t="s">
        <v>798</v>
      </c>
      <c r="I801" s="28"/>
      <c r="J801" s="29"/>
      <c r="K801" s="29"/>
      <c r="L801" s="30"/>
      <c r="M801" s="30"/>
      <c r="N801" s="36"/>
      <c r="O801" s="32"/>
      <c r="P801" s="33"/>
      <c r="Q801" s="34"/>
      <c r="R801" s="37"/>
      <c r="S801" s="14" t="str">
        <f t="shared" si="76"/>
        <v/>
      </c>
    </row>
    <row r="802" spans="2:19" x14ac:dyDescent="0.2">
      <c r="B802" s="2" t="str">
        <f t="shared" si="77"/>
        <v/>
      </c>
      <c r="C802" s="2" t="str">
        <f t="shared" si="78"/>
        <v/>
      </c>
      <c r="D802" s="2" t="str">
        <f t="shared" si="74"/>
        <v>Y</v>
      </c>
      <c r="E802" s="2">
        <f t="shared" si="75"/>
        <v>0</v>
      </c>
      <c r="F802" s="2" t="str">
        <f t="shared" si="79"/>
        <v/>
      </c>
      <c r="H802" s="56" t="s">
        <v>799</v>
      </c>
      <c r="I802" s="28"/>
      <c r="J802" s="29"/>
      <c r="K802" s="29"/>
      <c r="L802" s="30"/>
      <c r="M802" s="30"/>
      <c r="N802" s="36"/>
      <c r="O802" s="32"/>
      <c r="P802" s="33"/>
      <c r="Q802" s="34"/>
      <c r="R802" s="37"/>
      <c r="S802" s="14" t="str">
        <f t="shared" si="76"/>
        <v/>
      </c>
    </row>
    <row r="803" spans="2:19" x14ac:dyDescent="0.2">
      <c r="B803" s="2" t="str">
        <f t="shared" si="77"/>
        <v/>
      </c>
      <c r="C803" s="2" t="str">
        <f t="shared" si="78"/>
        <v/>
      </c>
      <c r="D803" s="2" t="str">
        <f t="shared" si="74"/>
        <v>Y</v>
      </c>
      <c r="E803" s="2">
        <f t="shared" si="75"/>
        <v>0</v>
      </c>
      <c r="F803" s="2" t="str">
        <f t="shared" si="79"/>
        <v/>
      </c>
      <c r="H803" s="56" t="s">
        <v>800</v>
      </c>
      <c r="I803" s="28"/>
      <c r="J803" s="29"/>
      <c r="K803" s="29"/>
      <c r="L803" s="30"/>
      <c r="M803" s="30"/>
      <c r="N803" s="36"/>
      <c r="O803" s="32"/>
      <c r="P803" s="33"/>
      <c r="Q803" s="34"/>
      <c r="R803" s="37"/>
      <c r="S803" s="14" t="str">
        <f t="shared" si="76"/>
        <v/>
      </c>
    </row>
    <row r="804" spans="2:19" x14ac:dyDescent="0.2">
      <c r="B804" s="2" t="str">
        <f t="shared" si="77"/>
        <v/>
      </c>
      <c r="C804" s="2" t="str">
        <f t="shared" si="78"/>
        <v/>
      </c>
      <c r="D804" s="2" t="str">
        <f t="shared" si="74"/>
        <v>Y</v>
      </c>
      <c r="E804" s="2">
        <f t="shared" si="75"/>
        <v>0</v>
      </c>
      <c r="F804" s="2" t="str">
        <f t="shared" si="79"/>
        <v/>
      </c>
      <c r="H804" s="56" t="s">
        <v>801</v>
      </c>
      <c r="I804" s="28"/>
      <c r="J804" s="29"/>
      <c r="K804" s="29"/>
      <c r="L804" s="30"/>
      <c r="M804" s="30"/>
      <c r="N804" s="36"/>
      <c r="O804" s="32"/>
      <c r="P804" s="33"/>
      <c r="Q804" s="34"/>
      <c r="R804" s="37"/>
      <c r="S804" s="14" t="str">
        <f t="shared" si="76"/>
        <v/>
      </c>
    </row>
    <row r="805" spans="2:19" x14ac:dyDescent="0.2">
      <c r="B805" s="2" t="str">
        <f t="shared" si="77"/>
        <v/>
      </c>
      <c r="C805" s="2" t="str">
        <f t="shared" si="78"/>
        <v/>
      </c>
      <c r="D805" s="2" t="str">
        <f t="shared" si="74"/>
        <v>Y</v>
      </c>
      <c r="E805" s="2">
        <f t="shared" si="75"/>
        <v>0</v>
      </c>
      <c r="F805" s="2" t="str">
        <f t="shared" si="79"/>
        <v/>
      </c>
      <c r="H805" s="56" t="s">
        <v>802</v>
      </c>
      <c r="I805" s="28"/>
      <c r="J805" s="29"/>
      <c r="K805" s="29"/>
      <c r="L805" s="30"/>
      <c r="M805" s="30"/>
      <c r="N805" s="36"/>
      <c r="O805" s="32"/>
      <c r="P805" s="33"/>
      <c r="Q805" s="34"/>
      <c r="R805" s="37"/>
      <c r="S805" s="14" t="str">
        <f t="shared" si="76"/>
        <v/>
      </c>
    </row>
    <row r="806" spans="2:19" x14ac:dyDescent="0.2">
      <c r="B806" s="2" t="str">
        <f t="shared" si="77"/>
        <v/>
      </c>
      <c r="C806" s="2" t="str">
        <f t="shared" si="78"/>
        <v/>
      </c>
      <c r="D806" s="2" t="str">
        <f t="shared" si="74"/>
        <v>Y</v>
      </c>
      <c r="E806" s="2">
        <f t="shared" si="75"/>
        <v>0</v>
      </c>
      <c r="F806" s="2" t="str">
        <f t="shared" si="79"/>
        <v/>
      </c>
      <c r="H806" s="56" t="s">
        <v>803</v>
      </c>
      <c r="I806" s="28"/>
      <c r="J806" s="29"/>
      <c r="K806" s="29"/>
      <c r="L806" s="30"/>
      <c r="M806" s="30"/>
      <c r="N806" s="36"/>
      <c r="O806" s="32"/>
      <c r="P806" s="33"/>
      <c r="Q806" s="34"/>
      <c r="R806" s="37"/>
      <c r="S806" s="14" t="str">
        <f t="shared" si="76"/>
        <v/>
      </c>
    </row>
    <row r="807" spans="2:19" x14ac:dyDescent="0.2">
      <c r="B807" s="2" t="str">
        <f t="shared" si="77"/>
        <v/>
      </c>
      <c r="C807" s="2" t="str">
        <f t="shared" si="78"/>
        <v/>
      </c>
      <c r="D807" s="2" t="str">
        <f t="shared" si="74"/>
        <v>Y</v>
      </c>
      <c r="E807" s="2">
        <f t="shared" si="75"/>
        <v>0</v>
      </c>
      <c r="F807" s="2" t="str">
        <f t="shared" si="79"/>
        <v/>
      </c>
      <c r="H807" s="56" t="s">
        <v>804</v>
      </c>
      <c r="I807" s="28"/>
      <c r="J807" s="29"/>
      <c r="K807" s="29"/>
      <c r="L807" s="30"/>
      <c r="M807" s="30"/>
      <c r="N807" s="36"/>
      <c r="O807" s="32"/>
      <c r="P807" s="33"/>
      <c r="Q807" s="34"/>
      <c r="R807" s="37"/>
      <c r="S807" s="14" t="str">
        <f t="shared" si="76"/>
        <v/>
      </c>
    </row>
    <row r="808" spans="2:19" x14ac:dyDescent="0.2">
      <c r="B808" s="2" t="str">
        <f t="shared" si="77"/>
        <v/>
      </c>
      <c r="C808" s="2" t="str">
        <f t="shared" si="78"/>
        <v/>
      </c>
      <c r="D808" s="2" t="str">
        <f t="shared" si="74"/>
        <v>Y</v>
      </c>
      <c r="E808" s="2">
        <f t="shared" si="75"/>
        <v>0</v>
      </c>
      <c r="F808" s="2" t="str">
        <f t="shared" si="79"/>
        <v/>
      </c>
      <c r="H808" s="56" t="s">
        <v>805</v>
      </c>
      <c r="I808" s="28"/>
      <c r="J808" s="29"/>
      <c r="K808" s="29"/>
      <c r="L808" s="30"/>
      <c r="M808" s="30"/>
      <c r="N808" s="36"/>
      <c r="O808" s="32"/>
      <c r="P808" s="33"/>
      <c r="Q808" s="34"/>
      <c r="R808" s="37"/>
      <c r="S808" s="14" t="str">
        <f t="shared" si="76"/>
        <v/>
      </c>
    </row>
    <row r="809" spans="2:19" x14ac:dyDescent="0.2">
      <c r="B809" s="2" t="str">
        <f t="shared" si="77"/>
        <v/>
      </c>
      <c r="C809" s="2" t="str">
        <f t="shared" si="78"/>
        <v/>
      </c>
      <c r="D809" s="2" t="str">
        <f t="shared" si="74"/>
        <v>Y</v>
      </c>
      <c r="E809" s="2">
        <f t="shared" si="75"/>
        <v>0</v>
      </c>
      <c r="F809" s="2" t="str">
        <f t="shared" si="79"/>
        <v/>
      </c>
      <c r="H809" s="56" t="s">
        <v>806</v>
      </c>
      <c r="I809" s="28"/>
      <c r="J809" s="29"/>
      <c r="K809" s="29"/>
      <c r="L809" s="30"/>
      <c r="M809" s="30"/>
      <c r="N809" s="36"/>
      <c r="O809" s="32"/>
      <c r="P809" s="33"/>
      <c r="Q809" s="34"/>
      <c r="R809" s="37"/>
      <c r="S809" s="14" t="str">
        <f t="shared" si="76"/>
        <v/>
      </c>
    </row>
    <row r="810" spans="2:19" x14ac:dyDescent="0.2">
      <c r="B810" s="2" t="str">
        <f t="shared" si="77"/>
        <v/>
      </c>
      <c r="C810" s="2" t="str">
        <f t="shared" si="78"/>
        <v/>
      </c>
      <c r="D810" s="2" t="str">
        <f t="shared" si="74"/>
        <v>Y</v>
      </c>
      <c r="E810" s="2">
        <f t="shared" si="75"/>
        <v>0</v>
      </c>
      <c r="F810" s="2" t="str">
        <f t="shared" si="79"/>
        <v/>
      </c>
      <c r="H810" s="56" t="s">
        <v>807</v>
      </c>
      <c r="I810" s="28"/>
      <c r="J810" s="29"/>
      <c r="K810" s="29"/>
      <c r="L810" s="30"/>
      <c r="M810" s="30"/>
      <c r="N810" s="36"/>
      <c r="O810" s="32"/>
      <c r="P810" s="33"/>
      <c r="Q810" s="34"/>
      <c r="R810" s="37"/>
      <c r="S810" s="14" t="str">
        <f t="shared" si="76"/>
        <v/>
      </c>
    </row>
    <row r="811" spans="2:19" x14ac:dyDescent="0.2">
      <c r="B811" s="2" t="str">
        <f t="shared" si="77"/>
        <v/>
      </c>
      <c r="C811" s="2" t="str">
        <f t="shared" si="78"/>
        <v/>
      </c>
      <c r="D811" s="2" t="str">
        <f t="shared" si="74"/>
        <v>Y</v>
      </c>
      <c r="E811" s="2">
        <f t="shared" si="75"/>
        <v>0</v>
      </c>
      <c r="F811" s="2" t="str">
        <f t="shared" si="79"/>
        <v/>
      </c>
      <c r="H811" s="56" t="s">
        <v>808</v>
      </c>
      <c r="I811" s="28"/>
      <c r="J811" s="29"/>
      <c r="K811" s="29"/>
      <c r="L811" s="30"/>
      <c r="M811" s="30"/>
      <c r="N811" s="36"/>
      <c r="O811" s="32"/>
      <c r="P811" s="33"/>
      <c r="Q811" s="34"/>
      <c r="R811" s="37"/>
      <c r="S811" s="14" t="str">
        <f t="shared" si="76"/>
        <v/>
      </c>
    </row>
    <row r="812" spans="2:19" x14ac:dyDescent="0.2">
      <c r="B812" s="2" t="str">
        <f t="shared" si="77"/>
        <v/>
      </c>
      <c r="C812" s="2" t="str">
        <f t="shared" si="78"/>
        <v/>
      </c>
      <c r="D812" s="2" t="str">
        <f t="shared" si="74"/>
        <v>Y</v>
      </c>
      <c r="E812" s="2">
        <f t="shared" si="75"/>
        <v>0</v>
      </c>
      <c r="F812" s="2" t="str">
        <f t="shared" si="79"/>
        <v/>
      </c>
      <c r="H812" s="56" t="s">
        <v>809</v>
      </c>
      <c r="I812" s="28"/>
      <c r="J812" s="29"/>
      <c r="K812" s="29"/>
      <c r="L812" s="30"/>
      <c r="M812" s="30"/>
      <c r="N812" s="36"/>
      <c r="O812" s="32"/>
      <c r="P812" s="33"/>
      <c r="Q812" s="34"/>
      <c r="R812" s="37"/>
      <c r="S812" s="14" t="str">
        <f t="shared" si="76"/>
        <v/>
      </c>
    </row>
    <row r="813" spans="2:19" x14ac:dyDescent="0.2">
      <c r="B813" s="2" t="str">
        <f t="shared" si="77"/>
        <v/>
      </c>
      <c r="C813" s="2" t="str">
        <f t="shared" si="78"/>
        <v/>
      </c>
      <c r="D813" s="2" t="str">
        <f t="shared" si="74"/>
        <v>Y</v>
      </c>
      <c r="E813" s="2">
        <f t="shared" si="75"/>
        <v>0</v>
      </c>
      <c r="F813" s="2" t="str">
        <f t="shared" si="79"/>
        <v/>
      </c>
      <c r="H813" s="56" t="s">
        <v>810</v>
      </c>
      <c r="I813" s="28"/>
      <c r="J813" s="29"/>
      <c r="K813" s="29"/>
      <c r="L813" s="30"/>
      <c r="M813" s="30"/>
      <c r="N813" s="36"/>
      <c r="O813" s="32"/>
      <c r="P813" s="33"/>
      <c r="Q813" s="34"/>
      <c r="R813" s="37"/>
      <c r="S813" s="14" t="str">
        <f t="shared" si="76"/>
        <v/>
      </c>
    </row>
    <row r="814" spans="2:19" x14ac:dyDescent="0.2">
      <c r="B814" s="2" t="str">
        <f t="shared" si="77"/>
        <v/>
      </c>
      <c r="C814" s="2" t="str">
        <f t="shared" si="78"/>
        <v/>
      </c>
      <c r="D814" s="2" t="str">
        <f t="shared" si="74"/>
        <v>Y</v>
      </c>
      <c r="E814" s="2">
        <f t="shared" si="75"/>
        <v>0</v>
      </c>
      <c r="F814" s="2" t="str">
        <f t="shared" si="79"/>
        <v/>
      </c>
      <c r="H814" s="56" t="s">
        <v>811</v>
      </c>
      <c r="I814" s="28"/>
      <c r="J814" s="29"/>
      <c r="K814" s="29"/>
      <c r="L814" s="30"/>
      <c r="M814" s="30"/>
      <c r="N814" s="36"/>
      <c r="O814" s="32"/>
      <c r="P814" s="33"/>
      <c r="Q814" s="34"/>
      <c r="R814" s="37"/>
      <c r="S814" s="14" t="str">
        <f t="shared" si="76"/>
        <v/>
      </c>
    </row>
    <row r="815" spans="2:19" x14ac:dyDescent="0.2">
      <c r="B815" s="2" t="str">
        <f t="shared" si="77"/>
        <v/>
      </c>
      <c r="C815" s="2" t="str">
        <f t="shared" si="78"/>
        <v/>
      </c>
      <c r="D815" s="2" t="str">
        <f t="shared" si="74"/>
        <v>Y</v>
      </c>
      <c r="E815" s="2">
        <f t="shared" si="75"/>
        <v>0</v>
      </c>
      <c r="F815" s="2" t="str">
        <f t="shared" si="79"/>
        <v/>
      </c>
      <c r="H815" s="56" t="s">
        <v>812</v>
      </c>
      <c r="I815" s="28"/>
      <c r="J815" s="29"/>
      <c r="K815" s="29"/>
      <c r="L815" s="30"/>
      <c r="M815" s="30"/>
      <c r="N815" s="36"/>
      <c r="O815" s="32"/>
      <c r="P815" s="33"/>
      <c r="Q815" s="34"/>
      <c r="R815" s="37"/>
      <c r="S815" s="14" t="str">
        <f t="shared" si="76"/>
        <v/>
      </c>
    </row>
    <row r="816" spans="2:19" x14ac:dyDescent="0.2">
      <c r="B816" s="2" t="str">
        <f t="shared" si="77"/>
        <v/>
      </c>
      <c r="C816" s="2" t="str">
        <f t="shared" si="78"/>
        <v/>
      </c>
      <c r="D816" s="2" t="str">
        <f t="shared" si="74"/>
        <v>Y</v>
      </c>
      <c r="E816" s="2">
        <f t="shared" si="75"/>
        <v>0</v>
      </c>
      <c r="F816" s="2" t="str">
        <f t="shared" si="79"/>
        <v/>
      </c>
      <c r="H816" s="56" t="s">
        <v>813</v>
      </c>
      <c r="I816" s="28"/>
      <c r="J816" s="29"/>
      <c r="K816" s="29"/>
      <c r="L816" s="30"/>
      <c r="M816" s="30"/>
      <c r="N816" s="36"/>
      <c r="O816" s="32"/>
      <c r="P816" s="33"/>
      <c r="Q816" s="34"/>
      <c r="R816" s="37"/>
      <c r="S816" s="14" t="str">
        <f t="shared" si="76"/>
        <v/>
      </c>
    </row>
    <row r="817" spans="2:19" x14ac:dyDescent="0.2">
      <c r="B817" s="2" t="str">
        <f t="shared" si="77"/>
        <v/>
      </c>
      <c r="C817" s="2" t="str">
        <f t="shared" si="78"/>
        <v/>
      </c>
      <c r="D817" s="2" t="str">
        <f t="shared" si="74"/>
        <v>Y</v>
      </c>
      <c r="E817" s="2">
        <f t="shared" si="75"/>
        <v>0</v>
      </c>
      <c r="F817" s="2" t="str">
        <f t="shared" si="79"/>
        <v/>
      </c>
      <c r="H817" s="56" t="s">
        <v>814</v>
      </c>
      <c r="I817" s="28"/>
      <c r="J817" s="29"/>
      <c r="K817" s="29"/>
      <c r="L817" s="30"/>
      <c r="M817" s="30"/>
      <c r="N817" s="36"/>
      <c r="O817" s="32"/>
      <c r="P817" s="33"/>
      <c r="Q817" s="34"/>
      <c r="R817" s="37"/>
      <c r="S817" s="14" t="str">
        <f t="shared" si="76"/>
        <v/>
      </c>
    </row>
    <row r="818" spans="2:19" x14ac:dyDescent="0.2">
      <c r="B818" s="2" t="str">
        <f t="shared" si="77"/>
        <v/>
      </c>
      <c r="C818" s="2" t="str">
        <f t="shared" si="78"/>
        <v/>
      </c>
      <c r="D818" s="2" t="str">
        <f t="shared" si="74"/>
        <v>Y</v>
      </c>
      <c r="E818" s="2">
        <f t="shared" si="75"/>
        <v>0</v>
      </c>
      <c r="F818" s="2" t="str">
        <f t="shared" si="79"/>
        <v/>
      </c>
      <c r="H818" s="56" t="s">
        <v>815</v>
      </c>
      <c r="I818" s="28"/>
      <c r="J818" s="29"/>
      <c r="K818" s="29"/>
      <c r="L818" s="30"/>
      <c r="M818" s="30"/>
      <c r="N818" s="36"/>
      <c r="O818" s="32"/>
      <c r="P818" s="33"/>
      <c r="Q818" s="34"/>
      <c r="R818" s="37"/>
      <c r="S818" s="14" t="str">
        <f t="shared" si="76"/>
        <v/>
      </c>
    </row>
    <row r="819" spans="2:19" x14ac:dyDescent="0.2">
      <c r="B819" s="2" t="str">
        <f t="shared" si="77"/>
        <v/>
      </c>
      <c r="C819" s="2" t="str">
        <f t="shared" si="78"/>
        <v/>
      </c>
      <c r="D819" s="2" t="str">
        <f t="shared" si="74"/>
        <v>Y</v>
      </c>
      <c r="E819" s="2">
        <f t="shared" si="75"/>
        <v>0</v>
      </c>
      <c r="F819" s="2" t="str">
        <f t="shared" si="79"/>
        <v/>
      </c>
      <c r="H819" s="56" t="s">
        <v>816</v>
      </c>
      <c r="I819" s="28"/>
      <c r="J819" s="29"/>
      <c r="K819" s="29"/>
      <c r="L819" s="30"/>
      <c r="M819" s="30"/>
      <c r="N819" s="36"/>
      <c r="O819" s="32"/>
      <c r="P819" s="33"/>
      <c r="Q819" s="34"/>
      <c r="R819" s="37"/>
      <c r="S819" s="14" t="str">
        <f t="shared" si="76"/>
        <v/>
      </c>
    </row>
    <row r="820" spans="2:19" x14ac:dyDescent="0.2">
      <c r="B820" s="2" t="str">
        <f t="shared" si="77"/>
        <v/>
      </c>
      <c r="C820" s="2" t="str">
        <f t="shared" si="78"/>
        <v/>
      </c>
      <c r="D820" s="2" t="str">
        <f t="shared" si="74"/>
        <v>Y</v>
      </c>
      <c r="E820" s="2">
        <f t="shared" si="75"/>
        <v>0</v>
      </c>
      <c r="F820" s="2" t="str">
        <f t="shared" si="79"/>
        <v/>
      </c>
      <c r="H820" s="56" t="s">
        <v>817</v>
      </c>
      <c r="I820" s="28"/>
      <c r="J820" s="29"/>
      <c r="K820" s="29"/>
      <c r="L820" s="30"/>
      <c r="M820" s="30"/>
      <c r="N820" s="36"/>
      <c r="O820" s="32"/>
      <c r="P820" s="33"/>
      <c r="Q820" s="34"/>
      <c r="R820" s="37"/>
      <c r="S820" s="14" t="str">
        <f t="shared" si="76"/>
        <v/>
      </c>
    </row>
    <row r="821" spans="2:19" x14ac:dyDescent="0.2">
      <c r="B821" s="2" t="str">
        <f t="shared" si="77"/>
        <v/>
      </c>
      <c r="C821" s="2" t="str">
        <f t="shared" si="78"/>
        <v/>
      </c>
      <c r="D821" s="2" t="str">
        <f t="shared" si="74"/>
        <v>Y</v>
      </c>
      <c r="E821" s="2">
        <f t="shared" si="75"/>
        <v>0</v>
      </c>
      <c r="F821" s="2" t="str">
        <f t="shared" si="79"/>
        <v/>
      </c>
      <c r="H821" s="56" t="s">
        <v>818</v>
      </c>
      <c r="I821" s="28"/>
      <c r="J821" s="29"/>
      <c r="K821" s="29"/>
      <c r="L821" s="30"/>
      <c r="M821" s="30"/>
      <c r="N821" s="36"/>
      <c r="O821" s="32"/>
      <c r="P821" s="33"/>
      <c r="Q821" s="34"/>
      <c r="R821" s="37"/>
      <c r="S821" s="14" t="str">
        <f t="shared" si="76"/>
        <v/>
      </c>
    </row>
    <row r="822" spans="2:19" x14ac:dyDescent="0.2">
      <c r="B822" s="2" t="str">
        <f t="shared" si="77"/>
        <v/>
      </c>
      <c r="C822" s="2" t="str">
        <f t="shared" si="78"/>
        <v/>
      </c>
      <c r="D822" s="2" t="str">
        <f t="shared" si="74"/>
        <v>Y</v>
      </c>
      <c r="E822" s="2">
        <f t="shared" si="75"/>
        <v>0</v>
      </c>
      <c r="F822" s="2" t="str">
        <f t="shared" si="79"/>
        <v/>
      </c>
      <c r="H822" s="56" t="s">
        <v>819</v>
      </c>
      <c r="I822" s="28"/>
      <c r="J822" s="29"/>
      <c r="K822" s="29"/>
      <c r="L822" s="30"/>
      <c r="M822" s="30"/>
      <c r="N822" s="36"/>
      <c r="O822" s="32"/>
      <c r="P822" s="33"/>
      <c r="Q822" s="34"/>
      <c r="R822" s="37"/>
      <c r="S822" s="14" t="str">
        <f t="shared" si="76"/>
        <v/>
      </c>
    </row>
    <row r="823" spans="2:19" x14ac:dyDescent="0.2">
      <c r="B823" s="2" t="str">
        <f t="shared" si="77"/>
        <v/>
      </c>
      <c r="C823" s="2" t="str">
        <f t="shared" si="78"/>
        <v/>
      </c>
      <c r="D823" s="2" t="str">
        <f t="shared" si="74"/>
        <v>Y</v>
      </c>
      <c r="E823" s="2">
        <f t="shared" si="75"/>
        <v>0</v>
      </c>
      <c r="F823" s="2" t="str">
        <f t="shared" si="79"/>
        <v/>
      </c>
      <c r="H823" s="56" t="s">
        <v>820</v>
      </c>
      <c r="I823" s="28"/>
      <c r="J823" s="29"/>
      <c r="K823" s="29"/>
      <c r="L823" s="30"/>
      <c r="M823" s="30"/>
      <c r="N823" s="36"/>
      <c r="O823" s="32"/>
      <c r="P823" s="33"/>
      <c r="Q823" s="34"/>
      <c r="R823" s="37"/>
      <c r="S823" s="14" t="str">
        <f t="shared" si="76"/>
        <v/>
      </c>
    </row>
    <row r="824" spans="2:19" x14ac:dyDescent="0.2">
      <c r="B824" s="2" t="str">
        <f t="shared" si="77"/>
        <v/>
      </c>
      <c r="C824" s="2" t="str">
        <f t="shared" si="78"/>
        <v/>
      </c>
      <c r="D824" s="2" t="str">
        <f t="shared" si="74"/>
        <v>Y</v>
      </c>
      <c r="E824" s="2">
        <f t="shared" si="75"/>
        <v>0</v>
      </c>
      <c r="F824" s="2" t="str">
        <f t="shared" si="79"/>
        <v/>
      </c>
      <c r="H824" s="56" t="s">
        <v>821</v>
      </c>
      <c r="I824" s="28"/>
      <c r="J824" s="29"/>
      <c r="K824" s="29"/>
      <c r="L824" s="30"/>
      <c r="M824" s="30"/>
      <c r="N824" s="36"/>
      <c r="O824" s="32"/>
      <c r="P824" s="33"/>
      <c r="Q824" s="34"/>
      <c r="R824" s="37"/>
      <c r="S824" s="14" t="str">
        <f t="shared" si="76"/>
        <v/>
      </c>
    </row>
    <row r="825" spans="2:19" x14ac:dyDescent="0.2">
      <c r="B825" s="2" t="str">
        <f t="shared" si="77"/>
        <v/>
      </c>
      <c r="C825" s="2" t="str">
        <f t="shared" si="78"/>
        <v/>
      </c>
      <c r="D825" s="2" t="str">
        <f t="shared" si="74"/>
        <v>Y</v>
      </c>
      <c r="E825" s="2">
        <f t="shared" si="75"/>
        <v>0</v>
      </c>
      <c r="F825" s="2" t="str">
        <f t="shared" si="79"/>
        <v/>
      </c>
      <c r="H825" s="56" t="s">
        <v>822</v>
      </c>
      <c r="I825" s="28"/>
      <c r="J825" s="29"/>
      <c r="K825" s="29"/>
      <c r="L825" s="30"/>
      <c r="M825" s="30"/>
      <c r="N825" s="36"/>
      <c r="O825" s="32"/>
      <c r="P825" s="33"/>
      <c r="Q825" s="34"/>
      <c r="R825" s="37"/>
      <c r="S825" s="14" t="str">
        <f t="shared" si="76"/>
        <v/>
      </c>
    </row>
    <row r="826" spans="2:19" x14ac:dyDescent="0.2">
      <c r="B826" s="2" t="str">
        <f t="shared" si="77"/>
        <v/>
      </c>
      <c r="C826" s="2" t="str">
        <f t="shared" si="78"/>
        <v/>
      </c>
      <c r="D826" s="2" t="str">
        <f t="shared" si="74"/>
        <v>Y</v>
      </c>
      <c r="E826" s="2">
        <f t="shared" si="75"/>
        <v>0</v>
      </c>
      <c r="F826" s="2" t="str">
        <f t="shared" si="79"/>
        <v/>
      </c>
      <c r="H826" s="56" t="s">
        <v>823</v>
      </c>
      <c r="I826" s="28"/>
      <c r="J826" s="29"/>
      <c r="K826" s="29"/>
      <c r="L826" s="30"/>
      <c r="M826" s="30"/>
      <c r="N826" s="36"/>
      <c r="O826" s="32"/>
      <c r="P826" s="33"/>
      <c r="Q826" s="34"/>
      <c r="R826" s="37"/>
      <c r="S826" s="14" t="str">
        <f t="shared" si="76"/>
        <v/>
      </c>
    </row>
    <row r="827" spans="2:19" x14ac:dyDescent="0.2">
      <c r="B827" s="2" t="str">
        <f t="shared" si="77"/>
        <v/>
      </c>
      <c r="C827" s="2" t="str">
        <f t="shared" si="78"/>
        <v/>
      </c>
      <c r="D827" s="2" t="str">
        <f t="shared" si="74"/>
        <v>Y</v>
      </c>
      <c r="E827" s="2">
        <f t="shared" si="75"/>
        <v>0</v>
      </c>
      <c r="F827" s="2" t="str">
        <f t="shared" si="79"/>
        <v/>
      </c>
      <c r="H827" s="56" t="s">
        <v>824</v>
      </c>
      <c r="I827" s="28"/>
      <c r="J827" s="29"/>
      <c r="K827" s="29"/>
      <c r="L827" s="30"/>
      <c r="M827" s="30"/>
      <c r="N827" s="36"/>
      <c r="O827" s="32"/>
      <c r="P827" s="33"/>
      <c r="Q827" s="34"/>
      <c r="R827" s="37"/>
      <c r="S827" s="14" t="str">
        <f t="shared" si="76"/>
        <v/>
      </c>
    </row>
    <row r="828" spans="2:19" x14ac:dyDescent="0.2">
      <c r="B828" s="2" t="str">
        <f t="shared" si="77"/>
        <v/>
      </c>
      <c r="C828" s="2" t="str">
        <f t="shared" si="78"/>
        <v/>
      </c>
      <c r="D828" s="2" t="str">
        <f t="shared" si="74"/>
        <v>Y</v>
      </c>
      <c r="E828" s="2">
        <f t="shared" si="75"/>
        <v>0</v>
      </c>
      <c r="F828" s="2" t="str">
        <f t="shared" si="79"/>
        <v/>
      </c>
      <c r="H828" s="56" t="s">
        <v>825</v>
      </c>
      <c r="I828" s="28"/>
      <c r="J828" s="29"/>
      <c r="K828" s="29"/>
      <c r="L828" s="30"/>
      <c r="M828" s="30"/>
      <c r="N828" s="36"/>
      <c r="O828" s="32"/>
      <c r="P828" s="33"/>
      <c r="Q828" s="34"/>
      <c r="R828" s="37"/>
      <c r="S828" s="14" t="str">
        <f t="shared" si="76"/>
        <v/>
      </c>
    </row>
    <row r="829" spans="2:19" x14ac:dyDescent="0.2">
      <c r="B829" s="2" t="str">
        <f t="shared" si="77"/>
        <v/>
      </c>
      <c r="C829" s="2" t="str">
        <f t="shared" si="78"/>
        <v/>
      </c>
      <c r="D829" s="2" t="str">
        <f t="shared" si="74"/>
        <v>Y</v>
      </c>
      <c r="E829" s="2">
        <f t="shared" si="75"/>
        <v>0</v>
      </c>
      <c r="F829" s="2" t="str">
        <f t="shared" si="79"/>
        <v/>
      </c>
      <c r="H829" s="56" t="s">
        <v>826</v>
      </c>
      <c r="I829" s="28"/>
      <c r="J829" s="29"/>
      <c r="K829" s="29"/>
      <c r="L829" s="30"/>
      <c r="M829" s="30"/>
      <c r="N829" s="36"/>
      <c r="O829" s="32"/>
      <c r="P829" s="33"/>
      <c r="Q829" s="34"/>
      <c r="R829" s="37"/>
      <c r="S829" s="14" t="str">
        <f t="shared" si="76"/>
        <v/>
      </c>
    </row>
    <row r="830" spans="2:19" x14ac:dyDescent="0.2">
      <c r="B830" s="2" t="str">
        <f t="shared" si="77"/>
        <v/>
      </c>
      <c r="C830" s="2" t="str">
        <f t="shared" si="78"/>
        <v/>
      </c>
      <c r="D830" s="2" t="str">
        <f t="shared" si="74"/>
        <v>Y</v>
      </c>
      <c r="E830" s="2">
        <f t="shared" si="75"/>
        <v>0</v>
      </c>
      <c r="F830" s="2" t="str">
        <f t="shared" si="79"/>
        <v/>
      </c>
      <c r="H830" s="56" t="s">
        <v>827</v>
      </c>
      <c r="I830" s="28"/>
      <c r="J830" s="29"/>
      <c r="K830" s="29"/>
      <c r="L830" s="30"/>
      <c r="M830" s="30"/>
      <c r="N830" s="36"/>
      <c r="O830" s="32"/>
      <c r="P830" s="33"/>
      <c r="Q830" s="34"/>
      <c r="R830" s="37"/>
      <c r="S830" s="14" t="str">
        <f t="shared" si="76"/>
        <v/>
      </c>
    </row>
    <row r="831" spans="2:19" x14ac:dyDescent="0.2">
      <c r="B831" s="2" t="str">
        <f t="shared" si="77"/>
        <v/>
      </c>
      <c r="C831" s="2" t="str">
        <f t="shared" si="78"/>
        <v/>
      </c>
      <c r="D831" s="2" t="str">
        <f t="shared" si="74"/>
        <v>Y</v>
      </c>
      <c r="E831" s="2">
        <f t="shared" si="75"/>
        <v>0</v>
      </c>
      <c r="F831" s="2" t="str">
        <f t="shared" si="79"/>
        <v/>
      </c>
      <c r="H831" s="56" t="s">
        <v>828</v>
      </c>
      <c r="I831" s="28"/>
      <c r="J831" s="29"/>
      <c r="K831" s="29"/>
      <c r="L831" s="30"/>
      <c r="M831" s="30"/>
      <c r="N831" s="36"/>
      <c r="O831" s="32"/>
      <c r="P831" s="33"/>
      <c r="Q831" s="34"/>
      <c r="R831" s="37"/>
      <c r="S831" s="14" t="str">
        <f t="shared" si="76"/>
        <v/>
      </c>
    </row>
    <row r="832" spans="2:19" x14ac:dyDescent="0.2">
      <c r="B832" s="2" t="str">
        <f t="shared" si="77"/>
        <v/>
      </c>
      <c r="C832" s="2" t="str">
        <f t="shared" si="78"/>
        <v/>
      </c>
      <c r="D832" s="2" t="str">
        <f t="shared" si="74"/>
        <v>Y</v>
      </c>
      <c r="E832" s="2">
        <f t="shared" si="75"/>
        <v>0</v>
      </c>
      <c r="F832" s="2" t="str">
        <f t="shared" si="79"/>
        <v/>
      </c>
      <c r="H832" s="56" t="s">
        <v>829</v>
      </c>
      <c r="I832" s="28"/>
      <c r="J832" s="29"/>
      <c r="K832" s="29"/>
      <c r="L832" s="30"/>
      <c r="M832" s="30"/>
      <c r="N832" s="36"/>
      <c r="O832" s="32"/>
      <c r="P832" s="33"/>
      <c r="Q832" s="34"/>
      <c r="R832" s="37"/>
      <c r="S832" s="14" t="str">
        <f t="shared" si="76"/>
        <v/>
      </c>
    </row>
    <row r="833" spans="2:19" x14ac:dyDescent="0.2">
      <c r="B833" s="2" t="str">
        <f t="shared" si="77"/>
        <v/>
      </c>
      <c r="C833" s="2" t="str">
        <f t="shared" si="78"/>
        <v/>
      </c>
      <c r="D833" s="2" t="str">
        <f t="shared" si="74"/>
        <v>Y</v>
      </c>
      <c r="E833" s="2">
        <f t="shared" si="75"/>
        <v>0</v>
      </c>
      <c r="F833" s="2" t="str">
        <f t="shared" si="79"/>
        <v/>
      </c>
      <c r="H833" s="56" t="s">
        <v>830</v>
      </c>
      <c r="I833" s="28"/>
      <c r="J833" s="29"/>
      <c r="K833" s="29"/>
      <c r="L833" s="30"/>
      <c r="M833" s="30"/>
      <c r="N833" s="36"/>
      <c r="O833" s="32"/>
      <c r="P833" s="33"/>
      <c r="Q833" s="34"/>
      <c r="R833" s="37"/>
      <c r="S833" s="14" t="str">
        <f t="shared" si="76"/>
        <v/>
      </c>
    </row>
    <row r="834" spans="2:19" x14ac:dyDescent="0.2">
      <c r="B834" s="2" t="str">
        <f t="shared" si="77"/>
        <v/>
      </c>
      <c r="C834" s="2" t="str">
        <f t="shared" si="78"/>
        <v/>
      </c>
      <c r="D834" s="2" t="str">
        <f t="shared" si="74"/>
        <v>Y</v>
      </c>
      <c r="E834" s="2">
        <f t="shared" si="75"/>
        <v>0</v>
      </c>
      <c r="F834" s="2" t="str">
        <f t="shared" si="79"/>
        <v/>
      </c>
      <c r="H834" s="56" t="s">
        <v>831</v>
      </c>
      <c r="I834" s="28"/>
      <c r="J834" s="29"/>
      <c r="K834" s="29"/>
      <c r="L834" s="30"/>
      <c r="M834" s="30"/>
      <c r="N834" s="36"/>
      <c r="O834" s="32"/>
      <c r="P834" s="33"/>
      <c r="Q834" s="34"/>
      <c r="R834" s="37"/>
      <c r="S834" s="14" t="str">
        <f t="shared" si="76"/>
        <v/>
      </c>
    </row>
    <row r="835" spans="2:19" x14ac:dyDescent="0.2">
      <c r="B835" s="2" t="str">
        <f t="shared" si="77"/>
        <v/>
      </c>
      <c r="C835" s="2" t="str">
        <f t="shared" si="78"/>
        <v/>
      </c>
      <c r="D835" s="2" t="str">
        <f t="shared" si="74"/>
        <v>Y</v>
      </c>
      <c r="E835" s="2">
        <f t="shared" si="75"/>
        <v>0</v>
      </c>
      <c r="F835" s="2" t="str">
        <f t="shared" si="79"/>
        <v/>
      </c>
      <c r="H835" s="56" t="s">
        <v>832</v>
      </c>
      <c r="I835" s="28"/>
      <c r="J835" s="29"/>
      <c r="K835" s="29"/>
      <c r="L835" s="30"/>
      <c r="M835" s="30"/>
      <c r="N835" s="36"/>
      <c r="O835" s="32"/>
      <c r="P835" s="33"/>
      <c r="Q835" s="34"/>
      <c r="R835" s="37"/>
      <c r="S835" s="14" t="str">
        <f t="shared" si="76"/>
        <v/>
      </c>
    </row>
    <row r="836" spans="2:19" x14ac:dyDescent="0.2">
      <c r="B836" s="2" t="str">
        <f t="shared" si="77"/>
        <v/>
      </c>
      <c r="C836" s="2" t="str">
        <f t="shared" si="78"/>
        <v/>
      </c>
      <c r="D836" s="2" t="str">
        <f t="shared" si="74"/>
        <v>Y</v>
      </c>
      <c r="E836" s="2">
        <f t="shared" si="75"/>
        <v>0</v>
      </c>
      <c r="F836" s="2" t="str">
        <f t="shared" si="79"/>
        <v/>
      </c>
      <c r="H836" s="56" t="s">
        <v>833</v>
      </c>
      <c r="I836" s="28"/>
      <c r="J836" s="29"/>
      <c r="K836" s="29"/>
      <c r="L836" s="30"/>
      <c r="M836" s="30"/>
      <c r="N836" s="36"/>
      <c r="O836" s="32"/>
      <c r="P836" s="33"/>
      <c r="Q836" s="34"/>
      <c r="R836" s="37"/>
      <c r="S836" s="14" t="str">
        <f t="shared" si="76"/>
        <v/>
      </c>
    </row>
    <row r="837" spans="2:19" x14ac:dyDescent="0.2">
      <c r="B837" s="2" t="str">
        <f t="shared" si="77"/>
        <v/>
      </c>
      <c r="C837" s="2" t="str">
        <f t="shared" si="78"/>
        <v/>
      </c>
      <c r="D837" s="2" t="str">
        <f t="shared" si="74"/>
        <v>Y</v>
      </c>
      <c r="E837" s="2">
        <f t="shared" si="75"/>
        <v>0</v>
      </c>
      <c r="F837" s="2" t="str">
        <f t="shared" si="79"/>
        <v/>
      </c>
      <c r="H837" s="56" t="s">
        <v>834</v>
      </c>
      <c r="I837" s="28"/>
      <c r="J837" s="29"/>
      <c r="K837" s="29"/>
      <c r="L837" s="30"/>
      <c r="M837" s="30"/>
      <c r="N837" s="36"/>
      <c r="O837" s="32"/>
      <c r="P837" s="33"/>
      <c r="Q837" s="34"/>
      <c r="R837" s="37"/>
      <c r="S837" s="14" t="str">
        <f t="shared" si="76"/>
        <v/>
      </c>
    </row>
    <row r="838" spans="2:19" x14ac:dyDescent="0.2">
      <c r="B838" s="2" t="str">
        <f t="shared" si="77"/>
        <v/>
      </c>
      <c r="C838" s="2" t="str">
        <f t="shared" si="78"/>
        <v/>
      </c>
      <c r="D838" s="2" t="str">
        <f t="shared" si="74"/>
        <v>Y</v>
      </c>
      <c r="E838" s="2">
        <f t="shared" si="75"/>
        <v>0</v>
      </c>
      <c r="F838" s="2" t="str">
        <f t="shared" si="79"/>
        <v/>
      </c>
      <c r="H838" s="56" t="s">
        <v>835</v>
      </c>
      <c r="I838" s="28"/>
      <c r="J838" s="29"/>
      <c r="K838" s="29"/>
      <c r="L838" s="30"/>
      <c r="M838" s="30"/>
      <c r="N838" s="36"/>
      <c r="O838" s="32"/>
      <c r="P838" s="33"/>
      <c r="Q838" s="34"/>
      <c r="R838" s="37"/>
      <c r="S838" s="14" t="str">
        <f t="shared" si="76"/>
        <v/>
      </c>
    </row>
    <row r="839" spans="2:19" x14ac:dyDescent="0.2">
      <c r="B839" s="2" t="str">
        <f t="shared" si="77"/>
        <v/>
      </c>
      <c r="C839" s="2" t="str">
        <f t="shared" si="78"/>
        <v/>
      </c>
      <c r="D839" s="2" t="str">
        <f t="shared" si="74"/>
        <v>Y</v>
      </c>
      <c r="E839" s="2">
        <f t="shared" si="75"/>
        <v>0</v>
      </c>
      <c r="F839" s="2" t="str">
        <f t="shared" si="79"/>
        <v/>
      </c>
      <c r="H839" s="56" t="s">
        <v>836</v>
      </c>
      <c r="I839" s="28"/>
      <c r="J839" s="29"/>
      <c r="K839" s="29"/>
      <c r="L839" s="30"/>
      <c r="M839" s="30"/>
      <c r="N839" s="36"/>
      <c r="O839" s="32"/>
      <c r="P839" s="33"/>
      <c r="Q839" s="34"/>
      <c r="R839" s="37"/>
      <c r="S839" s="14" t="str">
        <f t="shared" si="76"/>
        <v/>
      </c>
    </row>
    <row r="840" spans="2:19" x14ac:dyDescent="0.2">
      <c r="B840" s="2" t="str">
        <f t="shared" si="77"/>
        <v/>
      </c>
      <c r="C840" s="2" t="str">
        <f t="shared" si="78"/>
        <v/>
      </c>
      <c r="D840" s="2" t="str">
        <f t="shared" si="74"/>
        <v>Y</v>
      </c>
      <c r="E840" s="2">
        <f t="shared" si="75"/>
        <v>0</v>
      </c>
      <c r="F840" s="2" t="str">
        <f t="shared" si="79"/>
        <v/>
      </c>
      <c r="H840" s="56" t="s">
        <v>837</v>
      </c>
      <c r="I840" s="28"/>
      <c r="J840" s="29"/>
      <c r="K840" s="29"/>
      <c r="L840" s="30"/>
      <c r="M840" s="30"/>
      <c r="N840" s="36"/>
      <c r="O840" s="32"/>
      <c r="P840" s="33"/>
      <c r="Q840" s="34"/>
      <c r="R840" s="37"/>
      <c r="S840" s="14" t="str">
        <f t="shared" si="76"/>
        <v/>
      </c>
    </row>
    <row r="841" spans="2:19" x14ac:dyDescent="0.2">
      <c r="B841" s="2" t="str">
        <f t="shared" si="77"/>
        <v/>
      </c>
      <c r="C841" s="2" t="str">
        <f t="shared" si="78"/>
        <v/>
      </c>
      <c r="D841" s="2" t="str">
        <f t="shared" si="74"/>
        <v>Y</v>
      </c>
      <c r="E841" s="2">
        <f t="shared" si="75"/>
        <v>0</v>
      </c>
      <c r="F841" s="2" t="str">
        <f t="shared" si="79"/>
        <v/>
      </c>
      <c r="H841" s="56" t="s">
        <v>838</v>
      </c>
      <c r="I841" s="28"/>
      <c r="J841" s="29"/>
      <c r="K841" s="29"/>
      <c r="L841" s="30"/>
      <c r="M841" s="30"/>
      <c r="N841" s="36"/>
      <c r="O841" s="32"/>
      <c r="P841" s="33"/>
      <c r="Q841" s="34"/>
      <c r="R841" s="37"/>
      <c r="S841" s="14" t="str">
        <f t="shared" si="76"/>
        <v/>
      </c>
    </row>
    <row r="842" spans="2:19" x14ac:dyDescent="0.2">
      <c r="B842" s="2" t="str">
        <f t="shared" si="77"/>
        <v/>
      </c>
      <c r="C842" s="2" t="str">
        <f t="shared" si="78"/>
        <v/>
      </c>
      <c r="D842" s="2" t="str">
        <f t="shared" si="74"/>
        <v>Y</v>
      </c>
      <c r="E842" s="2">
        <f t="shared" si="75"/>
        <v>0</v>
      </c>
      <c r="F842" s="2" t="str">
        <f t="shared" si="79"/>
        <v/>
      </c>
      <c r="H842" s="56" t="s">
        <v>839</v>
      </c>
      <c r="I842" s="28"/>
      <c r="J842" s="29"/>
      <c r="K842" s="29"/>
      <c r="L842" s="30"/>
      <c r="M842" s="30"/>
      <c r="N842" s="36"/>
      <c r="O842" s="32"/>
      <c r="P842" s="33"/>
      <c r="Q842" s="34"/>
      <c r="R842" s="37"/>
      <c r="S842" s="14" t="str">
        <f t="shared" si="76"/>
        <v/>
      </c>
    </row>
    <row r="843" spans="2:19" x14ac:dyDescent="0.2">
      <c r="B843" s="2" t="str">
        <f t="shared" si="77"/>
        <v/>
      </c>
      <c r="C843" s="2" t="str">
        <f t="shared" si="78"/>
        <v/>
      </c>
      <c r="D843" s="2" t="str">
        <f t="shared" ref="D843:D906" si="80">IF(OR(P843=Not_started,P843=In_progress),"N",IF(OR(P843=N_A,P843=Suspended,P843=Canceled),"","Y"))</f>
        <v>Y</v>
      </c>
      <c r="E843" s="2">
        <f t="shared" ref="E843:E906" si="81">IF(OR(P843=Not_started,P843=In_progress,P843=Applied,P843=Closed),1,0)</f>
        <v>0</v>
      </c>
      <c r="F843" s="2" t="str">
        <f t="shared" si="79"/>
        <v/>
      </c>
      <c r="H843" s="56" t="s">
        <v>840</v>
      </c>
      <c r="I843" s="28"/>
      <c r="J843" s="29"/>
      <c r="K843" s="29"/>
      <c r="L843" s="30"/>
      <c r="M843" s="30"/>
      <c r="N843" s="36"/>
      <c r="O843" s="32"/>
      <c r="P843" s="33"/>
      <c r="Q843" s="34"/>
      <c r="R843" s="37"/>
      <c r="S843" s="14" t="str">
        <f t="shared" ref="S843:S906" si="82">IF(ISERROR(VLOOKUP(K843,LB_PROJECTS,2,FALSE)),"",VLOOKUP(K843,LB_PROJECTS,2,FALSE))</f>
        <v/>
      </c>
    </row>
    <row r="844" spans="2:19" x14ac:dyDescent="0.2">
      <c r="B844" s="2" t="str">
        <f t="shared" ref="B844:B907" si="83">IF(N844="","",IF(WEEKNUM(N844)&lt;10,VALUE(CONCATENATE(YEAR(N844),"0",WEEKNUM(N844))),VALUE(CONCATENATE(YEAR(N844),WEEKNUM(N844)))))</f>
        <v/>
      </c>
      <c r="C844" s="2" t="str">
        <f t="shared" ref="C844:C907" si="84">IF(Q844="","",IF(WEEKNUM(Q844)&lt;10,VALUE(CONCATENATE(YEAR(Q844),"0",WEEKNUM(Q844))),VALUE(CONCATENATE(YEAR(Q844),WEEKNUM(Q844)))))</f>
        <v/>
      </c>
      <c r="D844" s="2" t="str">
        <f t="shared" si="80"/>
        <v>Y</v>
      </c>
      <c r="E844" s="2">
        <f t="shared" si="81"/>
        <v>0</v>
      </c>
      <c r="F844" s="2" t="str">
        <f t="shared" si="79"/>
        <v/>
      </c>
      <c r="H844" s="56" t="s">
        <v>841</v>
      </c>
      <c r="I844" s="28"/>
      <c r="J844" s="29"/>
      <c r="K844" s="29"/>
      <c r="L844" s="30"/>
      <c r="M844" s="30"/>
      <c r="N844" s="36"/>
      <c r="O844" s="32"/>
      <c r="P844" s="33"/>
      <c r="Q844" s="34"/>
      <c r="R844" s="37"/>
      <c r="S844" s="14" t="str">
        <f t="shared" si="82"/>
        <v/>
      </c>
    </row>
    <row r="845" spans="2:19" x14ac:dyDescent="0.2">
      <c r="B845" s="2" t="str">
        <f t="shared" si="83"/>
        <v/>
      </c>
      <c r="C845" s="2" t="str">
        <f t="shared" si="84"/>
        <v/>
      </c>
      <c r="D845" s="2" t="str">
        <f t="shared" si="80"/>
        <v>Y</v>
      </c>
      <c r="E845" s="2">
        <f t="shared" si="81"/>
        <v>0</v>
      </c>
      <c r="F845" s="2" t="str">
        <f t="shared" si="79"/>
        <v/>
      </c>
      <c r="H845" s="56" t="s">
        <v>842</v>
      </c>
      <c r="I845" s="28"/>
      <c r="J845" s="29"/>
      <c r="K845" s="29"/>
      <c r="L845" s="30"/>
      <c r="M845" s="30"/>
      <c r="N845" s="36"/>
      <c r="O845" s="32"/>
      <c r="P845" s="33"/>
      <c r="Q845" s="34"/>
      <c r="R845" s="37"/>
      <c r="S845" s="14" t="str">
        <f t="shared" si="82"/>
        <v/>
      </c>
    </row>
    <row r="846" spans="2:19" x14ac:dyDescent="0.2">
      <c r="B846" s="2" t="str">
        <f t="shared" si="83"/>
        <v/>
      </c>
      <c r="C846" s="2" t="str">
        <f t="shared" si="84"/>
        <v/>
      </c>
      <c r="D846" s="2" t="str">
        <f t="shared" si="80"/>
        <v>Y</v>
      </c>
      <c r="E846" s="2">
        <f t="shared" si="81"/>
        <v>0</v>
      </c>
      <c r="F846" s="2" t="str">
        <f t="shared" ref="F846:F909" si="85">IF(O846="",B846,IF(WEEKNUM(O846)&lt;10,VALUE(CONCATENATE(YEAR(O846),"0",WEEKNUM(O846))),VALUE(CONCATENATE(YEAR(O846),WEEKNUM(O846)))))</f>
        <v/>
      </c>
      <c r="H846" s="56" t="s">
        <v>843</v>
      </c>
      <c r="I846" s="28"/>
      <c r="J846" s="29"/>
      <c r="K846" s="29"/>
      <c r="L846" s="30"/>
      <c r="M846" s="30"/>
      <c r="N846" s="36"/>
      <c r="O846" s="32"/>
      <c r="P846" s="33"/>
      <c r="Q846" s="34"/>
      <c r="R846" s="37"/>
      <c r="S846" s="14" t="str">
        <f t="shared" si="82"/>
        <v/>
      </c>
    </row>
    <row r="847" spans="2:19" x14ac:dyDescent="0.2">
      <c r="B847" s="2" t="str">
        <f t="shared" si="83"/>
        <v/>
      </c>
      <c r="C847" s="2" t="str">
        <f t="shared" si="84"/>
        <v/>
      </c>
      <c r="D847" s="2" t="str">
        <f t="shared" si="80"/>
        <v>Y</v>
      </c>
      <c r="E847" s="2">
        <f t="shared" si="81"/>
        <v>0</v>
      </c>
      <c r="F847" s="2" t="str">
        <f t="shared" si="85"/>
        <v/>
      </c>
      <c r="H847" s="56" t="s">
        <v>844</v>
      </c>
      <c r="I847" s="28"/>
      <c r="J847" s="29"/>
      <c r="K847" s="29"/>
      <c r="L847" s="30"/>
      <c r="M847" s="30"/>
      <c r="N847" s="36"/>
      <c r="O847" s="32"/>
      <c r="P847" s="33"/>
      <c r="Q847" s="34"/>
      <c r="R847" s="37"/>
      <c r="S847" s="14" t="str">
        <f t="shared" si="82"/>
        <v/>
      </c>
    </row>
    <row r="848" spans="2:19" x14ac:dyDescent="0.2">
      <c r="B848" s="2" t="str">
        <f t="shared" si="83"/>
        <v/>
      </c>
      <c r="C848" s="2" t="str">
        <f t="shared" si="84"/>
        <v/>
      </c>
      <c r="D848" s="2" t="str">
        <f t="shared" si="80"/>
        <v>Y</v>
      </c>
      <c r="E848" s="2">
        <f t="shared" si="81"/>
        <v>0</v>
      </c>
      <c r="F848" s="2" t="str">
        <f t="shared" si="85"/>
        <v/>
      </c>
      <c r="H848" s="56" t="s">
        <v>845</v>
      </c>
      <c r="I848" s="28"/>
      <c r="J848" s="29"/>
      <c r="K848" s="29"/>
      <c r="L848" s="30"/>
      <c r="M848" s="30"/>
      <c r="N848" s="36"/>
      <c r="O848" s="32"/>
      <c r="P848" s="33"/>
      <c r="Q848" s="34"/>
      <c r="R848" s="37"/>
      <c r="S848" s="14" t="str">
        <f t="shared" si="82"/>
        <v/>
      </c>
    </row>
    <row r="849" spans="2:19" x14ac:dyDescent="0.2">
      <c r="B849" s="2" t="str">
        <f t="shared" si="83"/>
        <v/>
      </c>
      <c r="C849" s="2" t="str">
        <f t="shared" si="84"/>
        <v/>
      </c>
      <c r="D849" s="2" t="str">
        <f t="shared" si="80"/>
        <v>Y</v>
      </c>
      <c r="E849" s="2">
        <f t="shared" si="81"/>
        <v>0</v>
      </c>
      <c r="F849" s="2" t="str">
        <f t="shared" si="85"/>
        <v/>
      </c>
      <c r="H849" s="56" t="s">
        <v>846</v>
      </c>
      <c r="I849" s="28"/>
      <c r="J849" s="29"/>
      <c r="K849" s="29"/>
      <c r="L849" s="30"/>
      <c r="M849" s="30"/>
      <c r="N849" s="36"/>
      <c r="O849" s="32"/>
      <c r="P849" s="33"/>
      <c r="Q849" s="34"/>
      <c r="R849" s="37"/>
      <c r="S849" s="14" t="str">
        <f t="shared" si="82"/>
        <v/>
      </c>
    </row>
    <row r="850" spans="2:19" x14ac:dyDescent="0.2">
      <c r="B850" s="2" t="str">
        <f t="shared" si="83"/>
        <v/>
      </c>
      <c r="C850" s="2" t="str">
        <f t="shared" si="84"/>
        <v/>
      </c>
      <c r="D850" s="2" t="str">
        <f t="shared" si="80"/>
        <v>Y</v>
      </c>
      <c r="E850" s="2">
        <f t="shared" si="81"/>
        <v>0</v>
      </c>
      <c r="F850" s="2" t="str">
        <f t="shared" si="85"/>
        <v/>
      </c>
      <c r="H850" s="56" t="s">
        <v>847</v>
      </c>
      <c r="I850" s="28"/>
      <c r="J850" s="29"/>
      <c r="K850" s="29"/>
      <c r="L850" s="30"/>
      <c r="M850" s="30"/>
      <c r="N850" s="36"/>
      <c r="O850" s="32"/>
      <c r="P850" s="33"/>
      <c r="Q850" s="34"/>
      <c r="R850" s="37"/>
      <c r="S850" s="14" t="str">
        <f t="shared" si="82"/>
        <v/>
      </c>
    </row>
    <row r="851" spans="2:19" x14ac:dyDescent="0.2">
      <c r="B851" s="2" t="str">
        <f t="shared" si="83"/>
        <v/>
      </c>
      <c r="C851" s="2" t="str">
        <f t="shared" si="84"/>
        <v/>
      </c>
      <c r="D851" s="2" t="str">
        <f t="shared" si="80"/>
        <v>Y</v>
      </c>
      <c r="E851" s="2">
        <f t="shared" si="81"/>
        <v>0</v>
      </c>
      <c r="F851" s="2" t="str">
        <f t="shared" si="85"/>
        <v/>
      </c>
      <c r="H851" s="56" t="s">
        <v>848</v>
      </c>
      <c r="I851" s="28"/>
      <c r="J851" s="29"/>
      <c r="K851" s="29"/>
      <c r="L851" s="30"/>
      <c r="M851" s="30"/>
      <c r="N851" s="36"/>
      <c r="O851" s="32"/>
      <c r="P851" s="33"/>
      <c r="Q851" s="34"/>
      <c r="R851" s="37"/>
      <c r="S851" s="14" t="str">
        <f t="shared" si="82"/>
        <v/>
      </c>
    </row>
    <row r="852" spans="2:19" x14ac:dyDescent="0.2">
      <c r="B852" s="2" t="str">
        <f t="shared" si="83"/>
        <v/>
      </c>
      <c r="C852" s="2" t="str">
        <f t="shared" si="84"/>
        <v/>
      </c>
      <c r="D852" s="2" t="str">
        <f t="shared" si="80"/>
        <v>Y</v>
      </c>
      <c r="E852" s="2">
        <f t="shared" si="81"/>
        <v>0</v>
      </c>
      <c r="F852" s="2" t="str">
        <f t="shared" si="85"/>
        <v/>
      </c>
      <c r="H852" s="56" t="s">
        <v>849</v>
      </c>
      <c r="I852" s="28"/>
      <c r="J852" s="29"/>
      <c r="K852" s="29"/>
      <c r="L852" s="30"/>
      <c r="M852" s="30"/>
      <c r="N852" s="36"/>
      <c r="O852" s="32"/>
      <c r="P852" s="33"/>
      <c r="Q852" s="34"/>
      <c r="R852" s="37"/>
      <c r="S852" s="14" t="str">
        <f t="shared" si="82"/>
        <v/>
      </c>
    </row>
    <row r="853" spans="2:19" x14ac:dyDescent="0.2">
      <c r="B853" s="2" t="str">
        <f t="shared" si="83"/>
        <v/>
      </c>
      <c r="C853" s="2" t="str">
        <f t="shared" si="84"/>
        <v/>
      </c>
      <c r="D853" s="2" t="str">
        <f t="shared" si="80"/>
        <v>Y</v>
      </c>
      <c r="E853" s="2">
        <f t="shared" si="81"/>
        <v>0</v>
      </c>
      <c r="F853" s="2" t="str">
        <f t="shared" si="85"/>
        <v/>
      </c>
      <c r="H853" s="56" t="s">
        <v>850</v>
      </c>
      <c r="I853" s="28"/>
      <c r="J853" s="29"/>
      <c r="K853" s="29"/>
      <c r="L853" s="30"/>
      <c r="M853" s="30"/>
      <c r="N853" s="36"/>
      <c r="O853" s="32"/>
      <c r="P853" s="33"/>
      <c r="Q853" s="34"/>
      <c r="R853" s="37"/>
      <c r="S853" s="14" t="str">
        <f t="shared" si="82"/>
        <v/>
      </c>
    </row>
    <row r="854" spans="2:19" x14ac:dyDescent="0.2">
      <c r="B854" s="2" t="str">
        <f t="shared" si="83"/>
        <v/>
      </c>
      <c r="C854" s="2" t="str">
        <f t="shared" si="84"/>
        <v/>
      </c>
      <c r="D854" s="2" t="str">
        <f t="shared" si="80"/>
        <v>Y</v>
      </c>
      <c r="E854" s="2">
        <f t="shared" si="81"/>
        <v>0</v>
      </c>
      <c r="F854" s="2" t="str">
        <f t="shared" si="85"/>
        <v/>
      </c>
      <c r="H854" s="56" t="s">
        <v>851</v>
      </c>
      <c r="I854" s="28"/>
      <c r="J854" s="29"/>
      <c r="K854" s="29"/>
      <c r="L854" s="30"/>
      <c r="M854" s="30"/>
      <c r="N854" s="36"/>
      <c r="O854" s="32"/>
      <c r="P854" s="33"/>
      <c r="Q854" s="34"/>
      <c r="R854" s="37"/>
      <c r="S854" s="14" t="str">
        <f t="shared" si="82"/>
        <v/>
      </c>
    </row>
    <row r="855" spans="2:19" x14ac:dyDescent="0.2">
      <c r="B855" s="2" t="str">
        <f t="shared" si="83"/>
        <v/>
      </c>
      <c r="C855" s="2" t="str">
        <f t="shared" si="84"/>
        <v/>
      </c>
      <c r="D855" s="2" t="str">
        <f t="shared" si="80"/>
        <v>Y</v>
      </c>
      <c r="E855" s="2">
        <f t="shared" si="81"/>
        <v>0</v>
      </c>
      <c r="F855" s="2" t="str">
        <f t="shared" si="85"/>
        <v/>
      </c>
      <c r="H855" s="56" t="s">
        <v>852</v>
      </c>
      <c r="I855" s="28"/>
      <c r="J855" s="29"/>
      <c r="K855" s="29"/>
      <c r="L855" s="30"/>
      <c r="M855" s="30"/>
      <c r="N855" s="36"/>
      <c r="O855" s="32"/>
      <c r="P855" s="33"/>
      <c r="Q855" s="34"/>
      <c r="R855" s="37"/>
      <c r="S855" s="14" t="str">
        <f t="shared" si="82"/>
        <v/>
      </c>
    </row>
    <row r="856" spans="2:19" x14ac:dyDescent="0.2">
      <c r="B856" s="2" t="str">
        <f t="shared" si="83"/>
        <v/>
      </c>
      <c r="C856" s="2" t="str">
        <f t="shared" si="84"/>
        <v/>
      </c>
      <c r="D856" s="2" t="str">
        <f t="shared" si="80"/>
        <v>Y</v>
      </c>
      <c r="E856" s="2">
        <f t="shared" si="81"/>
        <v>0</v>
      </c>
      <c r="F856" s="2" t="str">
        <f t="shared" si="85"/>
        <v/>
      </c>
      <c r="H856" s="56" t="s">
        <v>853</v>
      </c>
      <c r="I856" s="28"/>
      <c r="J856" s="29"/>
      <c r="K856" s="29"/>
      <c r="L856" s="30"/>
      <c r="M856" s="30"/>
      <c r="N856" s="36"/>
      <c r="O856" s="32"/>
      <c r="P856" s="33"/>
      <c r="Q856" s="34"/>
      <c r="R856" s="37"/>
      <c r="S856" s="14" t="str">
        <f t="shared" si="82"/>
        <v/>
      </c>
    </row>
    <row r="857" spans="2:19" x14ac:dyDescent="0.2">
      <c r="B857" s="2" t="str">
        <f t="shared" si="83"/>
        <v/>
      </c>
      <c r="C857" s="2" t="str">
        <f t="shared" si="84"/>
        <v/>
      </c>
      <c r="D857" s="2" t="str">
        <f t="shared" si="80"/>
        <v>Y</v>
      </c>
      <c r="E857" s="2">
        <f t="shared" si="81"/>
        <v>0</v>
      </c>
      <c r="F857" s="2" t="str">
        <f t="shared" si="85"/>
        <v/>
      </c>
      <c r="H857" s="56" t="s">
        <v>854</v>
      </c>
      <c r="I857" s="28"/>
      <c r="J857" s="29"/>
      <c r="K857" s="29"/>
      <c r="L857" s="30"/>
      <c r="M857" s="30"/>
      <c r="N857" s="36"/>
      <c r="O857" s="32"/>
      <c r="P857" s="33"/>
      <c r="Q857" s="34"/>
      <c r="R857" s="37"/>
      <c r="S857" s="14" t="str">
        <f t="shared" si="82"/>
        <v/>
      </c>
    </row>
    <row r="858" spans="2:19" x14ac:dyDescent="0.2">
      <c r="B858" s="2" t="str">
        <f t="shared" si="83"/>
        <v/>
      </c>
      <c r="C858" s="2" t="str">
        <f t="shared" si="84"/>
        <v/>
      </c>
      <c r="D858" s="2" t="str">
        <f t="shared" si="80"/>
        <v>Y</v>
      </c>
      <c r="E858" s="2">
        <f t="shared" si="81"/>
        <v>0</v>
      </c>
      <c r="F858" s="2" t="str">
        <f t="shared" si="85"/>
        <v/>
      </c>
      <c r="H858" s="56" t="s">
        <v>855</v>
      </c>
      <c r="I858" s="28"/>
      <c r="J858" s="29"/>
      <c r="K858" s="29"/>
      <c r="L858" s="30"/>
      <c r="M858" s="30"/>
      <c r="N858" s="36"/>
      <c r="O858" s="32"/>
      <c r="P858" s="33"/>
      <c r="Q858" s="34"/>
      <c r="R858" s="37"/>
      <c r="S858" s="14" t="str">
        <f t="shared" si="82"/>
        <v/>
      </c>
    </row>
    <row r="859" spans="2:19" x14ac:dyDescent="0.2">
      <c r="B859" s="2" t="str">
        <f t="shared" si="83"/>
        <v/>
      </c>
      <c r="C859" s="2" t="str">
        <f t="shared" si="84"/>
        <v/>
      </c>
      <c r="D859" s="2" t="str">
        <f t="shared" si="80"/>
        <v>Y</v>
      </c>
      <c r="E859" s="2">
        <f t="shared" si="81"/>
        <v>0</v>
      </c>
      <c r="F859" s="2" t="str">
        <f t="shared" si="85"/>
        <v/>
      </c>
      <c r="H859" s="56" t="s">
        <v>856</v>
      </c>
      <c r="I859" s="28"/>
      <c r="J859" s="29"/>
      <c r="K859" s="29"/>
      <c r="L859" s="30"/>
      <c r="M859" s="30"/>
      <c r="N859" s="36"/>
      <c r="O859" s="32"/>
      <c r="P859" s="33"/>
      <c r="Q859" s="34"/>
      <c r="R859" s="37"/>
      <c r="S859" s="14" t="str">
        <f t="shared" si="82"/>
        <v/>
      </c>
    </row>
    <row r="860" spans="2:19" x14ac:dyDescent="0.2">
      <c r="B860" s="2" t="str">
        <f t="shared" si="83"/>
        <v/>
      </c>
      <c r="C860" s="2" t="str">
        <f t="shared" si="84"/>
        <v/>
      </c>
      <c r="D860" s="2" t="str">
        <f t="shared" si="80"/>
        <v>Y</v>
      </c>
      <c r="E860" s="2">
        <f t="shared" si="81"/>
        <v>0</v>
      </c>
      <c r="F860" s="2" t="str">
        <f t="shared" si="85"/>
        <v/>
      </c>
      <c r="H860" s="56" t="s">
        <v>857</v>
      </c>
      <c r="I860" s="28"/>
      <c r="J860" s="29"/>
      <c r="K860" s="29"/>
      <c r="L860" s="30"/>
      <c r="M860" s="30"/>
      <c r="N860" s="36"/>
      <c r="O860" s="32"/>
      <c r="P860" s="33"/>
      <c r="Q860" s="34"/>
      <c r="R860" s="37"/>
      <c r="S860" s="14" t="str">
        <f t="shared" si="82"/>
        <v/>
      </c>
    </row>
    <row r="861" spans="2:19" x14ac:dyDescent="0.2">
      <c r="B861" s="2" t="str">
        <f t="shared" si="83"/>
        <v/>
      </c>
      <c r="C861" s="2" t="str">
        <f t="shared" si="84"/>
        <v/>
      </c>
      <c r="D861" s="2" t="str">
        <f t="shared" si="80"/>
        <v>Y</v>
      </c>
      <c r="E861" s="2">
        <f t="shared" si="81"/>
        <v>0</v>
      </c>
      <c r="F861" s="2" t="str">
        <f t="shared" si="85"/>
        <v/>
      </c>
      <c r="H861" s="56" t="s">
        <v>858</v>
      </c>
      <c r="I861" s="28"/>
      <c r="J861" s="29"/>
      <c r="K861" s="29"/>
      <c r="L861" s="30"/>
      <c r="M861" s="30"/>
      <c r="N861" s="36"/>
      <c r="O861" s="32"/>
      <c r="P861" s="33"/>
      <c r="Q861" s="34"/>
      <c r="R861" s="37"/>
      <c r="S861" s="14" t="str">
        <f t="shared" si="82"/>
        <v/>
      </c>
    </row>
    <row r="862" spans="2:19" x14ac:dyDescent="0.2">
      <c r="B862" s="2" t="str">
        <f t="shared" si="83"/>
        <v/>
      </c>
      <c r="C862" s="2" t="str">
        <f t="shared" si="84"/>
        <v/>
      </c>
      <c r="D862" s="2" t="str">
        <f t="shared" si="80"/>
        <v>Y</v>
      </c>
      <c r="E862" s="2">
        <f t="shared" si="81"/>
        <v>0</v>
      </c>
      <c r="F862" s="2" t="str">
        <f t="shared" si="85"/>
        <v/>
      </c>
      <c r="H862" s="56" t="s">
        <v>859</v>
      </c>
      <c r="I862" s="28"/>
      <c r="J862" s="29"/>
      <c r="K862" s="29"/>
      <c r="L862" s="30"/>
      <c r="M862" s="30"/>
      <c r="N862" s="36"/>
      <c r="O862" s="32"/>
      <c r="P862" s="33"/>
      <c r="Q862" s="34"/>
      <c r="R862" s="37"/>
      <c r="S862" s="14" t="str">
        <f t="shared" si="82"/>
        <v/>
      </c>
    </row>
    <row r="863" spans="2:19" x14ac:dyDescent="0.2">
      <c r="B863" s="2" t="str">
        <f t="shared" si="83"/>
        <v/>
      </c>
      <c r="C863" s="2" t="str">
        <f t="shared" si="84"/>
        <v/>
      </c>
      <c r="D863" s="2" t="str">
        <f t="shared" si="80"/>
        <v>Y</v>
      </c>
      <c r="E863" s="2">
        <f t="shared" si="81"/>
        <v>0</v>
      </c>
      <c r="F863" s="2" t="str">
        <f t="shared" si="85"/>
        <v/>
      </c>
      <c r="H863" s="56" t="s">
        <v>860</v>
      </c>
      <c r="I863" s="28"/>
      <c r="J863" s="29"/>
      <c r="K863" s="29"/>
      <c r="L863" s="30"/>
      <c r="M863" s="30"/>
      <c r="N863" s="36"/>
      <c r="O863" s="32"/>
      <c r="P863" s="33"/>
      <c r="Q863" s="34"/>
      <c r="R863" s="37"/>
      <c r="S863" s="14" t="str">
        <f t="shared" si="82"/>
        <v/>
      </c>
    </row>
    <row r="864" spans="2:19" x14ac:dyDescent="0.2">
      <c r="B864" s="2" t="str">
        <f t="shared" si="83"/>
        <v/>
      </c>
      <c r="C864" s="2" t="str">
        <f t="shared" si="84"/>
        <v/>
      </c>
      <c r="D864" s="2" t="str">
        <f t="shared" si="80"/>
        <v>Y</v>
      </c>
      <c r="E864" s="2">
        <f t="shared" si="81"/>
        <v>0</v>
      </c>
      <c r="F864" s="2" t="str">
        <f t="shared" si="85"/>
        <v/>
      </c>
      <c r="H864" s="56" t="s">
        <v>861</v>
      </c>
      <c r="I864" s="28"/>
      <c r="J864" s="29"/>
      <c r="K864" s="29"/>
      <c r="L864" s="30"/>
      <c r="M864" s="30"/>
      <c r="N864" s="36"/>
      <c r="O864" s="32"/>
      <c r="P864" s="33"/>
      <c r="Q864" s="34"/>
      <c r="R864" s="37"/>
      <c r="S864" s="14" t="str">
        <f t="shared" si="82"/>
        <v/>
      </c>
    </row>
    <row r="865" spans="2:19" x14ac:dyDescent="0.2">
      <c r="B865" s="2" t="str">
        <f t="shared" si="83"/>
        <v/>
      </c>
      <c r="C865" s="2" t="str">
        <f t="shared" si="84"/>
        <v/>
      </c>
      <c r="D865" s="2" t="str">
        <f t="shared" si="80"/>
        <v>Y</v>
      </c>
      <c r="E865" s="2">
        <f t="shared" si="81"/>
        <v>0</v>
      </c>
      <c r="F865" s="2" t="str">
        <f t="shared" si="85"/>
        <v/>
      </c>
      <c r="H865" s="56" t="s">
        <v>862</v>
      </c>
      <c r="I865" s="28"/>
      <c r="J865" s="29"/>
      <c r="K865" s="29"/>
      <c r="L865" s="30"/>
      <c r="M865" s="30"/>
      <c r="N865" s="36"/>
      <c r="O865" s="32"/>
      <c r="P865" s="33"/>
      <c r="Q865" s="34"/>
      <c r="R865" s="37"/>
      <c r="S865" s="14" t="str">
        <f t="shared" si="82"/>
        <v/>
      </c>
    </row>
    <row r="866" spans="2:19" x14ac:dyDescent="0.2">
      <c r="B866" s="2" t="str">
        <f t="shared" si="83"/>
        <v/>
      </c>
      <c r="C866" s="2" t="str">
        <f t="shared" si="84"/>
        <v/>
      </c>
      <c r="D866" s="2" t="str">
        <f t="shared" si="80"/>
        <v>Y</v>
      </c>
      <c r="E866" s="2">
        <f t="shared" si="81"/>
        <v>0</v>
      </c>
      <c r="F866" s="2" t="str">
        <f t="shared" si="85"/>
        <v/>
      </c>
      <c r="H866" s="56" t="s">
        <v>863</v>
      </c>
      <c r="I866" s="28"/>
      <c r="J866" s="29"/>
      <c r="K866" s="29"/>
      <c r="L866" s="30"/>
      <c r="M866" s="30"/>
      <c r="N866" s="36"/>
      <c r="O866" s="32"/>
      <c r="P866" s="33"/>
      <c r="Q866" s="34"/>
      <c r="R866" s="37"/>
      <c r="S866" s="14" t="str">
        <f t="shared" si="82"/>
        <v/>
      </c>
    </row>
    <row r="867" spans="2:19" x14ac:dyDescent="0.2">
      <c r="B867" s="2" t="str">
        <f t="shared" si="83"/>
        <v/>
      </c>
      <c r="C867" s="2" t="str">
        <f t="shared" si="84"/>
        <v/>
      </c>
      <c r="D867" s="2" t="str">
        <f t="shared" si="80"/>
        <v>Y</v>
      </c>
      <c r="E867" s="2">
        <f t="shared" si="81"/>
        <v>0</v>
      </c>
      <c r="F867" s="2" t="str">
        <f t="shared" si="85"/>
        <v/>
      </c>
      <c r="H867" s="56" t="s">
        <v>864</v>
      </c>
      <c r="I867" s="28"/>
      <c r="J867" s="29"/>
      <c r="K867" s="29"/>
      <c r="L867" s="30"/>
      <c r="M867" s="30"/>
      <c r="N867" s="36"/>
      <c r="O867" s="32"/>
      <c r="P867" s="33"/>
      <c r="Q867" s="34"/>
      <c r="R867" s="37"/>
      <c r="S867" s="14" t="str">
        <f t="shared" si="82"/>
        <v/>
      </c>
    </row>
    <row r="868" spans="2:19" x14ac:dyDescent="0.2">
      <c r="B868" s="2" t="str">
        <f t="shared" si="83"/>
        <v/>
      </c>
      <c r="C868" s="2" t="str">
        <f t="shared" si="84"/>
        <v/>
      </c>
      <c r="D868" s="2" t="str">
        <f t="shared" si="80"/>
        <v>Y</v>
      </c>
      <c r="E868" s="2">
        <f t="shared" si="81"/>
        <v>0</v>
      </c>
      <c r="F868" s="2" t="str">
        <f t="shared" si="85"/>
        <v/>
      </c>
      <c r="H868" s="56" t="s">
        <v>865</v>
      </c>
      <c r="I868" s="28"/>
      <c r="J868" s="29"/>
      <c r="K868" s="29"/>
      <c r="L868" s="30"/>
      <c r="M868" s="30"/>
      <c r="N868" s="36"/>
      <c r="O868" s="32"/>
      <c r="P868" s="33"/>
      <c r="Q868" s="34"/>
      <c r="R868" s="37"/>
      <c r="S868" s="14" t="str">
        <f t="shared" si="82"/>
        <v/>
      </c>
    </row>
    <row r="869" spans="2:19" x14ac:dyDescent="0.2">
      <c r="B869" s="2" t="str">
        <f t="shared" si="83"/>
        <v/>
      </c>
      <c r="C869" s="2" t="str">
        <f t="shared" si="84"/>
        <v/>
      </c>
      <c r="D869" s="2" t="str">
        <f t="shared" si="80"/>
        <v>Y</v>
      </c>
      <c r="E869" s="2">
        <f t="shared" si="81"/>
        <v>0</v>
      </c>
      <c r="F869" s="2" t="str">
        <f t="shared" si="85"/>
        <v/>
      </c>
      <c r="H869" s="56" t="s">
        <v>866</v>
      </c>
      <c r="I869" s="28"/>
      <c r="J869" s="29"/>
      <c r="K869" s="29"/>
      <c r="L869" s="30"/>
      <c r="M869" s="30"/>
      <c r="N869" s="36"/>
      <c r="O869" s="32"/>
      <c r="P869" s="33"/>
      <c r="Q869" s="34"/>
      <c r="R869" s="37"/>
      <c r="S869" s="14" t="str">
        <f t="shared" si="82"/>
        <v/>
      </c>
    </row>
    <row r="870" spans="2:19" x14ac:dyDescent="0.2">
      <c r="B870" s="2" t="str">
        <f t="shared" si="83"/>
        <v/>
      </c>
      <c r="C870" s="2" t="str">
        <f t="shared" si="84"/>
        <v/>
      </c>
      <c r="D870" s="2" t="str">
        <f t="shared" si="80"/>
        <v>Y</v>
      </c>
      <c r="E870" s="2">
        <f t="shared" si="81"/>
        <v>0</v>
      </c>
      <c r="F870" s="2" t="str">
        <f t="shared" si="85"/>
        <v/>
      </c>
      <c r="H870" s="56" t="s">
        <v>867</v>
      </c>
      <c r="I870" s="28"/>
      <c r="J870" s="29"/>
      <c r="K870" s="29"/>
      <c r="L870" s="30"/>
      <c r="M870" s="30"/>
      <c r="N870" s="36"/>
      <c r="O870" s="32"/>
      <c r="P870" s="33"/>
      <c r="Q870" s="34"/>
      <c r="R870" s="37"/>
      <c r="S870" s="14" t="str">
        <f t="shared" si="82"/>
        <v/>
      </c>
    </row>
    <row r="871" spans="2:19" x14ac:dyDescent="0.2">
      <c r="B871" s="2" t="str">
        <f t="shared" si="83"/>
        <v/>
      </c>
      <c r="C871" s="2" t="str">
        <f t="shared" si="84"/>
        <v/>
      </c>
      <c r="D871" s="2" t="str">
        <f t="shared" si="80"/>
        <v>Y</v>
      </c>
      <c r="E871" s="2">
        <f t="shared" si="81"/>
        <v>0</v>
      </c>
      <c r="F871" s="2" t="str">
        <f t="shared" si="85"/>
        <v/>
      </c>
      <c r="H871" s="56" t="s">
        <v>868</v>
      </c>
      <c r="I871" s="28"/>
      <c r="J871" s="29"/>
      <c r="K871" s="29"/>
      <c r="L871" s="30"/>
      <c r="M871" s="30"/>
      <c r="N871" s="36"/>
      <c r="O871" s="32"/>
      <c r="P871" s="33"/>
      <c r="Q871" s="34"/>
      <c r="R871" s="37"/>
      <c r="S871" s="14" t="str">
        <f t="shared" si="82"/>
        <v/>
      </c>
    </row>
    <row r="872" spans="2:19" x14ac:dyDescent="0.2">
      <c r="B872" s="2" t="str">
        <f t="shared" si="83"/>
        <v/>
      </c>
      <c r="C872" s="2" t="str">
        <f t="shared" si="84"/>
        <v/>
      </c>
      <c r="D872" s="2" t="str">
        <f t="shared" si="80"/>
        <v>Y</v>
      </c>
      <c r="E872" s="2">
        <f t="shared" si="81"/>
        <v>0</v>
      </c>
      <c r="F872" s="2" t="str">
        <f t="shared" si="85"/>
        <v/>
      </c>
      <c r="H872" s="56" t="s">
        <v>869</v>
      </c>
      <c r="I872" s="28"/>
      <c r="J872" s="29"/>
      <c r="K872" s="29"/>
      <c r="L872" s="30"/>
      <c r="M872" s="30"/>
      <c r="N872" s="36"/>
      <c r="O872" s="32"/>
      <c r="P872" s="33"/>
      <c r="Q872" s="34"/>
      <c r="R872" s="37"/>
      <c r="S872" s="14" t="str">
        <f t="shared" si="82"/>
        <v/>
      </c>
    </row>
    <row r="873" spans="2:19" x14ac:dyDescent="0.2">
      <c r="B873" s="2" t="str">
        <f t="shared" si="83"/>
        <v/>
      </c>
      <c r="C873" s="2" t="str">
        <f t="shared" si="84"/>
        <v/>
      </c>
      <c r="D873" s="2" t="str">
        <f t="shared" si="80"/>
        <v>Y</v>
      </c>
      <c r="E873" s="2">
        <f t="shared" si="81"/>
        <v>0</v>
      </c>
      <c r="F873" s="2" t="str">
        <f t="shared" si="85"/>
        <v/>
      </c>
      <c r="H873" s="56" t="s">
        <v>870</v>
      </c>
      <c r="I873" s="28"/>
      <c r="J873" s="29"/>
      <c r="K873" s="29"/>
      <c r="L873" s="30"/>
      <c r="M873" s="30"/>
      <c r="N873" s="36"/>
      <c r="O873" s="32"/>
      <c r="P873" s="33"/>
      <c r="Q873" s="34"/>
      <c r="R873" s="37"/>
      <c r="S873" s="14" t="str">
        <f t="shared" si="82"/>
        <v/>
      </c>
    </row>
    <row r="874" spans="2:19" x14ac:dyDescent="0.2">
      <c r="B874" s="2" t="str">
        <f t="shared" si="83"/>
        <v/>
      </c>
      <c r="C874" s="2" t="str">
        <f t="shared" si="84"/>
        <v/>
      </c>
      <c r="D874" s="2" t="str">
        <f t="shared" si="80"/>
        <v>Y</v>
      </c>
      <c r="E874" s="2">
        <f t="shared" si="81"/>
        <v>0</v>
      </c>
      <c r="F874" s="2" t="str">
        <f t="shared" si="85"/>
        <v/>
      </c>
      <c r="H874" s="56" t="s">
        <v>871</v>
      </c>
      <c r="I874" s="28"/>
      <c r="J874" s="29"/>
      <c r="K874" s="29"/>
      <c r="L874" s="30"/>
      <c r="M874" s="30"/>
      <c r="N874" s="36"/>
      <c r="O874" s="32"/>
      <c r="P874" s="33"/>
      <c r="Q874" s="34"/>
      <c r="R874" s="37"/>
      <c r="S874" s="14" t="str">
        <f t="shared" si="82"/>
        <v/>
      </c>
    </row>
    <row r="875" spans="2:19" x14ac:dyDescent="0.2">
      <c r="B875" s="2" t="str">
        <f t="shared" si="83"/>
        <v/>
      </c>
      <c r="C875" s="2" t="str">
        <f t="shared" si="84"/>
        <v/>
      </c>
      <c r="D875" s="2" t="str">
        <f t="shared" si="80"/>
        <v>Y</v>
      </c>
      <c r="E875" s="2">
        <f t="shared" si="81"/>
        <v>0</v>
      </c>
      <c r="F875" s="2" t="str">
        <f t="shared" si="85"/>
        <v/>
      </c>
      <c r="H875" s="56" t="s">
        <v>872</v>
      </c>
      <c r="I875" s="28"/>
      <c r="J875" s="29"/>
      <c r="K875" s="29"/>
      <c r="L875" s="30"/>
      <c r="M875" s="30"/>
      <c r="N875" s="36"/>
      <c r="O875" s="32"/>
      <c r="P875" s="33"/>
      <c r="Q875" s="34"/>
      <c r="R875" s="37"/>
      <c r="S875" s="14" t="str">
        <f t="shared" si="82"/>
        <v/>
      </c>
    </row>
    <row r="876" spans="2:19" x14ac:dyDescent="0.2">
      <c r="B876" s="2" t="str">
        <f t="shared" si="83"/>
        <v/>
      </c>
      <c r="C876" s="2" t="str">
        <f t="shared" si="84"/>
        <v/>
      </c>
      <c r="D876" s="2" t="str">
        <f t="shared" si="80"/>
        <v>Y</v>
      </c>
      <c r="E876" s="2">
        <f t="shared" si="81"/>
        <v>0</v>
      </c>
      <c r="F876" s="2" t="str">
        <f t="shared" si="85"/>
        <v/>
      </c>
      <c r="H876" s="56" t="s">
        <v>873</v>
      </c>
      <c r="I876" s="28"/>
      <c r="J876" s="29"/>
      <c r="K876" s="29"/>
      <c r="L876" s="30"/>
      <c r="M876" s="30"/>
      <c r="N876" s="36"/>
      <c r="O876" s="32"/>
      <c r="P876" s="33"/>
      <c r="Q876" s="34"/>
      <c r="R876" s="37"/>
      <c r="S876" s="14" t="str">
        <f t="shared" si="82"/>
        <v/>
      </c>
    </row>
    <row r="877" spans="2:19" x14ac:dyDescent="0.2">
      <c r="B877" s="2" t="str">
        <f t="shared" si="83"/>
        <v/>
      </c>
      <c r="C877" s="2" t="str">
        <f t="shared" si="84"/>
        <v/>
      </c>
      <c r="D877" s="2" t="str">
        <f t="shared" si="80"/>
        <v>Y</v>
      </c>
      <c r="E877" s="2">
        <f t="shared" si="81"/>
        <v>0</v>
      </c>
      <c r="F877" s="2" t="str">
        <f t="shared" si="85"/>
        <v/>
      </c>
      <c r="H877" s="56" t="s">
        <v>874</v>
      </c>
      <c r="I877" s="28"/>
      <c r="J877" s="29"/>
      <c r="K877" s="29"/>
      <c r="L877" s="30"/>
      <c r="M877" s="30"/>
      <c r="N877" s="36"/>
      <c r="O877" s="32"/>
      <c r="P877" s="33"/>
      <c r="Q877" s="34"/>
      <c r="R877" s="37"/>
      <c r="S877" s="14" t="str">
        <f t="shared" si="82"/>
        <v/>
      </c>
    </row>
    <row r="878" spans="2:19" x14ac:dyDescent="0.2">
      <c r="B878" s="2" t="str">
        <f t="shared" si="83"/>
        <v/>
      </c>
      <c r="C878" s="2" t="str">
        <f t="shared" si="84"/>
        <v/>
      </c>
      <c r="D878" s="2" t="str">
        <f t="shared" si="80"/>
        <v>Y</v>
      </c>
      <c r="E878" s="2">
        <f t="shared" si="81"/>
        <v>0</v>
      </c>
      <c r="F878" s="2" t="str">
        <f t="shared" si="85"/>
        <v/>
      </c>
      <c r="H878" s="56" t="s">
        <v>875</v>
      </c>
      <c r="I878" s="28"/>
      <c r="J878" s="29"/>
      <c r="K878" s="29"/>
      <c r="L878" s="30"/>
      <c r="M878" s="30"/>
      <c r="N878" s="36"/>
      <c r="O878" s="32"/>
      <c r="P878" s="33"/>
      <c r="Q878" s="34"/>
      <c r="R878" s="37"/>
      <c r="S878" s="14" t="str">
        <f t="shared" si="82"/>
        <v/>
      </c>
    </row>
    <row r="879" spans="2:19" x14ac:dyDescent="0.2">
      <c r="B879" s="2" t="str">
        <f t="shared" si="83"/>
        <v/>
      </c>
      <c r="C879" s="2" t="str">
        <f t="shared" si="84"/>
        <v/>
      </c>
      <c r="D879" s="2" t="str">
        <f t="shared" si="80"/>
        <v>Y</v>
      </c>
      <c r="E879" s="2">
        <f t="shared" si="81"/>
        <v>0</v>
      </c>
      <c r="F879" s="2" t="str">
        <f t="shared" si="85"/>
        <v/>
      </c>
      <c r="H879" s="56" t="s">
        <v>876</v>
      </c>
      <c r="I879" s="28"/>
      <c r="J879" s="29"/>
      <c r="K879" s="29"/>
      <c r="L879" s="30"/>
      <c r="M879" s="30"/>
      <c r="N879" s="36"/>
      <c r="O879" s="32"/>
      <c r="P879" s="33"/>
      <c r="Q879" s="34"/>
      <c r="R879" s="37"/>
      <c r="S879" s="14" t="str">
        <f t="shared" si="82"/>
        <v/>
      </c>
    </row>
    <row r="880" spans="2:19" x14ac:dyDescent="0.2">
      <c r="B880" s="2" t="str">
        <f t="shared" si="83"/>
        <v/>
      </c>
      <c r="C880" s="2" t="str">
        <f t="shared" si="84"/>
        <v/>
      </c>
      <c r="D880" s="2" t="str">
        <f t="shared" si="80"/>
        <v>Y</v>
      </c>
      <c r="E880" s="2">
        <f t="shared" si="81"/>
        <v>0</v>
      </c>
      <c r="F880" s="2" t="str">
        <f t="shared" si="85"/>
        <v/>
      </c>
      <c r="H880" s="56" t="s">
        <v>877</v>
      </c>
      <c r="I880" s="28"/>
      <c r="J880" s="29"/>
      <c r="K880" s="29"/>
      <c r="L880" s="30"/>
      <c r="M880" s="30"/>
      <c r="N880" s="36"/>
      <c r="O880" s="32"/>
      <c r="P880" s="33"/>
      <c r="Q880" s="34"/>
      <c r="R880" s="37"/>
      <c r="S880" s="14" t="str">
        <f t="shared" si="82"/>
        <v/>
      </c>
    </row>
    <row r="881" spans="2:19" x14ac:dyDescent="0.2">
      <c r="B881" s="2" t="str">
        <f t="shared" si="83"/>
        <v/>
      </c>
      <c r="C881" s="2" t="str">
        <f t="shared" si="84"/>
        <v/>
      </c>
      <c r="D881" s="2" t="str">
        <f t="shared" si="80"/>
        <v>Y</v>
      </c>
      <c r="E881" s="2">
        <f t="shared" si="81"/>
        <v>0</v>
      </c>
      <c r="F881" s="2" t="str">
        <f t="shared" si="85"/>
        <v/>
      </c>
      <c r="H881" s="56" t="s">
        <v>878</v>
      </c>
      <c r="I881" s="28"/>
      <c r="J881" s="29"/>
      <c r="K881" s="29"/>
      <c r="L881" s="30"/>
      <c r="M881" s="30"/>
      <c r="N881" s="36"/>
      <c r="O881" s="32"/>
      <c r="P881" s="33"/>
      <c r="Q881" s="34"/>
      <c r="R881" s="37"/>
      <c r="S881" s="14" t="str">
        <f t="shared" si="82"/>
        <v/>
      </c>
    </row>
    <row r="882" spans="2:19" x14ac:dyDescent="0.2">
      <c r="B882" s="2" t="str">
        <f t="shared" si="83"/>
        <v/>
      </c>
      <c r="C882" s="2" t="str">
        <f t="shared" si="84"/>
        <v/>
      </c>
      <c r="D882" s="2" t="str">
        <f t="shared" si="80"/>
        <v>Y</v>
      </c>
      <c r="E882" s="2">
        <f t="shared" si="81"/>
        <v>0</v>
      </c>
      <c r="F882" s="2" t="str">
        <f t="shared" si="85"/>
        <v/>
      </c>
      <c r="H882" s="56" t="s">
        <v>879</v>
      </c>
      <c r="I882" s="28"/>
      <c r="J882" s="29"/>
      <c r="K882" s="29"/>
      <c r="L882" s="30"/>
      <c r="M882" s="30"/>
      <c r="N882" s="36"/>
      <c r="O882" s="32"/>
      <c r="P882" s="33"/>
      <c r="Q882" s="34"/>
      <c r="R882" s="37"/>
      <c r="S882" s="14" t="str">
        <f t="shared" si="82"/>
        <v/>
      </c>
    </row>
    <row r="883" spans="2:19" x14ac:dyDescent="0.2">
      <c r="B883" s="2" t="str">
        <f t="shared" si="83"/>
        <v/>
      </c>
      <c r="C883" s="2" t="str">
        <f t="shared" si="84"/>
        <v/>
      </c>
      <c r="D883" s="2" t="str">
        <f t="shared" si="80"/>
        <v>Y</v>
      </c>
      <c r="E883" s="2">
        <f t="shared" si="81"/>
        <v>0</v>
      </c>
      <c r="F883" s="2" t="str">
        <f t="shared" si="85"/>
        <v/>
      </c>
      <c r="H883" s="56" t="s">
        <v>880</v>
      </c>
      <c r="I883" s="28"/>
      <c r="J883" s="29"/>
      <c r="K883" s="29"/>
      <c r="L883" s="30"/>
      <c r="M883" s="30"/>
      <c r="N883" s="36"/>
      <c r="O883" s="32"/>
      <c r="P883" s="33"/>
      <c r="Q883" s="34"/>
      <c r="R883" s="37"/>
      <c r="S883" s="14" t="str">
        <f t="shared" si="82"/>
        <v/>
      </c>
    </row>
    <row r="884" spans="2:19" x14ac:dyDescent="0.2">
      <c r="B884" s="2" t="str">
        <f t="shared" si="83"/>
        <v/>
      </c>
      <c r="C884" s="2" t="str">
        <f t="shared" si="84"/>
        <v/>
      </c>
      <c r="D884" s="2" t="str">
        <f t="shared" si="80"/>
        <v>Y</v>
      </c>
      <c r="E884" s="2">
        <f t="shared" si="81"/>
        <v>0</v>
      </c>
      <c r="F884" s="2" t="str">
        <f t="shared" si="85"/>
        <v/>
      </c>
      <c r="H884" s="56" t="s">
        <v>881</v>
      </c>
      <c r="I884" s="28"/>
      <c r="J884" s="29"/>
      <c r="K884" s="29"/>
      <c r="L884" s="30"/>
      <c r="M884" s="30"/>
      <c r="N884" s="36"/>
      <c r="O884" s="32"/>
      <c r="P884" s="33"/>
      <c r="Q884" s="34"/>
      <c r="R884" s="37"/>
      <c r="S884" s="14" t="str">
        <f t="shared" si="82"/>
        <v/>
      </c>
    </row>
    <row r="885" spans="2:19" x14ac:dyDescent="0.2">
      <c r="B885" s="2" t="str">
        <f t="shared" si="83"/>
        <v/>
      </c>
      <c r="C885" s="2" t="str">
        <f t="shared" si="84"/>
        <v/>
      </c>
      <c r="D885" s="2" t="str">
        <f t="shared" si="80"/>
        <v>Y</v>
      </c>
      <c r="E885" s="2">
        <f t="shared" si="81"/>
        <v>0</v>
      </c>
      <c r="F885" s="2" t="str">
        <f t="shared" si="85"/>
        <v/>
      </c>
      <c r="H885" s="56" t="s">
        <v>882</v>
      </c>
      <c r="I885" s="28"/>
      <c r="J885" s="29"/>
      <c r="K885" s="29"/>
      <c r="L885" s="30"/>
      <c r="M885" s="30"/>
      <c r="N885" s="36"/>
      <c r="O885" s="32"/>
      <c r="P885" s="33"/>
      <c r="Q885" s="34"/>
      <c r="R885" s="37"/>
      <c r="S885" s="14" t="str">
        <f t="shared" si="82"/>
        <v/>
      </c>
    </row>
    <row r="886" spans="2:19" x14ac:dyDescent="0.2">
      <c r="B886" s="2" t="str">
        <f t="shared" si="83"/>
        <v/>
      </c>
      <c r="C886" s="2" t="str">
        <f t="shared" si="84"/>
        <v/>
      </c>
      <c r="D886" s="2" t="str">
        <f t="shared" si="80"/>
        <v>Y</v>
      </c>
      <c r="E886" s="2">
        <f t="shared" si="81"/>
        <v>0</v>
      </c>
      <c r="F886" s="2" t="str">
        <f t="shared" si="85"/>
        <v/>
      </c>
      <c r="H886" s="56" t="s">
        <v>883</v>
      </c>
      <c r="I886" s="28"/>
      <c r="J886" s="29"/>
      <c r="K886" s="29"/>
      <c r="L886" s="30"/>
      <c r="M886" s="30"/>
      <c r="N886" s="36"/>
      <c r="O886" s="32"/>
      <c r="P886" s="33"/>
      <c r="Q886" s="34"/>
      <c r="R886" s="37"/>
      <c r="S886" s="14" t="str">
        <f t="shared" si="82"/>
        <v/>
      </c>
    </row>
    <row r="887" spans="2:19" x14ac:dyDescent="0.2">
      <c r="B887" s="2" t="str">
        <f t="shared" si="83"/>
        <v/>
      </c>
      <c r="C887" s="2" t="str">
        <f t="shared" si="84"/>
        <v/>
      </c>
      <c r="D887" s="2" t="str">
        <f t="shared" si="80"/>
        <v>Y</v>
      </c>
      <c r="E887" s="2">
        <f t="shared" si="81"/>
        <v>0</v>
      </c>
      <c r="F887" s="2" t="str">
        <f t="shared" si="85"/>
        <v/>
      </c>
      <c r="H887" s="56" t="s">
        <v>884</v>
      </c>
      <c r="I887" s="28"/>
      <c r="J887" s="29"/>
      <c r="K887" s="29"/>
      <c r="L887" s="30"/>
      <c r="M887" s="30"/>
      <c r="N887" s="36"/>
      <c r="O887" s="32"/>
      <c r="P887" s="33"/>
      <c r="Q887" s="34"/>
      <c r="R887" s="37"/>
      <c r="S887" s="14" t="str">
        <f t="shared" si="82"/>
        <v/>
      </c>
    </row>
    <row r="888" spans="2:19" x14ac:dyDescent="0.2">
      <c r="B888" s="2" t="str">
        <f t="shared" si="83"/>
        <v/>
      </c>
      <c r="C888" s="2" t="str">
        <f t="shared" si="84"/>
        <v/>
      </c>
      <c r="D888" s="2" t="str">
        <f t="shared" si="80"/>
        <v>Y</v>
      </c>
      <c r="E888" s="2">
        <f t="shared" si="81"/>
        <v>0</v>
      </c>
      <c r="F888" s="2" t="str">
        <f t="shared" si="85"/>
        <v/>
      </c>
      <c r="H888" s="56" t="s">
        <v>885</v>
      </c>
      <c r="I888" s="28"/>
      <c r="J888" s="29"/>
      <c r="K888" s="29"/>
      <c r="L888" s="30"/>
      <c r="M888" s="30"/>
      <c r="N888" s="36"/>
      <c r="O888" s="32"/>
      <c r="P888" s="33"/>
      <c r="Q888" s="34"/>
      <c r="R888" s="37"/>
      <c r="S888" s="14" t="str">
        <f t="shared" si="82"/>
        <v/>
      </c>
    </row>
    <row r="889" spans="2:19" x14ac:dyDescent="0.2">
      <c r="B889" s="2" t="str">
        <f t="shared" si="83"/>
        <v/>
      </c>
      <c r="C889" s="2" t="str">
        <f t="shared" si="84"/>
        <v/>
      </c>
      <c r="D889" s="2" t="str">
        <f t="shared" si="80"/>
        <v>Y</v>
      </c>
      <c r="E889" s="2">
        <f t="shared" si="81"/>
        <v>0</v>
      </c>
      <c r="F889" s="2" t="str">
        <f t="shared" si="85"/>
        <v/>
      </c>
      <c r="H889" s="56" t="s">
        <v>886</v>
      </c>
      <c r="I889" s="28"/>
      <c r="J889" s="29"/>
      <c r="K889" s="29"/>
      <c r="L889" s="30"/>
      <c r="M889" s="30"/>
      <c r="N889" s="36"/>
      <c r="O889" s="32"/>
      <c r="P889" s="33"/>
      <c r="Q889" s="34"/>
      <c r="R889" s="37"/>
      <c r="S889" s="14" t="str">
        <f t="shared" si="82"/>
        <v/>
      </c>
    </row>
    <row r="890" spans="2:19" x14ac:dyDescent="0.2">
      <c r="B890" s="2" t="str">
        <f t="shared" si="83"/>
        <v/>
      </c>
      <c r="C890" s="2" t="str">
        <f t="shared" si="84"/>
        <v/>
      </c>
      <c r="D890" s="2" t="str">
        <f t="shared" si="80"/>
        <v>Y</v>
      </c>
      <c r="E890" s="2">
        <f t="shared" si="81"/>
        <v>0</v>
      </c>
      <c r="F890" s="2" t="str">
        <f t="shared" si="85"/>
        <v/>
      </c>
      <c r="H890" s="56" t="s">
        <v>887</v>
      </c>
      <c r="I890" s="28"/>
      <c r="J890" s="29"/>
      <c r="K890" s="29"/>
      <c r="L890" s="30"/>
      <c r="M890" s="30"/>
      <c r="N890" s="36"/>
      <c r="O890" s="32"/>
      <c r="P890" s="33"/>
      <c r="Q890" s="34"/>
      <c r="R890" s="37"/>
      <c r="S890" s="14" t="str">
        <f t="shared" si="82"/>
        <v/>
      </c>
    </row>
    <row r="891" spans="2:19" x14ac:dyDescent="0.2">
      <c r="B891" s="2" t="str">
        <f t="shared" si="83"/>
        <v/>
      </c>
      <c r="C891" s="2" t="str">
        <f t="shared" si="84"/>
        <v/>
      </c>
      <c r="D891" s="2" t="str">
        <f t="shared" si="80"/>
        <v>Y</v>
      </c>
      <c r="E891" s="2">
        <f t="shared" si="81"/>
        <v>0</v>
      </c>
      <c r="F891" s="2" t="str">
        <f t="shared" si="85"/>
        <v/>
      </c>
      <c r="H891" s="56" t="s">
        <v>888</v>
      </c>
      <c r="I891" s="28"/>
      <c r="J891" s="29"/>
      <c r="K891" s="29"/>
      <c r="L891" s="30"/>
      <c r="M891" s="30"/>
      <c r="N891" s="36"/>
      <c r="O891" s="32"/>
      <c r="P891" s="33"/>
      <c r="Q891" s="34"/>
      <c r="R891" s="37"/>
      <c r="S891" s="14" t="str">
        <f t="shared" si="82"/>
        <v/>
      </c>
    </row>
    <row r="892" spans="2:19" x14ac:dyDescent="0.2">
      <c r="B892" s="2" t="str">
        <f t="shared" si="83"/>
        <v/>
      </c>
      <c r="C892" s="2" t="str">
        <f t="shared" si="84"/>
        <v/>
      </c>
      <c r="D892" s="2" t="str">
        <f t="shared" si="80"/>
        <v>Y</v>
      </c>
      <c r="E892" s="2">
        <f t="shared" si="81"/>
        <v>0</v>
      </c>
      <c r="F892" s="2" t="str">
        <f t="shared" si="85"/>
        <v/>
      </c>
      <c r="H892" s="56" t="s">
        <v>889</v>
      </c>
      <c r="I892" s="28"/>
      <c r="J892" s="29"/>
      <c r="K892" s="29"/>
      <c r="L892" s="30"/>
      <c r="M892" s="30"/>
      <c r="N892" s="36"/>
      <c r="O892" s="32"/>
      <c r="P892" s="33"/>
      <c r="Q892" s="34"/>
      <c r="R892" s="37"/>
      <c r="S892" s="14" t="str">
        <f t="shared" si="82"/>
        <v/>
      </c>
    </row>
    <row r="893" spans="2:19" x14ac:dyDescent="0.2">
      <c r="B893" s="2" t="str">
        <f t="shared" si="83"/>
        <v/>
      </c>
      <c r="C893" s="2" t="str">
        <f t="shared" si="84"/>
        <v/>
      </c>
      <c r="D893" s="2" t="str">
        <f t="shared" si="80"/>
        <v>Y</v>
      </c>
      <c r="E893" s="2">
        <f t="shared" si="81"/>
        <v>0</v>
      </c>
      <c r="F893" s="2" t="str">
        <f t="shared" si="85"/>
        <v/>
      </c>
      <c r="H893" s="56" t="s">
        <v>890</v>
      </c>
      <c r="I893" s="28"/>
      <c r="J893" s="29"/>
      <c r="K893" s="29"/>
      <c r="L893" s="30"/>
      <c r="M893" s="30"/>
      <c r="N893" s="36"/>
      <c r="O893" s="32"/>
      <c r="P893" s="33"/>
      <c r="Q893" s="34"/>
      <c r="R893" s="37"/>
      <c r="S893" s="14" t="str">
        <f t="shared" si="82"/>
        <v/>
      </c>
    </row>
    <row r="894" spans="2:19" x14ac:dyDescent="0.2">
      <c r="B894" s="2" t="str">
        <f t="shared" si="83"/>
        <v/>
      </c>
      <c r="C894" s="2" t="str">
        <f t="shared" si="84"/>
        <v/>
      </c>
      <c r="D894" s="2" t="str">
        <f t="shared" si="80"/>
        <v>Y</v>
      </c>
      <c r="E894" s="2">
        <f t="shared" si="81"/>
        <v>0</v>
      </c>
      <c r="F894" s="2" t="str">
        <f t="shared" si="85"/>
        <v/>
      </c>
      <c r="H894" s="56" t="s">
        <v>891</v>
      </c>
      <c r="I894" s="28"/>
      <c r="J894" s="29"/>
      <c r="K894" s="29"/>
      <c r="L894" s="30"/>
      <c r="M894" s="30"/>
      <c r="N894" s="36"/>
      <c r="O894" s="32"/>
      <c r="P894" s="33"/>
      <c r="Q894" s="34"/>
      <c r="R894" s="37"/>
      <c r="S894" s="14" t="str">
        <f t="shared" si="82"/>
        <v/>
      </c>
    </row>
    <row r="895" spans="2:19" x14ac:dyDescent="0.2">
      <c r="B895" s="2" t="str">
        <f t="shared" si="83"/>
        <v/>
      </c>
      <c r="C895" s="2" t="str">
        <f t="shared" si="84"/>
        <v/>
      </c>
      <c r="D895" s="2" t="str">
        <f t="shared" si="80"/>
        <v>Y</v>
      </c>
      <c r="E895" s="2">
        <f t="shared" si="81"/>
        <v>0</v>
      </c>
      <c r="F895" s="2" t="str">
        <f t="shared" si="85"/>
        <v/>
      </c>
      <c r="H895" s="56" t="s">
        <v>892</v>
      </c>
      <c r="I895" s="28"/>
      <c r="J895" s="29"/>
      <c r="K895" s="29"/>
      <c r="L895" s="30"/>
      <c r="M895" s="30"/>
      <c r="N895" s="36"/>
      <c r="O895" s="32"/>
      <c r="P895" s="33"/>
      <c r="Q895" s="34"/>
      <c r="R895" s="37"/>
      <c r="S895" s="14" t="str">
        <f t="shared" si="82"/>
        <v/>
      </c>
    </row>
    <row r="896" spans="2:19" x14ac:dyDescent="0.2">
      <c r="B896" s="2" t="str">
        <f t="shared" si="83"/>
        <v/>
      </c>
      <c r="C896" s="2" t="str">
        <f t="shared" si="84"/>
        <v/>
      </c>
      <c r="D896" s="2" t="str">
        <f t="shared" si="80"/>
        <v>Y</v>
      </c>
      <c r="E896" s="2">
        <f t="shared" si="81"/>
        <v>0</v>
      </c>
      <c r="F896" s="2" t="str">
        <f t="shared" si="85"/>
        <v/>
      </c>
      <c r="H896" s="56" t="s">
        <v>893</v>
      </c>
      <c r="I896" s="28"/>
      <c r="J896" s="29"/>
      <c r="K896" s="29"/>
      <c r="L896" s="30"/>
      <c r="M896" s="30"/>
      <c r="N896" s="36"/>
      <c r="O896" s="32"/>
      <c r="P896" s="33"/>
      <c r="Q896" s="34"/>
      <c r="R896" s="37"/>
      <c r="S896" s="14" t="str">
        <f t="shared" si="82"/>
        <v/>
      </c>
    </row>
    <row r="897" spans="2:19" x14ac:dyDescent="0.2">
      <c r="B897" s="2" t="str">
        <f t="shared" si="83"/>
        <v/>
      </c>
      <c r="C897" s="2" t="str">
        <f t="shared" si="84"/>
        <v/>
      </c>
      <c r="D897" s="2" t="str">
        <f t="shared" si="80"/>
        <v>Y</v>
      </c>
      <c r="E897" s="2">
        <f t="shared" si="81"/>
        <v>0</v>
      </c>
      <c r="F897" s="2" t="str">
        <f t="shared" si="85"/>
        <v/>
      </c>
      <c r="H897" s="56" t="s">
        <v>894</v>
      </c>
      <c r="I897" s="28"/>
      <c r="J897" s="29"/>
      <c r="K897" s="29"/>
      <c r="L897" s="30"/>
      <c r="M897" s="30"/>
      <c r="N897" s="36"/>
      <c r="O897" s="32"/>
      <c r="P897" s="33"/>
      <c r="Q897" s="34"/>
      <c r="R897" s="37"/>
      <c r="S897" s="14" t="str">
        <f t="shared" si="82"/>
        <v/>
      </c>
    </row>
    <row r="898" spans="2:19" x14ac:dyDescent="0.2">
      <c r="B898" s="2" t="str">
        <f t="shared" si="83"/>
        <v/>
      </c>
      <c r="C898" s="2" t="str">
        <f t="shared" si="84"/>
        <v/>
      </c>
      <c r="D898" s="2" t="str">
        <f t="shared" si="80"/>
        <v>Y</v>
      </c>
      <c r="E898" s="2">
        <f t="shared" si="81"/>
        <v>0</v>
      </c>
      <c r="F898" s="2" t="str">
        <f t="shared" si="85"/>
        <v/>
      </c>
      <c r="H898" s="56" t="s">
        <v>895</v>
      </c>
      <c r="I898" s="28"/>
      <c r="J898" s="29"/>
      <c r="K898" s="29"/>
      <c r="L898" s="30"/>
      <c r="M898" s="30"/>
      <c r="N898" s="36"/>
      <c r="O898" s="32"/>
      <c r="P898" s="33"/>
      <c r="Q898" s="34"/>
      <c r="R898" s="37"/>
      <c r="S898" s="14" t="str">
        <f t="shared" si="82"/>
        <v/>
      </c>
    </row>
    <row r="899" spans="2:19" x14ac:dyDescent="0.2">
      <c r="B899" s="2" t="str">
        <f t="shared" si="83"/>
        <v/>
      </c>
      <c r="C899" s="2" t="str">
        <f t="shared" si="84"/>
        <v/>
      </c>
      <c r="D899" s="2" t="str">
        <f t="shared" si="80"/>
        <v>Y</v>
      </c>
      <c r="E899" s="2">
        <f t="shared" si="81"/>
        <v>0</v>
      </c>
      <c r="F899" s="2" t="str">
        <f t="shared" si="85"/>
        <v/>
      </c>
      <c r="H899" s="56" t="s">
        <v>896</v>
      </c>
      <c r="I899" s="28"/>
      <c r="J899" s="29"/>
      <c r="K899" s="29"/>
      <c r="L899" s="30"/>
      <c r="M899" s="30"/>
      <c r="N899" s="36"/>
      <c r="O899" s="32"/>
      <c r="P899" s="33"/>
      <c r="Q899" s="34"/>
      <c r="R899" s="37"/>
      <c r="S899" s="14" t="str">
        <f t="shared" si="82"/>
        <v/>
      </c>
    </row>
    <row r="900" spans="2:19" x14ac:dyDescent="0.2">
      <c r="B900" s="2" t="str">
        <f t="shared" si="83"/>
        <v/>
      </c>
      <c r="C900" s="2" t="str">
        <f t="shared" si="84"/>
        <v/>
      </c>
      <c r="D900" s="2" t="str">
        <f t="shared" si="80"/>
        <v>Y</v>
      </c>
      <c r="E900" s="2">
        <f t="shared" si="81"/>
        <v>0</v>
      </c>
      <c r="F900" s="2" t="str">
        <f t="shared" si="85"/>
        <v/>
      </c>
      <c r="H900" s="56" t="s">
        <v>897</v>
      </c>
      <c r="I900" s="28"/>
      <c r="J900" s="29"/>
      <c r="K900" s="29"/>
      <c r="L900" s="30"/>
      <c r="M900" s="30"/>
      <c r="N900" s="36"/>
      <c r="O900" s="32"/>
      <c r="P900" s="33"/>
      <c r="Q900" s="34"/>
      <c r="R900" s="37"/>
      <c r="S900" s="14" t="str">
        <f t="shared" si="82"/>
        <v/>
      </c>
    </row>
    <row r="901" spans="2:19" x14ac:dyDescent="0.2">
      <c r="B901" s="2" t="str">
        <f t="shared" si="83"/>
        <v/>
      </c>
      <c r="C901" s="2" t="str">
        <f t="shared" si="84"/>
        <v/>
      </c>
      <c r="D901" s="2" t="str">
        <f t="shared" si="80"/>
        <v>Y</v>
      </c>
      <c r="E901" s="2">
        <f t="shared" si="81"/>
        <v>0</v>
      </c>
      <c r="F901" s="2" t="str">
        <f t="shared" si="85"/>
        <v/>
      </c>
      <c r="H901" s="56" t="s">
        <v>898</v>
      </c>
      <c r="I901" s="28"/>
      <c r="J901" s="29"/>
      <c r="K901" s="29"/>
      <c r="L901" s="30"/>
      <c r="M901" s="30"/>
      <c r="N901" s="36"/>
      <c r="O901" s="32"/>
      <c r="P901" s="33"/>
      <c r="Q901" s="34"/>
      <c r="R901" s="37"/>
      <c r="S901" s="14" t="str">
        <f t="shared" si="82"/>
        <v/>
      </c>
    </row>
    <row r="902" spans="2:19" x14ac:dyDescent="0.2">
      <c r="B902" s="2" t="str">
        <f t="shared" si="83"/>
        <v/>
      </c>
      <c r="C902" s="2" t="str">
        <f t="shared" si="84"/>
        <v/>
      </c>
      <c r="D902" s="2" t="str">
        <f t="shared" si="80"/>
        <v>Y</v>
      </c>
      <c r="E902" s="2">
        <f t="shared" si="81"/>
        <v>0</v>
      </c>
      <c r="F902" s="2" t="str">
        <f t="shared" si="85"/>
        <v/>
      </c>
      <c r="H902" s="56" t="s">
        <v>899</v>
      </c>
      <c r="I902" s="28"/>
      <c r="J902" s="29"/>
      <c r="K902" s="29"/>
      <c r="L902" s="30"/>
      <c r="M902" s="30"/>
      <c r="N902" s="36"/>
      <c r="O902" s="32"/>
      <c r="P902" s="33"/>
      <c r="Q902" s="34"/>
      <c r="R902" s="37"/>
      <c r="S902" s="14" t="str">
        <f t="shared" si="82"/>
        <v/>
      </c>
    </row>
    <row r="903" spans="2:19" x14ac:dyDescent="0.2">
      <c r="B903" s="2" t="str">
        <f t="shared" si="83"/>
        <v/>
      </c>
      <c r="C903" s="2" t="str">
        <f t="shared" si="84"/>
        <v/>
      </c>
      <c r="D903" s="2" t="str">
        <f t="shared" si="80"/>
        <v>Y</v>
      </c>
      <c r="E903" s="2">
        <f t="shared" si="81"/>
        <v>0</v>
      </c>
      <c r="F903" s="2" t="str">
        <f t="shared" si="85"/>
        <v/>
      </c>
      <c r="H903" s="56" t="s">
        <v>900</v>
      </c>
      <c r="I903" s="28"/>
      <c r="J903" s="29"/>
      <c r="K903" s="29"/>
      <c r="L903" s="30"/>
      <c r="M903" s="30"/>
      <c r="N903" s="36"/>
      <c r="O903" s="32"/>
      <c r="P903" s="33"/>
      <c r="Q903" s="34"/>
      <c r="R903" s="37"/>
      <c r="S903" s="14" t="str">
        <f t="shared" si="82"/>
        <v/>
      </c>
    </row>
    <row r="904" spans="2:19" x14ac:dyDescent="0.2">
      <c r="B904" s="2" t="str">
        <f t="shared" si="83"/>
        <v/>
      </c>
      <c r="C904" s="2" t="str">
        <f t="shared" si="84"/>
        <v/>
      </c>
      <c r="D904" s="2" t="str">
        <f t="shared" si="80"/>
        <v>Y</v>
      </c>
      <c r="E904" s="2">
        <f t="shared" si="81"/>
        <v>0</v>
      </c>
      <c r="F904" s="2" t="str">
        <f t="shared" si="85"/>
        <v/>
      </c>
      <c r="H904" s="56" t="s">
        <v>901</v>
      </c>
      <c r="I904" s="28"/>
      <c r="J904" s="29"/>
      <c r="K904" s="29"/>
      <c r="L904" s="30"/>
      <c r="M904" s="30"/>
      <c r="N904" s="36"/>
      <c r="O904" s="32"/>
      <c r="P904" s="33"/>
      <c r="Q904" s="34"/>
      <c r="R904" s="37"/>
      <c r="S904" s="14" t="str">
        <f t="shared" si="82"/>
        <v/>
      </c>
    </row>
    <row r="905" spans="2:19" x14ac:dyDescent="0.2">
      <c r="B905" s="2" t="str">
        <f t="shared" si="83"/>
        <v/>
      </c>
      <c r="C905" s="2" t="str">
        <f t="shared" si="84"/>
        <v/>
      </c>
      <c r="D905" s="2" t="str">
        <f t="shared" si="80"/>
        <v>Y</v>
      </c>
      <c r="E905" s="2">
        <f t="shared" si="81"/>
        <v>0</v>
      </c>
      <c r="F905" s="2" t="str">
        <f t="shared" si="85"/>
        <v/>
      </c>
      <c r="H905" s="56" t="s">
        <v>902</v>
      </c>
      <c r="I905" s="28"/>
      <c r="J905" s="29"/>
      <c r="K905" s="29"/>
      <c r="L905" s="30"/>
      <c r="M905" s="30"/>
      <c r="N905" s="36"/>
      <c r="O905" s="32"/>
      <c r="P905" s="33"/>
      <c r="Q905" s="34"/>
      <c r="R905" s="37"/>
      <c r="S905" s="14" t="str">
        <f t="shared" si="82"/>
        <v/>
      </c>
    </row>
    <row r="906" spans="2:19" x14ac:dyDescent="0.2">
      <c r="B906" s="2" t="str">
        <f t="shared" si="83"/>
        <v/>
      </c>
      <c r="C906" s="2" t="str">
        <f t="shared" si="84"/>
        <v/>
      </c>
      <c r="D906" s="2" t="str">
        <f t="shared" si="80"/>
        <v>Y</v>
      </c>
      <c r="E906" s="2">
        <f t="shared" si="81"/>
        <v>0</v>
      </c>
      <c r="F906" s="2" t="str">
        <f t="shared" si="85"/>
        <v/>
      </c>
      <c r="H906" s="56" t="s">
        <v>903</v>
      </c>
      <c r="I906" s="28"/>
      <c r="J906" s="29"/>
      <c r="K906" s="29"/>
      <c r="L906" s="30"/>
      <c r="M906" s="30"/>
      <c r="N906" s="36"/>
      <c r="O906" s="32"/>
      <c r="P906" s="33"/>
      <c r="Q906" s="34"/>
      <c r="R906" s="37"/>
      <c r="S906" s="14" t="str">
        <f t="shared" si="82"/>
        <v/>
      </c>
    </row>
    <row r="907" spans="2:19" x14ac:dyDescent="0.2">
      <c r="B907" s="2" t="str">
        <f t="shared" si="83"/>
        <v/>
      </c>
      <c r="C907" s="2" t="str">
        <f t="shared" si="84"/>
        <v/>
      </c>
      <c r="D907" s="2" t="str">
        <f t="shared" ref="D907:D970" si="86">IF(OR(P907=Not_started,P907=In_progress),"N",IF(OR(P907=N_A,P907=Suspended,P907=Canceled),"","Y"))</f>
        <v>Y</v>
      </c>
      <c r="E907" s="2">
        <f t="shared" ref="E907:E970" si="87">IF(OR(P907=Not_started,P907=In_progress,P907=Applied,P907=Closed),1,0)</f>
        <v>0</v>
      </c>
      <c r="F907" s="2" t="str">
        <f t="shared" si="85"/>
        <v/>
      </c>
      <c r="H907" s="56" t="s">
        <v>904</v>
      </c>
      <c r="I907" s="28"/>
      <c r="J907" s="29"/>
      <c r="K907" s="29"/>
      <c r="L907" s="30"/>
      <c r="M907" s="30"/>
      <c r="N907" s="36"/>
      <c r="O907" s="32"/>
      <c r="P907" s="33"/>
      <c r="Q907" s="34"/>
      <c r="R907" s="37"/>
      <c r="S907" s="14" t="str">
        <f t="shared" ref="S907:S970" si="88">IF(ISERROR(VLOOKUP(K907,LB_PROJECTS,2,FALSE)),"",VLOOKUP(K907,LB_PROJECTS,2,FALSE))</f>
        <v/>
      </c>
    </row>
    <row r="908" spans="2:19" x14ac:dyDescent="0.2">
      <c r="B908" s="2" t="str">
        <f t="shared" ref="B908:B971" si="89">IF(N908="","",IF(WEEKNUM(N908)&lt;10,VALUE(CONCATENATE(YEAR(N908),"0",WEEKNUM(N908))),VALUE(CONCATENATE(YEAR(N908),WEEKNUM(N908)))))</f>
        <v/>
      </c>
      <c r="C908" s="2" t="str">
        <f t="shared" ref="C908:C971" si="90">IF(Q908="","",IF(WEEKNUM(Q908)&lt;10,VALUE(CONCATENATE(YEAR(Q908),"0",WEEKNUM(Q908))),VALUE(CONCATENATE(YEAR(Q908),WEEKNUM(Q908)))))</f>
        <v/>
      </c>
      <c r="D908" s="2" t="str">
        <f t="shared" si="86"/>
        <v>Y</v>
      </c>
      <c r="E908" s="2">
        <f t="shared" si="87"/>
        <v>0</v>
      </c>
      <c r="F908" s="2" t="str">
        <f t="shared" si="85"/>
        <v/>
      </c>
      <c r="H908" s="56" t="s">
        <v>905</v>
      </c>
      <c r="I908" s="28"/>
      <c r="J908" s="29"/>
      <c r="K908" s="29"/>
      <c r="L908" s="30"/>
      <c r="M908" s="30"/>
      <c r="N908" s="36"/>
      <c r="O908" s="32"/>
      <c r="P908" s="33"/>
      <c r="Q908" s="34"/>
      <c r="R908" s="37"/>
      <c r="S908" s="14" t="str">
        <f t="shared" si="88"/>
        <v/>
      </c>
    </row>
    <row r="909" spans="2:19" x14ac:dyDescent="0.2">
      <c r="B909" s="2" t="str">
        <f t="shared" si="89"/>
        <v/>
      </c>
      <c r="C909" s="2" t="str">
        <f t="shared" si="90"/>
        <v/>
      </c>
      <c r="D909" s="2" t="str">
        <f t="shared" si="86"/>
        <v>Y</v>
      </c>
      <c r="E909" s="2">
        <f t="shared" si="87"/>
        <v>0</v>
      </c>
      <c r="F909" s="2" t="str">
        <f t="shared" si="85"/>
        <v/>
      </c>
      <c r="H909" s="56" t="s">
        <v>906</v>
      </c>
      <c r="I909" s="28"/>
      <c r="J909" s="29"/>
      <c r="K909" s="29"/>
      <c r="L909" s="30"/>
      <c r="M909" s="30"/>
      <c r="N909" s="36"/>
      <c r="O909" s="32"/>
      <c r="P909" s="33"/>
      <c r="Q909" s="34"/>
      <c r="R909" s="37"/>
      <c r="S909" s="14" t="str">
        <f t="shared" si="88"/>
        <v/>
      </c>
    </row>
    <row r="910" spans="2:19" x14ac:dyDescent="0.2">
      <c r="B910" s="2" t="str">
        <f t="shared" si="89"/>
        <v/>
      </c>
      <c r="C910" s="2" t="str">
        <f t="shared" si="90"/>
        <v/>
      </c>
      <c r="D910" s="2" t="str">
        <f t="shared" si="86"/>
        <v>Y</v>
      </c>
      <c r="E910" s="2">
        <f t="shared" si="87"/>
        <v>0</v>
      </c>
      <c r="F910" s="2" t="str">
        <f t="shared" ref="F910:F973" si="91">IF(O910="",B910,IF(WEEKNUM(O910)&lt;10,VALUE(CONCATENATE(YEAR(O910),"0",WEEKNUM(O910))),VALUE(CONCATENATE(YEAR(O910),WEEKNUM(O910)))))</f>
        <v/>
      </c>
      <c r="H910" s="56" t="s">
        <v>907</v>
      </c>
      <c r="I910" s="28"/>
      <c r="J910" s="29"/>
      <c r="K910" s="29"/>
      <c r="L910" s="30"/>
      <c r="M910" s="30"/>
      <c r="N910" s="36"/>
      <c r="O910" s="32"/>
      <c r="P910" s="33"/>
      <c r="Q910" s="34"/>
      <c r="R910" s="37"/>
      <c r="S910" s="14" t="str">
        <f t="shared" si="88"/>
        <v/>
      </c>
    </row>
    <row r="911" spans="2:19" x14ac:dyDescent="0.2">
      <c r="B911" s="2" t="str">
        <f t="shared" si="89"/>
        <v/>
      </c>
      <c r="C911" s="2" t="str">
        <f t="shared" si="90"/>
        <v/>
      </c>
      <c r="D911" s="2" t="str">
        <f t="shared" si="86"/>
        <v>Y</v>
      </c>
      <c r="E911" s="2">
        <f t="shared" si="87"/>
        <v>0</v>
      </c>
      <c r="F911" s="2" t="str">
        <f t="shared" si="91"/>
        <v/>
      </c>
      <c r="H911" s="56" t="s">
        <v>908</v>
      </c>
      <c r="I911" s="28"/>
      <c r="J911" s="29"/>
      <c r="K911" s="29"/>
      <c r="L911" s="30"/>
      <c r="M911" s="30"/>
      <c r="N911" s="36"/>
      <c r="O911" s="32"/>
      <c r="P911" s="33"/>
      <c r="Q911" s="34"/>
      <c r="R911" s="37"/>
      <c r="S911" s="14" t="str">
        <f t="shared" si="88"/>
        <v/>
      </c>
    </row>
    <row r="912" spans="2:19" x14ac:dyDescent="0.2">
      <c r="B912" s="2" t="str">
        <f t="shared" si="89"/>
        <v/>
      </c>
      <c r="C912" s="2" t="str">
        <f t="shared" si="90"/>
        <v/>
      </c>
      <c r="D912" s="2" t="str">
        <f t="shared" si="86"/>
        <v>Y</v>
      </c>
      <c r="E912" s="2">
        <f t="shared" si="87"/>
        <v>0</v>
      </c>
      <c r="F912" s="2" t="str">
        <f t="shared" si="91"/>
        <v/>
      </c>
      <c r="H912" s="56" t="s">
        <v>909</v>
      </c>
      <c r="I912" s="28"/>
      <c r="J912" s="29"/>
      <c r="K912" s="29"/>
      <c r="L912" s="30"/>
      <c r="M912" s="30"/>
      <c r="N912" s="36"/>
      <c r="O912" s="32"/>
      <c r="P912" s="33"/>
      <c r="Q912" s="34"/>
      <c r="R912" s="37"/>
      <c r="S912" s="14" t="str">
        <f t="shared" si="88"/>
        <v/>
      </c>
    </row>
    <row r="913" spans="2:19" x14ac:dyDescent="0.2">
      <c r="B913" s="2" t="str">
        <f t="shared" si="89"/>
        <v/>
      </c>
      <c r="C913" s="2" t="str">
        <f t="shared" si="90"/>
        <v/>
      </c>
      <c r="D913" s="2" t="str">
        <f t="shared" si="86"/>
        <v>Y</v>
      </c>
      <c r="E913" s="2">
        <f t="shared" si="87"/>
        <v>0</v>
      </c>
      <c r="F913" s="2" t="str">
        <f t="shared" si="91"/>
        <v/>
      </c>
      <c r="H913" s="56" t="s">
        <v>910</v>
      </c>
      <c r="I913" s="28"/>
      <c r="J913" s="29"/>
      <c r="K913" s="29"/>
      <c r="L913" s="30"/>
      <c r="M913" s="30"/>
      <c r="N913" s="36"/>
      <c r="O913" s="32"/>
      <c r="P913" s="33"/>
      <c r="Q913" s="34"/>
      <c r="R913" s="37"/>
      <c r="S913" s="14" t="str">
        <f t="shared" si="88"/>
        <v/>
      </c>
    </row>
    <row r="914" spans="2:19" x14ac:dyDescent="0.2">
      <c r="B914" s="2" t="str">
        <f t="shared" si="89"/>
        <v/>
      </c>
      <c r="C914" s="2" t="str">
        <f t="shared" si="90"/>
        <v/>
      </c>
      <c r="D914" s="2" t="str">
        <f t="shared" si="86"/>
        <v>Y</v>
      </c>
      <c r="E914" s="2">
        <f t="shared" si="87"/>
        <v>0</v>
      </c>
      <c r="F914" s="2" t="str">
        <f t="shared" si="91"/>
        <v/>
      </c>
      <c r="H914" s="56" t="s">
        <v>911</v>
      </c>
      <c r="I914" s="28"/>
      <c r="J914" s="29"/>
      <c r="K914" s="29"/>
      <c r="L914" s="30"/>
      <c r="M914" s="30"/>
      <c r="N914" s="36"/>
      <c r="O914" s="32"/>
      <c r="P914" s="33"/>
      <c r="Q914" s="34"/>
      <c r="R914" s="37"/>
      <c r="S914" s="14" t="str">
        <f t="shared" si="88"/>
        <v/>
      </c>
    </row>
    <row r="915" spans="2:19" x14ac:dyDescent="0.2">
      <c r="B915" s="2" t="str">
        <f t="shared" si="89"/>
        <v/>
      </c>
      <c r="C915" s="2" t="str">
        <f t="shared" si="90"/>
        <v/>
      </c>
      <c r="D915" s="2" t="str">
        <f t="shared" si="86"/>
        <v>Y</v>
      </c>
      <c r="E915" s="2">
        <f t="shared" si="87"/>
        <v>0</v>
      </c>
      <c r="F915" s="2" t="str">
        <f t="shared" si="91"/>
        <v/>
      </c>
      <c r="H915" s="56" t="s">
        <v>912</v>
      </c>
      <c r="I915" s="28"/>
      <c r="J915" s="29"/>
      <c r="K915" s="29"/>
      <c r="L915" s="30"/>
      <c r="M915" s="30"/>
      <c r="N915" s="36"/>
      <c r="O915" s="32"/>
      <c r="P915" s="33"/>
      <c r="Q915" s="34"/>
      <c r="R915" s="37"/>
      <c r="S915" s="14" t="str">
        <f t="shared" si="88"/>
        <v/>
      </c>
    </row>
    <row r="916" spans="2:19" x14ac:dyDescent="0.2">
      <c r="B916" s="2" t="str">
        <f t="shared" si="89"/>
        <v/>
      </c>
      <c r="C916" s="2" t="str">
        <f t="shared" si="90"/>
        <v/>
      </c>
      <c r="D916" s="2" t="str">
        <f t="shared" si="86"/>
        <v>Y</v>
      </c>
      <c r="E916" s="2">
        <f t="shared" si="87"/>
        <v>0</v>
      </c>
      <c r="F916" s="2" t="str">
        <f t="shared" si="91"/>
        <v/>
      </c>
      <c r="H916" s="56" t="s">
        <v>913</v>
      </c>
      <c r="I916" s="28"/>
      <c r="J916" s="29"/>
      <c r="K916" s="29"/>
      <c r="L916" s="30"/>
      <c r="M916" s="30"/>
      <c r="N916" s="36"/>
      <c r="O916" s="32"/>
      <c r="P916" s="33"/>
      <c r="Q916" s="34"/>
      <c r="R916" s="37"/>
      <c r="S916" s="14" t="str">
        <f t="shared" si="88"/>
        <v/>
      </c>
    </row>
    <row r="917" spans="2:19" x14ac:dyDescent="0.2">
      <c r="B917" s="2" t="str">
        <f t="shared" si="89"/>
        <v/>
      </c>
      <c r="C917" s="2" t="str">
        <f t="shared" si="90"/>
        <v/>
      </c>
      <c r="D917" s="2" t="str">
        <f t="shared" si="86"/>
        <v>Y</v>
      </c>
      <c r="E917" s="2">
        <f t="shared" si="87"/>
        <v>0</v>
      </c>
      <c r="F917" s="2" t="str">
        <f t="shared" si="91"/>
        <v/>
      </c>
      <c r="H917" s="56" t="s">
        <v>914</v>
      </c>
      <c r="I917" s="28"/>
      <c r="J917" s="29"/>
      <c r="K917" s="29"/>
      <c r="L917" s="30"/>
      <c r="M917" s="30"/>
      <c r="N917" s="36"/>
      <c r="O917" s="32"/>
      <c r="P917" s="33"/>
      <c r="Q917" s="34"/>
      <c r="R917" s="37"/>
      <c r="S917" s="14" t="str">
        <f t="shared" si="88"/>
        <v/>
      </c>
    </row>
    <row r="918" spans="2:19" x14ac:dyDescent="0.2">
      <c r="B918" s="2" t="str">
        <f t="shared" si="89"/>
        <v/>
      </c>
      <c r="C918" s="2" t="str">
        <f t="shared" si="90"/>
        <v/>
      </c>
      <c r="D918" s="2" t="str">
        <f t="shared" si="86"/>
        <v>Y</v>
      </c>
      <c r="E918" s="2">
        <f t="shared" si="87"/>
        <v>0</v>
      </c>
      <c r="F918" s="2" t="str">
        <f t="shared" si="91"/>
        <v/>
      </c>
      <c r="H918" s="56" t="s">
        <v>915</v>
      </c>
      <c r="I918" s="28"/>
      <c r="J918" s="29"/>
      <c r="K918" s="29"/>
      <c r="L918" s="30"/>
      <c r="M918" s="30"/>
      <c r="N918" s="36"/>
      <c r="O918" s="32"/>
      <c r="P918" s="33"/>
      <c r="Q918" s="34"/>
      <c r="R918" s="37"/>
      <c r="S918" s="14" t="str">
        <f t="shared" si="88"/>
        <v/>
      </c>
    </row>
    <row r="919" spans="2:19" x14ac:dyDescent="0.2">
      <c r="B919" s="2" t="str">
        <f t="shared" si="89"/>
        <v/>
      </c>
      <c r="C919" s="2" t="str">
        <f t="shared" si="90"/>
        <v/>
      </c>
      <c r="D919" s="2" t="str">
        <f t="shared" si="86"/>
        <v>Y</v>
      </c>
      <c r="E919" s="2">
        <f t="shared" si="87"/>
        <v>0</v>
      </c>
      <c r="F919" s="2" t="str">
        <f t="shared" si="91"/>
        <v/>
      </c>
      <c r="H919" s="56" t="s">
        <v>916</v>
      </c>
      <c r="I919" s="28"/>
      <c r="J919" s="29"/>
      <c r="K919" s="29"/>
      <c r="L919" s="30"/>
      <c r="M919" s="30"/>
      <c r="N919" s="36"/>
      <c r="O919" s="32"/>
      <c r="P919" s="33"/>
      <c r="Q919" s="34"/>
      <c r="R919" s="37"/>
      <c r="S919" s="14" t="str">
        <f t="shared" si="88"/>
        <v/>
      </c>
    </row>
    <row r="920" spans="2:19" x14ac:dyDescent="0.2">
      <c r="B920" s="2" t="str">
        <f t="shared" si="89"/>
        <v/>
      </c>
      <c r="C920" s="2" t="str">
        <f t="shared" si="90"/>
        <v/>
      </c>
      <c r="D920" s="2" t="str">
        <f t="shared" si="86"/>
        <v>Y</v>
      </c>
      <c r="E920" s="2">
        <f t="shared" si="87"/>
        <v>0</v>
      </c>
      <c r="F920" s="2" t="str">
        <f t="shared" si="91"/>
        <v/>
      </c>
      <c r="H920" s="56" t="s">
        <v>917</v>
      </c>
      <c r="I920" s="28"/>
      <c r="J920" s="29"/>
      <c r="K920" s="29"/>
      <c r="L920" s="30"/>
      <c r="M920" s="30"/>
      <c r="N920" s="36"/>
      <c r="O920" s="32"/>
      <c r="P920" s="33"/>
      <c r="Q920" s="34"/>
      <c r="R920" s="37"/>
      <c r="S920" s="14" t="str">
        <f t="shared" si="88"/>
        <v/>
      </c>
    </row>
    <row r="921" spans="2:19" x14ac:dyDescent="0.2">
      <c r="B921" s="2" t="str">
        <f t="shared" si="89"/>
        <v/>
      </c>
      <c r="C921" s="2" t="str">
        <f t="shared" si="90"/>
        <v/>
      </c>
      <c r="D921" s="2" t="str">
        <f t="shared" si="86"/>
        <v>Y</v>
      </c>
      <c r="E921" s="2">
        <f t="shared" si="87"/>
        <v>0</v>
      </c>
      <c r="F921" s="2" t="str">
        <f t="shared" si="91"/>
        <v/>
      </c>
      <c r="H921" s="56" t="s">
        <v>918</v>
      </c>
      <c r="I921" s="28"/>
      <c r="J921" s="29"/>
      <c r="K921" s="29"/>
      <c r="L921" s="30"/>
      <c r="M921" s="30"/>
      <c r="N921" s="36"/>
      <c r="O921" s="32"/>
      <c r="P921" s="33"/>
      <c r="Q921" s="34"/>
      <c r="R921" s="37"/>
      <c r="S921" s="14" t="str">
        <f t="shared" si="88"/>
        <v/>
      </c>
    </row>
    <row r="922" spans="2:19" x14ac:dyDescent="0.2">
      <c r="B922" s="2" t="str">
        <f t="shared" si="89"/>
        <v/>
      </c>
      <c r="C922" s="2" t="str">
        <f t="shared" si="90"/>
        <v/>
      </c>
      <c r="D922" s="2" t="str">
        <f t="shared" si="86"/>
        <v>Y</v>
      </c>
      <c r="E922" s="2">
        <f t="shared" si="87"/>
        <v>0</v>
      </c>
      <c r="F922" s="2" t="str">
        <f t="shared" si="91"/>
        <v/>
      </c>
      <c r="H922" s="56" t="s">
        <v>919</v>
      </c>
      <c r="I922" s="28"/>
      <c r="J922" s="29"/>
      <c r="K922" s="29"/>
      <c r="L922" s="30"/>
      <c r="M922" s="30"/>
      <c r="N922" s="36"/>
      <c r="O922" s="32"/>
      <c r="P922" s="33"/>
      <c r="Q922" s="34"/>
      <c r="R922" s="37"/>
      <c r="S922" s="14" t="str">
        <f t="shared" si="88"/>
        <v/>
      </c>
    </row>
    <row r="923" spans="2:19" x14ac:dyDescent="0.2">
      <c r="B923" s="2" t="str">
        <f t="shared" si="89"/>
        <v/>
      </c>
      <c r="C923" s="2" t="str">
        <f t="shared" si="90"/>
        <v/>
      </c>
      <c r="D923" s="2" t="str">
        <f t="shared" si="86"/>
        <v>Y</v>
      </c>
      <c r="E923" s="2">
        <f t="shared" si="87"/>
        <v>0</v>
      </c>
      <c r="F923" s="2" t="str">
        <f t="shared" si="91"/>
        <v/>
      </c>
      <c r="H923" s="56" t="s">
        <v>920</v>
      </c>
      <c r="I923" s="28"/>
      <c r="J923" s="29"/>
      <c r="K923" s="29"/>
      <c r="L923" s="30"/>
      <c r="M923" s="30"/>
      <c r="N923" s="36"/>
      <c r="O923" s="32"/>
      <c r="P923" s="33"/>
      <c r="Q923" s="34"/>
      <c r="R923" s="37"/>
      <c r="S923" s="14" t="str">
        <f t="shared" si="88"/>
        <v/>
      </c>
    </row>
    <row r="924" spans="2:19" x14ac:dyDescent="0.2">
      <c r="B924" s="2" t="str">
        <f t="shared" si="89"/>
        <v/>
      </c>
      <c r="C924" s="2" t="str">
        <f t="shared" si="90"/>
        <v/>
      </c>
      <c r="D924" s="2" t="str">
        <f t="shared" si="86"/>
        <v>Y</v>
      </c>
      <c r="E924" s="2">
        <f t="shared" si="87"/>
        <v>0</v>
      </c>
      <c r="F924" s="2" t="str">
        <f t="shared" si="91"/>
        <v/>
      </c>
      <c r="H924" s="56" t="s">
        <v>921</v>
      </c>
      <c r="I924" s="28"/>
      <c r="J924" s="29"/>
      <c r="K924" s="29"/>
      <c r="L924" s="30"/>
      <c r="M924" s="30"/>
      <c r="N924" s="36"/>
      <c r="O924" s="32"/>
      <c r="P924" s="33"/>
      <c r="Q924" s="34"/>
      <c r="R924" s="37"/>
      <c r="S924" s="14" t="str">
        <f t="shared" si="88"/>
        <v/>
      </c>
    </row>
    <row r="925" spans="2:19" x14ac:dyDescent="0.2">
      <c r="B925" s="2" t="str">
        <f t="shared" si="89"/>
        <v/>
      </c>
      <c r="C925" s="2" t="str">
        <f t="shared" si="90"/>
        <v/>
      </c>
      <c r="D925" s="2" t="str">
        <f t="shared" si="86"/>
        <v>Y</v>
      </c>
      <c r="E925" s="2">
        <f t="shared" si="87"/>
        <v>0</v>
      </c>
      <c r="F925" s="2" t="str">
        <f t="shared" si="91"/>
        <v/>
      </c>
      <c r="H925" s="56" t="s">
        <v>922</v>
      </c>
      <c r="I925" s="28"/>
      <c r="J925" s="29"/>
      <c r="K925" s="29"/>
      <c r="L925" s="30"/>
      <c r="M925" s="30"/>
      <c r="N925" s="36"/>
      <c r="O925" s="32"/>
      <c r="P925" s="33"/>
      <c r="Q925" s="34"/>
      <c r="R925" s="37"/>
      <c r="S925" s="14" t="str">
        <f t="shared" si="88"/>
        <v/>
      </c>
    </row>
    <row r="926" spans="2:19" x14ac:dyDescent="0.2">
      <c r="B926" s="2" t="str">
        <f t="shared" si="89"/>
        <v/>
      </c>
      <c r="C926" s="2" t="str">
        <f t="shared" si="90"/>
        <v/>
      </c>
      <c r="D926" s="2" t="str">
        <f t="shared" si="86"/>
        <v>Y</v>
      </c>
      <c r="E926" s="2">
        <f t="shared" si="87"/>
        <v>0</v>
      </c>
      <c r="F926" s="2" t="str">
        <f t="shared" si="91"/>
        <v/>
      </c>
      <c r="H926" s="56" t="s">
        <v>923</v>
      </c>
      <c r="I926" s="28"/>
      <c r="J926" s="29"/>
      <c r="K926" s="29"/>
      <c r="L926" s="30"/>
      <c r="M926" s="30"/>
      <c r="N926" s="36"/>
      <c r="O926" s="32"/>
      <c r="P926" s="33"/>
      <c r="Q926" s="34"/>
      <c r="R926" s="37"/>
      <c r="S926" s="14" t="str">
        <f t="shared" si="88"/>
        <v/>
      </c>
    </row>
    <row r="927" spans="2:19" x14ac:dyDescent="0.2">
      <c r="B927" s="2" t="str">
        <f t="shared" si="89"/>
        <v/>
      </c>
      <c r="C927" s="2" t="str">
        <f t="shared" si="90"/>
        <v/>
      </c>
      <c r="D927" s="2" t="str">
        <f t="shared" si="86"/>
        <v>Y</v>
      </c>
      <c r="E927" s="2">
        <f t="shared" si="87"/>
        <v>0</v>
      </c>
      <c r="F927" s="2" t="str">
        <f t="shared" si="91"/>
        <v/>
      </c>
      <c r="H927" s="56" t="s">
        <v>924</v>
      </c>
      <c r="I927" s="28"/>
      <c r="J927" s="29"/>
      <c r="K927" s="29"/>
      <c r="L927" s="30"/>
      <c r="M927" s="30"/>
      <c r="N927" s="36"/>
      <c r="O927" s="32"/>
      <c r="P927" s="33"/>
      <c r="Q927" s="34"/>
      <c r="R927" s="37"/>
      <c r="S927" s="14" t="str">
        <f t="shared" si="88"/>
        <v/>
      </c>
    </row>
    <row r="928" spans="2:19" x14ac:dyDescent="0.2">
      <c r="B928" s="2" t="str">
        <f t="shared" si="89"/>
        <v/>
      </c>
      <c r="C928" s="2" t="str">
        <f t="shared" si="90"/>
        <v/>
      </c>
      <c r="D928" s="2" t="str">
        <f t="shared" si="86"/>
        <v>Y</v>
      </c>
      <c r="E928" s="2">
        <f t="shared" si="87"/>
        <v>0</v>
      </c>
      <c r="F928" s="2" t="str">
        <f t="shared" si="91"/>
        <v/>
      </c>
      <c r="H928" s="56" t="s">
        <v>925</v>
      </c>
      <c r="I928" s="28"/>
      <c r="J928" s="29"/>
      <c r="K928" s="29"/>
      <c r="L928" s="30"/>
      <c r="M928" s="30"/>
      <c r="N928" s="36"/>
      <c r="O928" s="32"/>
      <c r="P928" s="33"/>
      <c r="Q928" s="34"/>
      <c r="R928" s="37"/>
      <c r="S928" s="14" t="str">
        <f t="shared" si="88"/>
        <v/>
      </c>
    </row>
    <row r="929" spans="2:19" x14ac:dyDescent="0.2">
      <c r="B929" s="2" t="str">
        <f t="shared" si="89"/>
        <v/>
      </c>
      <c r="C929" s="2" t="str">
        <f t="shared" si="90"/>
        <v/>
      </c>
      <c r="D929" s="2" t="str">
        <f t="shared" si="86"/>
        <v>Y</v>
      </c>
      <c r="E929" s="2">
        <f t="shared" si="87"/>
        <v>0</v>
      </c>
      <c r="F929" s="2" t="str">
        <f t="shared" si="91"/>
        <v/>
      </c>
      <c r="H929" s="56" t="s">
        <v>926</v>
      </c>
      <c r="I929" s="28"/>
      <c r="J929" s="29"/>
      <c r="K929" s="29"/>
      <c r="L929" s="30"/>
      <c r="M929" s="30"/>
      <c r="N929" s="36"/>
      <c r="O929" s="32"/>
      <c r="P929" s="33"/>
      <c r="Q929" s="34"/>
      <c r="R929" s="37"/>
      <c r="S929" s="14" t="str">
        <f t="shared" si="88"/>
        <v/>
      </c>
    </row>
    <row r="930" spans="2:19" x14ac:dyDescent="0.2">
      <c r="B930" s="2" t="str">
        <f t="shared" si="89"/>
        <v/>
      </c>
      <c r="C930" s="2" t="str">
        <f t="shared" si="90"/>
        <v/>
      </c>
      <c r="D930" s="2" t="str">
        <f t="shared" si="86"/>
        <v>Y</v>
      </c>
      <c r="E930" s="2">
        <f t="shared" si="87"/>
        <v>0</v>
      </c>
      <c r="F930" s="2" t="str">
        <f t="shared" si="91"/>
        <v/>
      </c>
      <c r="H930" s="56" t="s">
        <v>927</v>
      </c>
      <c r="I930" s="28"/>
      <c r="J930" s="29"/>
      <c r="K930" s="29"/>
      <c r="L930" s="30"/>
      <c r="M930" s="30"/>
      <c r="N930" s="36"/>
      <c r="O930" s="32"/>
      <c r="P930" s="33"/>
      <c r="Q930" s="34"/>
      <c r="R930" s="37"/>
      <c r="S930" s="14" t="str">
        <f t="shared" si="88"/>
        <v/>
      </c>
    </row>
    <row r="931" spans="2:19" x14ac:dyDescent="0.2">
      <c r="B931" s="2" t="str">
        <f t="shared" si="89"/>
        <v/>
      </c>
      <c r="C931" s="2" t="str">
        <f t="shared" si="90"/>
        <v/>
      </c>
      <c r="D931" s="2" t="str">
        <f t="shared" si="86"/>
        <v>Y</v>
      </c>
      <c r="E931" s="2">
        <f t="shared" si="87"/>
        <v>0</v>
      </c>
      <c r="F931" s="2" t="str">
        <f t="shared" si="91"/>
        <v/>
      </c>
      <c r="H931" s="56" t="s">
        <v>928</v>
      </c>
      <c r="I931" s="28"/>
      <c r="J931" s="29"/>
      <c r="K931" s="29"/>
      <c r="L931" s="30"/>
      <c r="M931" s="30"/>
      <c r="N931" s="36"/>
      <c r="O931" s="32"/>
      <c r="P931" s="33"/>
      <c r="Q931" s="34"/>
      <c r="R931" s="37"/>
      <c r="S931" s="14" t="str">
        <f t="shared" si="88"/>
        <v/>
      </c>
    </row>
    <row r="932" spans="2:19" x14ac:dyDescent="0.2">
      <c r="B932" s="2" t="str">
        <f t="shared" si="89"/>
        <v/>
      </c>
      <c r="C932" s="2" t="str">
        <f t="shared" si="90"/>
        <v/>
      </c>
      <c r="D932" s="2" t="str">
        <f t="shared" si="86"/>
        <v>Y</v>
      </c>
      <c r="E932" s="2">
        <f t="shared" si="87"/>
        <v>0</v>
      </c>
      <c r="F932" s="2" t="str">
        <f t="shared" si="91"/>
        <v/>
      </c>
      <c r="H932" s="56" t="s">
        <v>929</v>
      </c>
      <c r="I932" s="28"/>
      <c r="J932" s="29"/>
      <c r="K932" s="29"/>
      <c r="L932" s="30"/>
      <c r="M932" s="30"/>
      <c r="N932" s="36"/>
      <c r="O932" s="32"/>
      <c r="P932" s="33"/>
      <c r="Q932" s="34"/>
      <c r="R932" s="37"/>
      <c r="S932" s="14" t="str">
        <f t="shared" si="88"/>
        <v/>
      </c>
    </row>
    <row r="933" spans="2:19" x14ac:dyDescent="0.2">
      <c r="B933" s="2" t="str">
        <f t="shared" si="89"/>
        <v/>
      </c>
      <c r="C933" s="2" t="str">
        <f t="shared" si="90"/>
        <v/>
      </c>
      <c r="D933" s="2" t="str">
        <f t="shared" si="86"/>
        <v>Y</v>
      </c>
      <c r="E933" s="2">
        <f t="shared" si="87"/>
        <v>0</v>
      </c>
      <c r="F933" s="2" t="str">
        <f t="shared" si="91"/>
        <v/>
      </c>
      <c r="H933" s="56" t="s">
        <v>930</v>
      </c>
      <c r="I933" s="28"/>
      <c r="J933" s="29"/>
      <c r="K933" s="29"/>
      <c r="L933" s="30"/>
      <c r="M933" s="30"/>
      <c r="N933" s="36"/>
      <c r="O933" s="32"/>
      <c r="P933" s="33"/>
      <c r="Q933" s="34"/>
      <c r="R933" s="37"/>
      <c r="S933" s="14" t="str">
        <f t="shared" si="88"/>
        <v/>
      </c>
    </row>
    <row r="934" spans="2:19" x14ac:dyDescent="0.2">
      <c r="B934" s="2" t="str">
        <f t="shared" si="89"/>
        <v/>
      </c>
      <c r="C934" s="2" t="str">
        <f t="shared" si="90"/>
        <v/>
      </c>
      <c r="D934" s="2" t="str">
        <f t="shared" si="86"/>
        <v>Y</v>
      </c>
      <c r="E934" s="2">
        <f t="shared" si="87"/>
        <v>0</v>
      </c>
      <c r="F934" s="2" t="str">
        <f t="shared" si="91"/>
        <v/>
      </c>
      <c r="H934" s="56" t="s">
        <v>931</v>
      </c>
      <c r="I934" s="28"/>
      <c r="J934" s="29"/>
      <c r="K934" s="29"/>
      <c r="L934" s="30"/>
      <c r="M934" s="30"/>
      <c r="N934" s="36"/>
      <c r="O934" s="32"/>
      <c r="P934" s="33"/>
      <c r="Q934" s="34"/>
      <c r="R934" s="37"/>
      <c r="S934" s="14" t="str">
        <f t="shared" si="88"/>
        <v/>
      </c>
    </row>
    <row r="935" spans="2:19" x14ac:dyDescent="0.2">
      <c r="B935" s="2" t="str">
        <f t="shared" si="89"/>
        <v/>
      </c>
      <c r="C935" s="2" t="str">
        <f t="shared" si="90"/>
        <v/>
      </c>
      <c r="D935" s="2" t="str">
        <f t="shared" si="86"/>
        <v>Y</v>
      </c>
      <c r="E935" s="2">
        <f t="shared" si="87"/>
        <v>0</v>
      </c>
      <c r="F935" s="2" t="str">
        <f t="shared" si="91"/>
        <v/>
      </c>
      <c r="H935" s="56" t="s">
        <v>932</v>
      </c>
      <c r="I935" s="28"/>
      <c r="J935" s="29"/>
      <c r="K935" s="29"/>
      <c r="L935" s="30"/>
      <c r="M935" s="30"/>
      <c r="N935" s="36"/>
      <c r="O935" s="32"/>
      <c r="P935" s="33"/>
      <c r="Q935" s="34"/>
      <c r="R935" s="37"/>
      <c r="S935" s="14" t="str">
        <f t="shared" si="88"/>
        <v/>
      </c>
    </row>
    <row r="936" spans="2:19" x14ac:dyDescent="0.2">
      <c r="B936" s="2" t="str">
        <f t="shared" si="89"/>
        <v/>
      </c>
      <c r="C936" s="2" t="str">
        <f t="shared" si="90"/>
        <v/>
      </c>
      <c r="D936" s="2" t="str">
        <f t="shared" si="86"/>
        <v>Y</v>
      </c>
      <c r="E936" s="2">
        <f t="shared" si="87"/>
        <v>0</v>
      </c>
      <c r="F936" s="2" t="str">
        <f t="shared" si="91"/>
        <v/>
      </c>
      <c r="H936" s="56" t="s">
        <v>933</v>
      </c>
      <c r="I936" s="28"/>
      <c r="J936" s="29"/>
      <c r="K936" s="29"/>
      <c r="L936" s="30"/>
      <c r="M936" s="30"/>
      <c r="N936" s="36"/>
      <c r="O936" s="32"/>
      <c r="P936" s="33"/>
      <c r="Q936" s="34"/>
      <c r="R936" s="37"/>
      <c r="S936" s="14" t="str">
        <f t="shared" si="88"/>
        <v/>
      </c>
    </row>
    <row r="937" spans="2:19" x14ac:dyDescent="0.2">
      <c r="B937" s="2" t="str">
        <f t="shared" si="89"/>
        <v/>
      </c>
      <c r="C937" s="2" t="str">
        <f t="shared" si="90"/>
        <v/>
      </c>
      <c r="D937" s="2" t="str">
        <f t="shared" si="86"/>
        <v>Y</v>
      </c>
      <c r="E937" s="2">
        <f t="shared" si="87"/>
        <v>0</v>
      </c>
      <c r="F937" s="2" t="str">
        <f t="shared" si="91"/>
        <v/>
      </c>
      <c r="H937" s="56" t="s">
        <v>934</v>
      </c>
      <c r="I937" s="28"/>
      <c r="J937" s="29"/>
      <c r="K937" s="29"/>
      <c r="L937" s="30"/>
      <c r="M937" s="30"/>
      <c r="N937" s="36"/>
      <c r="O937" s="32"/>
      <c r="P937" s="33"/>
      <c r="Q937" s="34"/>
      <c r="R937" s="37"/>
      <c r="S937" s="14" t="str">
        <f t="shared" si="88"/>
        <v/>
      </c>
    </row>
    <row r="938" spans="2:19" x14ac:dyDescent="0.2">
      <c r="B938" s="2" t="str">
        <f t="shared" si="89"/>
        <v/>
      </c>
      <c r="C938" s="2" t="str">
        <f t="shared" si="90"/>
        <v/>
      </c>
      <c r="D938" s="2" t="str">
        <f t="shared" si="86"/>
        <v>Y</v>
      </c>
      <c r="E938" s="2">
        <f t="shared" si="87"/>
        <v>0</v>
      </c>
      <c r="F938" s="2" t="str">
        <f t="shared" si="91"/>
        <v/>
      </c>
      <c r="H938" s="56" t="s">
        <v>935</v>
      </c>
      <c r="I938" s="28"/>
      <c r="J938" s="29"/>
      <c r="K938" s="29"/>
      <c r="L938" s="30"/>
      <c r="M938" s="30"/>
      <c r="N938" s="36"/>
      <c r="O938" s="32"/>
      <c r="P938" s="33"/>
      <c r="Q938" s="34"/>
      <c r="R938" s="37"/>
      <c r="S938" s="14" t="str">
        <f t="shared" si="88"/>
        <v/>
      </c>
    </row>
    <row r="939" spans="2:19" x14ac:dyDescent="0.2">
      <c r="B939" s="2" t="str">
        <f t="shared" si="89"/>
        <v/>
      </c>
      <c r="C939" s="2" t="str">
        <f t="shared" si="90"/>
        <v/>
      </c>
      <c r="D939" s="2" t="str">
        <f t="shared" si="86"/>
        <v>Y</v>
      </c>
      <c r="E939" s="2">
        <f t="shared" si="87"/>
        <v>0</v>
      </c>
      <c r="F939" s="2" t="str">
        <f t="shared" si="91"/>
        <v/>
      </c>
      <c r="H939" s="56" t="s">
        <v>936</v>
      </c>
      <c r="I939" s="28"/>
      <c r="J939" s="29"/>
      <c r="K939" s="29"/>
      <c r="L939" s="30"/>
      <c r="M939" s="30"/>
      <c r="N939" s="36"/>
      <c r="O939" s="32"/>
      <c r="P939" s="33"/>
      <c r="Q939" s="34"/>
      <c r="R939" s="37"/>
      <c r="S939" s="14" t="str">
        <f t="shared" si="88"/>
        <v/>
      </c>
    </row>
    <row r="940" spans="2:19" x14ac:dyDescent="0.2">
      <c r="B940" s="2" t="str">
        <f t="shared" si="89"/>
        <v/>
      </c>
      <c r="C940" s="2" t="str">
        <f t="shared" si="90"/>
        <v/>
      </c>
      <c r="D940" s="2" t="str">
        <f t="shared" si="86"/>
        <v>Y</v>
      </c>
      <c r="E940" s="2">
        <f t="shared" si="87"/>
        <v>0</v>
      </c>
      <c r="F940" s="2" t="str">
        <f t="shared" si="91"/>
        <v/>
      </c>
      <c r="H940" s="56" t="s">
        <v>937</v>
      </c>
      <c r="I940" s="28"/>
      <c r="J940" s="29"/>
      <c r="K940" s="29"/>
      <c r="L940" s="30"/>
      <c r="M940" s="30"/>
      <c r="N940" s="36"/>
      <c r="O940" s="32"/>
      <c r="P940" s="33"/>
      <c r="Q940" s="34"/>
      <c r="R940" s="37"/>
      <c r="S940" s="14" t="str">
        <f t="shared" si="88"/>
        <v/>
      </c>
    </row>
    <row r="941" spans="2:19" x14ac:dyDescent="0.2">
      <c r="B941" s="2" t="str">
        <f t="shared" si="89"/>
        <v/>
      </c>
      <c r="C941" s="2" t="str">
        <f t="shared" si="90"/>
        <v/>
      </c>
      <c r="D941" s="2" t="str">
        <f t="shared" si="86"/>
        <v>Y</v>
      </c>
      <c r="E941" s="2">
        <f t="shared" si="87"/>
        <v>0</v>
      </c>
      <c r="F941" s="2" t="str">
        <f t="shared" si="91"/>
        <v/>
      </c>
      <c r="H941" s="56" t="s">
        <v>938</v>
      </c>
      <c r="I941" s="28"/>
      <c r="J941" s="29"/>
      <c r="K941" s="29"/>
      <c r="L941" s="30"/>
      <c r="M941" s="30"/>
      <c r="N941" s="36"/>
      <c r="O941" s="32"/>
      <c r="P941" s="33"/>
      <c r="Q941" s="34"/>
      <c r="R941" s="37"/>
      <c r="S941" s="14" t="str">
        <f t="shared" si="88"/>
        <v/>
      </c>
    </row>
    <row r="942" spans="2:19" x14ac:dyDescent="0.2">
      <c r="B942" s="2" t="str">
        <f t="shared" si="89"/>
        <v/>
      </c>
      <c r="C942" s="2" t="str">
        <f t="shared" si="90"/>
        <v/>
      </c>
      <c r="D942" s="2" t="str">
        <f t="shared" si="86"/>
        <v>Y</v>
      </c>
      <c r="E942" s="2">
        <f t="shared" si="87"/>
        <v>0</v>
      </c>
      <c r="F942" s="2" t="str">
        <f t="shared" si="91"/>
        <v/>
      </c>
      <c r="H942" s="56" t="s">
        <v>939</v>
      </c>
      <c r="I942" s="28"/>
      <c r="J942" s="29"/>
      <c r="K942" s="29"/>
      <c r="L942" s="30"/>
      <c r="M942" s="30"/>
      <c r="N942" s="36"/>
      <c r="O942" s="32"/>
      <c r="P942" s="33"/>
      <c r="Q942" s="34"/>
      <c r="R942" s="37"/>
      <c r="S942" s="14" t="str">
        <f t="shared" si="88"/>
        <v/>
      </c>
    </row>
    <row r="943" spans="2:19" x14ac:dyDescent="0.2">
      <c r="B943" s="2" t="str">
        <f t="shared" si="89"/>
        <v/>
      </c>
      <c r="C943" s="2" t="str">
        <f t="shared" si="90"/>
        <v/>
      </c>
      <c r="D943" s="2" t="str">
        <f t="shared" si="86"/>
        <v>Y</v>
      </c>
      <c r="E943" s="2">
        <f t="shared" si="87"/>
        <v>0</v>
      </c>
      <c r="F943" s="2" t="str">
        <f t="shared" si="91"/>
        <v/>
      </c>
      <c r="H943" s="56" t="s">
        <v>940</v>
      </c>
      <c r="I943" s="28"/>
      <c r="J943" s="29"/>
      <c r="K943" s="29"/>
      <c r="L943" s="30"/>
      <c r="M943" s="30"/>
      <c r="N943" s="36"/>
      <c r="O943" s="32"/>
      <c r="P943" s="33"/>
      <c r="Q943" s="34"/>
      <c r="R943" s="37"/>
      <c r="S943" s="14" t="str">
        <f t="shared" si="88"/>
        <v/>
      </c>
    </row>
    <row r="944" spans="2:19" x14ac:dyDescent="0.2">
      <c r="B944" s="2" t="str">
        <f t="shared" si="89"/>
        <v/>
      </c>
      <c r="C944" s="2" t="str">
        <f t="shared" si="90"/>
        <v/>
      </c>
      <c r="D944" s="2" t="str">
        <f t="shared" si="86"/>
        <v>Y</v>
      </c>
      <c r="E944" s="2">
        <f t="shared" si="87"/>
        <v>0</v>
      </c>
      <c r="F944" s="2" t="str">
        <f t="shared" si="91"/>
        <v/>
      </c>
      <c r="H944" s="56" t="s">
        <v>941</v>
      </c>
      <c r="I944" s="28"/>
      <c r="J944" s="29"/>
      <c r="K944" s="29"/>
      <c r="L944" s="30"/>
      <c r="M944" s="30"/>
      <c r="N944" s="36"/>
      <c r="O944" s="32"/>
      <c r="P944" s="33"/>
      <c r="Q944" s="34"/>
      <c r="R944" s="37"/>
      <c r="S944" s="14" t="str">
        <f t="shared" si="88"/>
        <v/>
      </c>
    </row>
    <row r="945" spans="2:19" x14ac:dyDescent="0.2">
      <c r="B945" s="2" t="str">
        <f t="shared" si="89"/>
        <v/>
      </c>
      <c r="C945" s="2" t="str">
        <f t="shared" si="90"/>
        <v/>
      </c>
      <c r="D945" s="2" t="str">
        <f t="shared" si="86"/>
        <v>Y</v>
      </c>
      <c r="E945" s="2">
        <f t="shared" si="87"/>
        <v>0</v>
      </c>
      <c r="F945" s="2" t="str">
        <f t="shared" si="91"/>
        <v/>
      </c>
      <c r="H945" s="56" t="s">
        <v>942</v>
      </c>
      <c r="I945" s="28"/>
      <c r="J945" s="29"/>
      <c r="K945" s="29"/>
      <c r="L945" s="30"/>
      <c r="M945" s="30"/>
      <c r="N945" s="36"/>
      <c r="O945" s="32"/>
      <c r="P945" s="33"/>
      <c r="Q945" s="34"/>
      <c r="R945" s="37"/>
      <c r="S945" s="14" t="str">
        <f t="shared" si="88"/>
        <v/>
      </c>
    </row>
    <row r="946" spans="2:19" x14ac:dyDescent="0.2">
      <c r="B946" s="2" t="str">
        <f t="shared" si="89"/>
        <v/>
      </c>
      <c r="C946" s="2" t="str">
        <f t="shared" si="90"/>
        <v/>
      </c>
      <c r="D946" s="2" t="str">
        <f t="shared" si="86"/>
        <v>Y</v>
      </c>
      <c r="E946" s="2">
        <f t="shared" si="87"/>
        <v>0</v>
      </c>
      <c r="F946" s="2" t="str">
        <f t="shared" si="91"/>
        <v/>
      </c>
      <c r="H946" s="56" t="s">
        <v>943</v>
      </c>
      <c r="I946" s="28"/>
      <c r="J946" s="29"/>
      <c r="K946" s="29"/>
      <c r="L946" s="30"/>
      <c r="M946" s="30"/>
      <c r="N946" s="36"/>
      <c r="O946" s="32"/>
      <c r="P946" s="33"/>
      <c r="Q946" s="34"/>
      <c r="R946" s="37"/>
      <c r="S946" s="14" t="str">
        <f t="shared" si="88"/>
        <v/>
      </c>
    </row>
    <row r="947" spans="2:19" x14ac:dyDescent="0.2">
      <c r="B947" s="2" t="str">
        <f t="shared" si="89"/>
        <v/>
      </c>
      <c r="C947" s="2" t="str">
        <f t="shared" si="90"/>
        <v/>
      </c>
      <c r="D947" s="2" t="str">
        <f t="shared" si="86"/>
        <v>Y</v>
      </c>
      <c r="E947" s="2">
        <f t="shared" si="87"/>
        <v>0</v>
      </c>
      <c r="F947" s="2" t="str">
        <f t="shared" si="91"/>
        <v/>
      </c>
      <c r="H947" s="56" t="s">
        <v>944</v>
      </c>
      <c r="I947" s="28"/>
      <c r="J947" s="29"/>
      <c r="K947" s="29"/>
      <c r="L947" s="30"/>
      <c r="M947" s="30"/>
      <c r="N947" s="36"/>
      <c r="O947" s="32"/>
      <c r="P947" s="33"/>
      <c r="Q947" s="34"/>
      <c r="R947" s="37"/>
      <c r="S947" s="14" t="str">
        <f t="shared" si="88"/>
        <v/>
      </c>
    </row>
    <row r="948" spans="2:19" x14ac:dyDescent="0.2">
      <c r="B948" s="2" t="str">
        <f t="shared" si="89"/>
        <v/>
      </c>
      <c r="C948" s="2" t="str">
        <f t="shared" si="90"/>
        <v/>
      </c>
      <c r="D948" s="2" t="str">
        <f t="shared" si="86"/>
        <v>Y</v>
      </c>
      <c r="E948" s="2">
        <f t="shared" si="87"/>
        <v>0</v>
      </c>
      <c r="F948" s="2" t="str">
        <f t="shared" si="91"/>
        <v/>
      </c>
      <c r="H948" s="56" t="s">
        <v>945</v>
      </c>
      <c r="I948" s="28"/>
      <c r="J948" s="29"/>
      <c r="K948" s="29"/>
      <c r="L948" s="30"/>
      <c r="M948" s="30"/>
      <c r="N948" s="36"/>
      <c r="O948" s="32"/>
      <c r="P948" s="33"/>
      <c r="Q948" s="34"/>
      <c r="R948" s="37"/>
      <c r="S948" s="14" t="str">
        <f t="shared" si="88"/>
        <v/>
      </c>
    </row>
    <row r="949" spans="2:19" x14ac:dyDescent="0.2">
      <c r="B949" s="2" t="str">
        <f t="shared" si="89"/>
        <v/>
      </c>
      <c r="C949" s="2" t="str">
        <f t="shared" si="90"/>
        <v/>
      </c>
      <c r="D949" s="2" t="str">
        <f t="shared" si="86"/>
        <v>Y</v>
      </c>
      <c r="E949" s="2">
        <f t="shared" si="87"/>
        <v>0</v>
      </c>
      <c r="F949" s="2" t="str">
        <f t="shared" si="91"/>
        <v/>
      </c>
      <c r="H949" s="56" t="s">
        <v>946</v>
      </c>
      <c r="I949" s="28"/>
      <c r="J949" s="29"/>
      <c r="K949" s="29"/>
      <c r="L949" s="30"/>
      <c r="M949" s="30"/>
      <c r="N949" s="36"/>
      <c r="O949" s="32"/>
      <c r="P949" s="33"/>
      <c r="Q949" s="34"/>
      <c r="R949" s="37"/>
      <c r="S949" s="14" t="str">
        <f t="shared" si="88"/>
        <v/>
      </c>
    </row>
    <row r="950" spans="2:19" x14ac:dyDescent="0.2">
      <c r="B950" s="2" t="str">
        <f t="shared" si="89"/>
        <v/>
      </c>
      <c r="C950" s="2" t="str">
        <f t="shared" si="90"/>
        <v/>
      </c>
      <c r="D950" s="2" t="str">
        <f t="shared" si="86"/>
        <v>Y</v>
      </c>
      <c r="E950" s="2">
        <f t="shared" si="87"/>
        <v>0</v>
      </c>
      <c r="F950" s="2" t="str">
        <f t="shared" si="91"/>
        <v/>
      </c>
      <c r="H950" s="56" t="s">
        <v>947</v>
      </c>
      <c r="I950" s="28"/>
      <c r="J950" s="29"/>
      <c r="K950" s="29"/>
      <c r="L950" s="30"/>
      <c r="M950" s="30"/>
      <c r="N950" s="36"/>
      <c r="O950" s="32"/>
      <c r="P950" s="33"/>
      <c r="Q950" s="34"/>
      <c r="R950" s="37"/>
      <c r="S950" s="14" t="str">
        <f t="shared" si="88"/>
        <v/>
      </c>
    </row>
    <row r="951" spans="2:19" x14ac:dyDescent="0.2">
      <c r="B951" s="2" t="str">
        <f t="shared" si="89"/>
        <v/>
      </c>
      <c r="C951" s="2" t="str">
        <f t="shared" si="90"/>
        <v/>
      </c>
      <c r="D951" s="2" t="str">
        <f t="shared" si="86"/>
        <v>Y</v>
      </c>
      <c r="E951" s="2">
        <f t="shared" si="87"/>
        <v>0</v>
      </c>
      <c r="F951" s="2" t="str">
        <f t="shared" si="91"/>
        <v/>
      </c>
      <c r="H951" s="56" t="s">
        <v>948</v>
      </c>
      <c r="I951" s="28"/>
      <c r="J951" s="29"/>
      <c r="K951" s="29"/>
      <c r="L951" s="30"/>
      <c r="M951" s="30"/>
      <c r="N951" s="36"/>
      <c r="O951" s="32"/>
      <c r="P951" s="33"/>
      <c r="Q951" s="34"/>
      <c r="R951" s="37"/>
      <c r="S951" s="14" t="str">
        <f t="shared" si="88"/>
        <v/>
      </c>
    </row>
    <row r="952" spans="2:19" x14ac:dyDescent="0.2">
      <c r="B952" s="2" t="str">
        <f t="shared" si="89"/>
        <v/>
      </c>
      <c r="C952" s="2" t="str">
        <f t="shared" si="90"/>
        <v/>
      </c>
      <c r="D952" s="2" t="str">
        <f t="shared" si="86"/>
        <v>Y</v>
      </c>
      <c r="E952" s="2">
        <f t="shared" si="87"/>
        <v>0</v>
      </c>
      <c r="F952" s="2" t="str">
        <f t="shared" si="91"/>
        <v/>
      </c>
      <c r="H952" s="56" t="s">
        <v>949</v>
      </c>
      <c r="I952" s="28"/>
      <c r="J952" s="29"/>
      <c r="K952" s="29"/>
      <c r="L952" s="30"/>
      <c r="M952" s="30"/>
      <c r="N952" s="36"/>
      <c r="O952" s="32"/>
      <c r="P952" s="33"/>
      <c r="Q952" s="34"/>
      <c r="R952" s="37"/>
      <c r="S952" s="14" t="str">
        <f t="shared" si="88"/>
        <v/>
      </c>
    </row>
    <row r="953" spans="2:19" x14ac:dyDescent="0.2">
      <c r="B953" s="2" t="str">
        <f t="shared" si="89"/>
        <v/>
      </c>
      <c r="C953" s="2" t="str">
        <f t="shared" si="90"/>
        <v/>
      </c>
      <c r="D953" s="2" t="str">
        <f t="shared" si="86"/>
        <v>Y</v>
      </c>
      <c r="E953" s="2">
        <f t="shared" si="87"/>
        <v>0</v>
      </c>
      <c r="F953" s="2" t="str">
        <f t="shared" si="91"/>
        <v/>
      </c>
      <c r="H953" s="56" t="s">
        <v>950</v>
      </c>
      <c r="I953" s="28"/>
      <c r="J953" s="29"/>
      <c r="K953" s="29"/>
      <c r="L953" s="30"/>
      <c r="M953" s="30"/>
      <c r="N953" s="36"/>
      <c r="O953" s="32"/>
      <c r="P953" s="33"/>
      <c r="Q953" s="34"/>
      <c r="R953" s="37"/>
      <c r="S953" s="14" t="str">
        <f t="shared" si="88"/>
        <v/>
      </c>
    </row>
    <row r="954" spans="2:19" x14ac:dyDescent="0.2">
      <c r="B954" s="2" t="str">
        <f t="shared" si="89"/>
        <v/>
      </c>
      <c r="C954" s="2" t="str">
        <f t="shared" si="90"/>
        <v/>
      </c>
      <c r="D954" s="2" t="str">
        <f t="shared" si="86"/>
        <v>Y</v>
      </c>
      <c r="E954" s="2">
        <f t="shared" si="87"/>
        <v>0</v>
      </c>
      <c r="F954" s="2" t="str">
        <f t="shared" si="91"/>
        <v/>
      </c>
      <c r="H954" s="56" t="s">
        <v>951</v>
      </c>
      <c r="I954" s="28"/>
      <c r="J954" s="29"/>
      <c r="K954" s="29"/>
      <c r="L954" s="30"/>
      <c r="M954" s="30"/>
      <c r="N954" s="36"/>
      <c r="O954" s="32"/>
      <c r="P954" s="33"/>
      <c r="Q954" s="34"/>
      <c r="R954" s="37"/>
      <c r="S954" s="14" t="str">
        <f t="shared" si="88"/>
        <v/>
      </c>
    </row>
    <row r="955" spans="2:19" x14ac:dyDescent="0.2">
      <c r="B955" s="2" t="str">
        <f t="shared" si="89"/>
        <v/>
      </c>
      <c r="C955" s="2" t="str">
        <f t="shared" si="90"/>
        <v/>
      </c>
      <c r="D955" s="2" t="str">
        <f t="shared" si="86"/>
        <v>Y</v>
      </c>
      <c r="E955" s="2">
        <f t="shared" si="87"/>
        <v>0</v>
      </c>
      <c r="F955" s="2" t="str">
        <f t="shared" si="91"/>
        <v/>
      </c>
      <c r="H955" s="56" t="s">
        <v>952</v>
      </c>
      <c r="I955" s="28"/>
      <c r="J955" s="29"/>
      <c r="K955" s="29"/>
      <c r="L955" s="30"/>
      <c r="M955" s="30"/>
      <c r="N955" s="36"/>
      <c r="O955" s="32"/>
      <c r="P955" s="33"/>
      <c r="Q955" s="34"/>
      <c r="R955" s="37"/>
      <c r="S955" s="14" t="str">
        <f t="shared" si="88"/>
        <v/>
      </c>
    </row>
    <row r="956" spans="2:19" x14ac:dyDescent="0.2">
      <c r="B956" s="2" t="str">
        <f t="shared" si="89"/>
        <v/>
      </c>
      <c r="C956" s="2" t="str">
        <f t="shared" si="90"/>
        <v/>
      </c>
      <c r="D956" s="2" t="str">
        <f t="shared" si="86"/>
        <v>Y</v>
      </c>
      <c r="E956" s="2">
        <f t="shared" si="87"/>
        <v>0</v>
      </c>
      <c r="F956" s="2" t="str">
        <f t="shared" si="91"/>
        <v/>
      </c>
      <c r="H956" s="56" t="s">
        <v>953</v>
      </c>
      <c r="I956" s="28"/>
      <c r="J956" s="29"/>
      <c r="K956" s="29"/>
      <c r="L956" s="30"/>
      <c r="M956" s="30"/>
      <c r="N956" s="36"/>
      <c r="O956" s="32"/>
      <c r="P956" s="33"/>
      <c r="Q956" s="34"/>
      <c r="R956" s="37"/>
      <c r="S956" s="14" t="str">
        <f t="shared" si="88"/>
        <v/>
      </c>
    </row>
    <row r="957" spans="2:19" x14ac:dyDescent="0.2">
      <c r="B957" s="2" t="str">
        <f t="shared" si="89"/>
        <v/>
      </c>
      <c r="C957" s="2" t="str">
        <f t="shared" si="90"/>
        <v/>
      </c>
      <c r="D957" s="2" t="str">
        <f t="shared" si="86"/>
        <v>Y</v>
      </c>
      <c r="E957" s="2">
        <f t="shared" si="87"/>
        <v>0</v>
      </c>
      <c r="F957" s="2" t="str">
        <f t="shared" si="91"/>
        <v/>
      </c>
      <c r="H957" s="56" t="s">
        <v>954</v>
      </c>
      <c r="I957" s="28"/>
      <c r="J957" s="29"/>
      <c r="K957" s="29"/>
      <c r="L957" s="30"/>
      <c r="M957" s="30"/>
      <c r="N957" s="36"/>
      <c r="O957" s="32"/>
      <c r="P957" s="33"/>
      <c r="Q957" s="34"/>
      <c r="R957" s="37"/>
      <c r="S957" s="14" t="str">
        <f t="shared" si="88"/>
        <v/>
      </c>
    </row>
    <row r="958" spans="2:19" x14ac:dyDescent="0.2">
      <c r="B958" s="2" t="str">
        <f t="shared" si="89"/>
        <v/>
      </c>
      <c r="C958" s="2" t="str">
        <f t="shared" si="90"/>
        <v/>
      </c>
      <c r="D958" s="2" t="str">
        <f t="shared" si="86"/>
        <v>Y</v>
      </c>
      <c r="E958" s="2">
        <f t="shared" si="87"/>
        <v>0</v>
      </c>
      <c r="F958" s="2" t="str">
        <f t="shared" si="91"/>
        <v/>
      </c>
      <c r="H958" s="56" t="s">
        <v>955</v>
      </c>
      <c r="I958" s="28"/>
      <c r="J958" s="29"/>
      <c r="K958" s="29"/>
      <c r="L958" s="30"/>
      <c r="M958" s="30"/>
      <c r="N958" s="36"/>
      <c r="O958" s="32"/>
      <c r="P958" s="33"/>
      <c r="Q958" s="34"/>
      <c r="R958" s="37"/>
      <c r="S958" s="14" t="str">
        <f t="shared" si="88"/>
        <v/>
      </c>
    </row>
    <row r="959" spans="2:19" x14ac:dyDescent="0.2">
      <c r="B959" s="2" t="str">
        <f t="shared" si="89"/>
        <v/>
      </c>
      <c r="C959" s="2" t="str">
        <f t="shared" si="90"/>
        <v/>
      </c>
      <c r="D959" s="2" t="str">
        <f t="shared" si="86"/>
        <v>Y</v>
      </c>
      <c r="E959" s="2">
        <f t="shared" si="87"/>
        <v>0</v>
      </c>
      <c r="F959" s="2" t="str">
        <f t="shared" si="91"/>
        <v/>
      </c>
      <c r="H959" s="56" t="s">
        <v>956</v>
      </c>
      <c r="I959" s="28"/>
      <c r="J959" s="29"/>
      <c r="K959" s="29"/>
      <c r="L959" s="30"/>
      <c r="M959" s="30"/>
      <c r="N959" s="36"/>
      <c r="O959" s="32"/>
      <c r="P959" s="33"/>
      <c r="Q959" s="34"/>
      <c r="R959" s="37"/>
      <c r="S959" s="14" t="str">
        <f t="shared" si="88"/>
        <v/>
      </c>
    </row>
    <row r="960" spans="2:19" x14ac:dyDescent="0.2">
      <c r="B960" s="2" t="str">
        <f t="shared" si="89"/>
        <v/>
      </c>
      <c r="C960" s="2" t="str">
        <f t="shared" si="90"/>
        <v/>
      </c>
      <c r="D960" s="2" t="str">
        <f t="shared" si="86"/>
        <v>Y</v>
      </c>
      <c r="E960" s="2">
        <f t="shared" si="87"/>
        <v>0</v>
      </c>
      <c r="F960" s="2" t="str">
        <f t="shared" si="91"/>
        <v/>
      </c>
      <c r="H960" s="56" t="s">
        <v>957</v>
      </c>
      <c r="I960" s="28"/>
      <c r="J960" s="29"/>
      <c r="K960" s="29"/>
      <c r="L960" s="30"/>
      <c r="M960" s="30"/>
      <c r="N960" s="36"/>
      <c r="O960" s="32"/>
      <c r="P960" s="33"/>
      <c r="Q960" s="34"/>
      <c r="R960" s="37"/>
      <c r="S960" s="14" t="str">
        <f t="shared" si="88"/>
        <v/>
      </c>
    </row>
    <row r="961" spans="2:19" x14ac:dyDescent="0.2">
      <c r="B961" s="2" t="str">
        <f t="shared" si="89"/>
        <v/>
      </c>
      <c r="C961" s="2" t="str">
        <f t="shared" si="90"/>
        <v/>
      </c>
      <c r="D961" s="2" t="str">
        <f t="shared" si="86"/>
        <v>Y</v>
      </c>
      <c r="E961" s="2">
        <f t="shared" si="87"/>
        <v>0</v>
      </c>
      <c r="F961" s="2" t="str">
        <f t="shared" si="91"/>
        <v/>
      </c>
      <c r="H961" s="56" t="s">
        <v>958</v>
      </c>
      <c r="I961" s="28"/>
      <c r="J961" s="29"/>
      <c r="K961" s="29"/>
      <c r="L961" s="30"/>
      <c r="M961" s="30"/>
      <c r="N961" s="36"/>
      <c r="O961" s="32"/>
      <c r="P961" s="33"/>
      <c r="Q961" s="34"/>
      <c r="R961" s="37"/>
      <c r="S961" s="14" t="str">
        <f t="shared" si="88"/>
        <v/>
      </c>
    </row>
    <row r="962" spans="2:19" x14ac:dyDescent="0.2">
      <c r="B962" s="2" t="str">
        <f t="shared" si="89"/>
        <v/>
      </c>
      <c r="C962" s="2" t="str">
        <f t="shared" si="90"/>
        <v/>
      </c>
      <c r="D962" s="2" t="str">
        <f t="shared" si="86"/>
        <v>Y</v>
      </c>
      <c r="E962" s="2">
        <f t="shared" si="87"/>
        <v>0</v>
      </c>
      <c r="F962" s="2" t="str">
        <f t="shared" si="91"/>
        <v/>
      </c>
      <c r="H962" s="56" t="s">
        <v>959</v>
      </c>
      <c r="I962" s="28"/>
      <c r="J962" s="29"/>
      <c r="K962" s="29"/>
      <c r="L962" s="30"/>
      <c r="M962" s="30"/>
      <c r="N962" s="36"/>
      <c r="O962" s="32"/>
      <c r="P962" s="33"/>
      <c r="Q962" s="34"/>
      <c r="R962" s="37"/>
      <c r="S962" s="14" t="str">
        <f t="shared" si="88"/>
        <v/>
      </c>
    </row>
    <row r="963" spans="2:19" x14ac:dyDescent="0.2">
      <c r="B963" s="2" t="str">
        <f t="shared" si="89"/>
        <v/>
      </c>
      <c r="C963" s="2" t="str">
        <f t="shared" si="90"/>
        <v/>
      </c>
      <c r="D963" s="2" t="str">
        <f t="shared" si="86"/>
        <v>Y</v>
      </c>
      <c r="E963" s="2">
        <f t="shared" si="87"/>
        <v>0</v>
      </c>
      <c r="F963" s="2" t="str">
        <f t="shared" si="91"/>
        <v/>
      </c>
      <c r="H963" s="56" t="s">
        <v>960</v>
      </c>
      <c r="I963" s="28"/>
      <c r="J963" s="29"/>
      <c r="K963" s="29"/>
      <c r="L963" s="30"/>
      <c r="M963" s="30"/>
      <c r="N963" s="36"/>
      <c r="O963" s="32"/>
      <c r="P963" s="33"/>
      <c r="Q963" s="34"/>
      <c r="R963" s="37"/>
      <c r="S963" s="14" t="str">
        <f t="shared" si="88"/>
        <v/>
      </c>
    </row>
    <row r="964" spans="2:19" x14ac:dyDescent="0.2">
      <c r="B964" s="2" t="str">
        <f t="shared" si="89"/>
        <v/>
      </c>
      <c r="C964" s="2" t="str">
        <f t="shared" si="90"/>
        <v/>
      </c>
      <c r="D964" s="2" t="str">
        <f t="shared" si="86"/>
        <v>Y</v>
      </c>
      <c r="E964" s="2">
        <f t="shared" si="87"/>
        <v>0</v>
      </c>
      <c r="F964" s="2" t="str">
        <f t="shared" si="91"/>
        <v/>
      </c>
      <c r="H964" s="56" t="s">
        <v>961</v>
      </c>
      <c r="I964" s="28"/>
      <c r="J964" s="29"/>
      <c r="K964" s="29"/>
      <c r="L964" s="30"/>
      <c r="M964" s="30"/>
      <c r="N964" s="36"/>
      <c r="O964" s="32"/>
      <c r="P964" s="33"/>
      <c r="Q964" s="34"/>
      <c r="R964" s="37"/>
      <c r="S964" s="14" t="str">
        <f t="shared" si="88"/>
        <v/>
      </c>
    </row>
    <row r="965" spans="2:19" x14ac:dyDescent="0.2">
      <c r="B965" s="2" t="str">
        <f t="shared" si="89"/>
        <v/>
      </c>
      <c r="C965" s="2" t="str">
        <f t="shared" si="90"/>
        <v/>
      </c>
      <c r="D965" s="2" t="str">
        <f t="shared" si="86"/>
        <v>Y</v>
      </c>
      <c r="E965" s="2">
        <f t="shared" si="87"/>
        <v>0</v>
      </c>
      <c r="F965" s="2" t="str">
        <f t="shared" si="91"/>
        <v/>
      </c>
      <c r="H965" s="56" t="s">
        <v>962</v>
      </c>
      <c r="I965" s="28"/>
      <c r="J965" s="29"/>
      <c r="K965" s="29"/>
      <c r="L965" s="30"/>
      <c r="M965" s="30"/>
      <c r="N965" s="36"/>
      <c r="O965" s="32"/>
      <c r="P965" s="33"/>
      <c r="Q965" s="34"/>
      <c r="R965" s="37"/>
      <c r="S965" s="14" t="str">
        <f t="shared" si="88"/>
        <v/>
      </c>
    </row>
    <row r="966" spans="2:19" x14ac:dyDescent="0.2">
      <c r="B966" s="2" t="str">
        <f t="shared" si="89"/>
        <v/>
      </c>
      <c r="C966" s="2" t="str">
        <f t="shared" si="90"/>
        <v/>
      </c>
      <c r="D966" s="2" t="str">
        <f t="shared" si="86"/>
        <v>Y</v>
      </c>
      <c r="E966" s="2">
        <f t="shared" si="87"/>
        <v>0</v>
      </c>
      <c r="F966" s="2" t="str">
        <f t="shared" si="91"/>
        <v/>
      </c>
      <c r="H966" s="56" t="s">
        <v>963</v>
      </c>
      <c r="I966" s="28"/>
      <c r="J966" s="29"/>
      <c r="K966" s="29"/>
      <c r="L966" s="30"/>
      <c r="M966" s="30"/>
      <c r="N966" s="36"/>
      <c r="O966" s="32"/>
      <c r="P966" s="33"/>
      <c r="Q966" s="34"/>
      <c r="R966" s="37"/>
      <c r="S966" s="14" t="str">
        <f t="shared" si="88"/>
        <v/>
      </c>
    </row>
    <row r="967" spans="2:19" x14ac:dyDescent="0.2">
      <c r="B967" s="2" t="str">
        <f t="shared" si="89"/>
        <v/>
      </c>
      <c r="C967" s="2" t="str">
        <f t="shared" si="90"/>
        <v/>
      </c>
      <c r="D967" s="2" t="str">
        <f t="shared" si="86"/>
        <v>Y</v>
      </c>
      <c r="E967" s="2">
        <f t="shared" si="87"/>
        <v>0</v>
      </c>
      <c r="F967" s="2" t="str">
        <f t="shared" si="91"/>
        <v/>
      </c>
      <c r="H967" s="56" t="s">
        <v>964</v>
      </c>
      <c r="I967" s="28"/>
      <c r="J967" s="29"/>
      <c r="K967" s="29"/>
      <c r="L967" s="30"/>
      <c r="M967" s="30"/>
      <c r="N967" s="36"/>
      <c r="O967" s="32"/>
      <c r="P967" s="33"/>
      <c r="Q967" s="34"/>
      <c r="R967" s="37"/>
      <c r="S967" s="14" t="str">
        <f t="shared" si="88"/>
        <v/>
      </c>
    </row>
    <row r="968" spans="2:19" x14ac:dyDescent="0.2">
      <c r="B968" s="2" t="str">
        <f t="shared" si="89"/>
        <v/>
      </c>
      <c r="C968" s="2" t="str">
        <f t="shared" si="90"/>
        <v/>
      </c>
      <c r="D968" s="2" t="str">
        <f t="shared" si="86"/>
        <v>Y</v>
      </c>
      <c r="E968" s="2">
        <f t="shared" si="87"/>
        <v>0</v>
      </c>
      <c r="F968" s="2" t="str">
        <f t="shared" si="91"/>
        <v/>
      </c>
      <c r="H968" s="56" t="s">
        <v>965</v>
      </c>
      <c r="I968" s="28"/>
      <c r="J968" s="29"/>
      <c r="K968" s="29"/>
      <c r="L968" s="30"/>
      <c r="M968" s="30"/>
      <c r="N968" s="36"/>
      <c r="O968" s="32"/>
      <c r="P968" s="33"/>
      <c r="Q968" s="34"/>
      <c r="R968" s="37"/>
      <c r="S968" s="14" t="str">
        <f t="shared" si="88"/>
        <v/>
      </c>
    </row>
    <row r="969" spans="2:19" x14ac:dyDescent="0.2">
      <c r="B969" s="2" t="str">
        <f t="shared" si="89"/>
        <v/>
      </c>
      <c r="C969" s="2" t="str">
        <f t="shared" si="90"/>
        <v/>
      </c>
      <c r="D969" s="2" t="str">
        <f t="shared" si="86"/>
        <v>Y</v>
      </c>
      <c r="E969" s="2">
        <f t="shared" si="87"/>
        <v>0</v>
      </c>
      <c r="F969" s="2" t="str">
        <f t="shared" si="91"/>
        <v/>
      </c>
      <c r="H969" s="56" t="s">
        <v>966</v>
      </c>
      <c r="I969" s="28"/>
      <c r="J969" s="29"/>
      <c r="K969" s="29"/>
      <c r="L969" s="30"/>
      <c r="M969" s="30"/>
      <c r="N969" s="36"/>
      <c r="O969" s="32"/>
      <c r="P969" s="33"/>
      <c r="Q969" s="34"/>
      <c r="R969" s="37"/>
      <c r="S969" s="14" t="str">
        <f t="shared" si="88"/>
        <v/>
      </c>
    </row>
    <row r="970" spans="2:19" x14ac:dyDescent="0.2">
      <c r="B970" s="2" t="str">
        <f t="shared" si="89"/>
        <v/>
      </c>
      <c r="C970" s="2" t="str">
        <f t="shared" si="90"/>
        <v/>
      </c>
      <c r="D970" s="2" t="str">
        <f t="shared" si="86"/>
        <v>Y</v>
      </c>
      <c r="E970" s="2">
        <f t="shared" si="87"/>
        <v>0</v>
      </c>
      <c r="F970" s="2" t="str">
        <f t="shared" si="91"/>
        <v/>
      </c>
      <c r="H970" s="56" t="s">
        <v>967</v>
      </c>
      <c r="I970" s="28"/>
      <c r="J970" s="29"/>
      <c r="K970" s="29"/>
      <c r="L970" s="30"/>
      <c r="M970" s="30"/>
      <c r="N970" s="36"/>
      <c r="O970" s="32"/>
      <c r="P970" s="33"/>
      <c r="Q970" s="34"/>
      <c r="R970" s="37"/>
      <c r="S970" s="14" t="str">
        <f t="shared" si="88"/>
        <v/>
      </c>
    </row>
    <row r="971" spans="2:19" x14ac:dyDescent="0.2">
      <c r="B971" s="2" t="str">
        <f t="shared" si="89"/>
        <v/>
      </c>
      <c r="C971" s="2" t="str">
        <f t="shared" si="90"/>
        <v/>
      </c>
      <c r="D971" s="2" t="str">
        <f t="shared" ref="D971:D1009" si="92">IF(OR(P971=Not_started,P971=In_progress),"N",IF(OR(P971=N_A,P971=Suspended,P971=Canceled),"","Y"))</f>
        <v>Y</v>
      </c>
      <c r="E971" s="2">
        <f t="shared" ref="E971:E1009" si="93">IF(OR(P971=Not_started,P971=In_progress,P971=Applied,P971=Closed),1,0)</f>
        <v>0</v>
      </c>
      <c r="F971" s="2" t="str">
        <f t="shared" si="91"/>
        <v/>
      </c>
      <c r="H971" s="56" t="s">
        <v>968</v>
      </c>
      <c r="I971" s="28"/>
      <c r="J971" s="29"/>
      <c r="K971" s="29"/>
      <c r="L971" s="30"/>
      <c r="M971" s="30"/>
      <c r="N971" s="36"/>
      <c r="O971" s="32"/>
      <c r="P971" s="33"/>
      <c r="Q971" s="34"/>
      <c r="R971" s="37"/>
      <c r="S971" s="14" t="str">
        <f t="shared" ref="S971:S1009" si="94">IF(ISERROR(VLOOKUP(K971,LB_PROJECTS,2,FALSE)),"",VLOOKUP(K971,LB_PROJECTS,2,FALSE))</f>
        <v/>
      </c>
    </row>
    <row r="972" spans="2:19" x14ac:dyDescent="0.2">
      <c r="B972" s="2" t="str">
        <f t="shared" ref="B972:B1009" si="95">IF(N972="","",IF(WEEKNUM(N972)&lt;10,VALUE(CONCATENATE(YEAR(N972),"0",WEEKNUM(N972))),VALUE(CONCATENATE(YEAR(N972),WEEKNUM(N972)))))</f>
        <v/>
      </c>
      <c r="C972" s="2" t="str">
        <f t="shared" ref="C972:C1009" si="96">IF(Q972="","",IF(WEEKNUM(Q972)&lt;10,VALUE(CONCATENATE(YEAR(Q972),"0",WEEKNUM(Q972))),VALUE(CONCATENATE(YEAR(Q972),WEEKNUM(Q972)))))</f>
        <v/>
      </c>
      <c r="D972" s="2" t="str">
        <f t="shared" si="92"/>
        <v>Y</v>
      </c>
      <c r="E972" s="2">
        <f t="shared" si="93"/>
        <v>0</v>
      </c>
      <c r="F972" s="2" t="str">
        <f t="shared" si="91"/>
        <v/>
      </c>
      <c r="H972" s="56" t="s">
        <v>969</v>
      </c>
      <c r="I972" s="28"/>
      <c r="J972" s="29"/>
      <c r="K972" s="29"/>
      <c r="L972" s="30"/>
      <c r="M972" s="30"/>
      <c r="N972" s="36"/>
      <c r="O972" s="32"/>
      <c r="P972" s="33"/>
      <c r="Q972" s="34"/>
      <c r="R972" s="37"/>
      <c r="S972" s="14" t="str">
        <f t="shared" si="94"/>
        <v/>
      </c>
    </row>
    <row r="973" spans="2:19" x14ac:dyDescent="0.2">
      <c r="B973" s="2" t="str">
        <f t="shared" si="95"/>
        <v/>
      </c>
      <c r="C973" s="2" t="str">
        <f t="shared" si="96"/>
        <v/>
      </c>
      <c r="D973" s="2" t="str">
        <f t="shared" si="92"/>
        <v>Y</v>
      </c>
      <c r="E973" s="2">
        <f t="shared" si="93"/>
        <v>0</v>
      </c>
      <c r="F973" s="2" t="str">
        <f t="shared" si="91"/>
        <v/>
      </c>
      <c r="H973" s="56" t="s">
        <v>970</v>
      </c>
      <c r="I973" s="28"/>
      <c r="J973" s="29"/>
      <c r="K973" s="29"/>
      <c r="L973" s="30"/>
      <c r="M973" s="30"/>
      <c r="N973" s="36"/>
      <c r="O973" s="32"/>
      <c r="P973" s="33"/>
      <c r="Q973" s="34"/>
      <c r="R973" s="37"/>
      <c r="S973" s="14" t="str">
        <f t="shared" si="94"/>
        <v/>
      </c>
    </row>
    <row r="974" spans="2:19" x14ac:dyDescent="0.2">
      <c r="B974" s="2" t="str">
        <f t="shared" si="95"/>
        <v/>
      </c>
      <c r="C974" s="2" t="str">
        <f t="shared" si="96"/>
        <v/>
      </c>
      <c r="D974" s="2" t="str">
        <f t="shared" si="92"/>
        <v>Y</v>
      </c>
      <c r="E974" s="2">
        <f t="shared" si="93"/>
        <v>0</v>
      </c>
      <c r="F974" s="2" t="str">
        <f t="shared" ref="F974:F1009" si="97">IF(O974="",B974,IF(WEEKNUM(O974)&lt;10,VALUE(CONCATENATE(YEAR(O974),"0",WEEKNUM(O974))),VALUE(CONCATENATE(YEAR(O974),WEEKNUM(O974)))))</f>
        <v/>
      </c>
      <c r="H974" s="56" t="s">
        <v>971</v>
      </c>
      <c r="I974" s="28"/>
      <c r="J974" s="29"/>
      <c r="K974" s="29"/>
      <c r="L974" s="30"/>
      <c r="M974" s="30"/>
      <c r="N974" s="36"/>
      <c r="O974" s="32"/>
      <c r="P974" s="33"/>
      <c r="Q974" s="34"/>
      <c r="R974" s="37"/>
      <c r="S974" s="14" t="str">
        <f t="shared" si="94"/>
        <v/>
      </c>
    </row>
    <row r="975" spans="2:19" x14ac:dyDescent="0.2">
      <c r="B975" s="2" t="str">
        <f t="shared" si="95"/>
        <v/>
      </c>
      <c r="C975" s="2" t="str">
        <f t="shared" si="96"/>
        <v/>
      </c>
      <c r="D975" s="2" t="str">
        <f t="shared" si="92"/>
        <v>Y</v>
      </c>
      <c r="E975" s="2">
        <f t="shared" si="93"/>
        <v>0</v>
      </c>
      <c r="F975" s="2" t="str">
        <f t="shared" si="97"/>
        <v/>
      </c>
      <c r="H975" s="56" t="s">
        <v>972</v>
      </c>
      <c r="I975" s="28"/>
      <c r="J975" s="29"/>
      <c r="K975" s="29"/>
      <c r="L975" s="30"/>
      <c r="M975" s="30"/>
      <c r="N975" s="36"/>
      <c r="O975" s="32"/>
      <c r="P975" s="33"/>
      <c r="Q975" s="34"/>
      <c r="R975" s="37"/>
      <c r="S975" s="14" t="str">
        <f t="shared" si="94"/>
        <v/>
      </c>
    </row>
    <row r="976" spans="2:19" x14ac:dyDescent="0.2">
      <c r="B976" s="2" t="str">
        <f t="shared" si="95"/>
        <v/>
      </c>
      <c r="C976" s="2" t="str">
        <f t="shared" si="96"/>
        <v/>
      </c>
      <c r="D976" s="2" t="str">
        <f t="shared" si="92"/>
        <v>Y</v>
      </c>
      <c r="E976" s="2">
        <f t="shared" si="93"/>
        <v>0</v>
      </c>
      <c r="F976" s="2" t="str">
        <f t="shared" si="97"/>
        <v/>
      </c>
      <c r="H976" s="56" t="s">
        <v>973</v>
      </c>
      <c r="I976" s="28"/>
      <c r="J976" s="29"/>
      <c r="K976" s="29"/>
      <c r="L976" s="30"/>
      <c r="M976" s="30"/>
      <c r="N976" s="36"/>
      <c r="O976" s="32"/>
      <c r="P976" s="33"/>
      <c r="Q976" s="34"/>
      <c r="R976" s="37"/>
      <c r="S976" s="14" t="str">
        <f t="shared" si="94"/>
        <v/>
      </c>
    </row>
    <row r="977" spans="2:19" x14ac:dyDescent="0.2">
      <c r="B977" s="2" t="str">
        <f t="shared" si="95"/>
        <v/>
      </c>
      <c r="C977" s="2" t="str">
        <f t="shared" si="96"/>
        <v/>
      </c>
      <c r="D977" s="2" t="str">
        <f t="shared" si="92"/>
        <v>Y</v>
      </c>
      <c r="E977" s="2">
        <f t="shared" si="93"/>
        <v>0</v>
      </c>
      <c r="F977" s="2" t="str">
        <f t="shared" si="97"/>
        <v/>
      </c>
      <c r="H977" s="56" t="s">
        <v>974</v>
      </c>
      <c r="I977" s="28"/>
      <c r="J977" s="29"/>
      <c r="K977" s="29"/>
      <c r="L977" s="30"/>
      <c r="M977" s="30"/>
      <c r="N977" s="36"/>
      <c r="O977" s="32"/>
      <c r="P977" s="33"/>
      <c r="Q977" s="34"/>
      <c r="R977" s="37"/>
      <c r="S977" s="14" t="str">
        <f t="shared" si="94"/>
        <v/>
      </c>
    </row>
    <row r="978" spans="2:19" x14ac:dyDescent="0.2">
      <c r="B978" s="2" t="str">
        <f t="shared" si="95"/>
        <v/>
      </c>
      <c r="C978" s="2" t="str">
        <f t="shared" si="96"/>
        <v/>
      </c>
      <c r="D978" s="2" t="str">
        <f t="shared" si="92"/>
        <v>Y</v>
      </c>
      <c r="E978" s="2">
        <f t="shared" si="93"/>
        <v>0</v>
      </c>
      <c r="F978" s="2" t="str">
        <f t="shared" si="97"/>
        <v/>
      </c>
      <c r="H978" s="56" t="s">
        <v>975</v>
      </c>
      <c r="I978" s="28"/>
      <c r="J978" s="29"/>
      <c r="K978" s="29"/>
      <c r="L978" s="30"/>
      <c r="M978" s="30"/>
      <c r="N978" s="36"/>
      <c r="O978" s="32"/>
      <c r="P978" s="33"/>
      <c r="Q978" s="34"/>
      <c r="R978" s="37"/>
      <c r="S978" s="14" t="str">
        <f t="shared" si="94"/>
        <v/>
      </c>
    </row>
    <row r="979" spans="2:19" x14ac:dyDescent="0.2">
      <c r="B979" s="2" t="str">
        <f t="shared" si="95"/>
        <v/>
      </c>
      <c r="C979" s="2" t="str">
        <f t="shared" si="96"/>
        <v/>
      </c>
      <c r="D979" s="2" t="str">
        <f t="shared" si="92"/>
        <v>Y</v>
      </c>
      <c r="E979" s="2">
        <f t="shared" si="93"/>
        <v>0</v>
      </c>
      <c r="F979" s="2" t="str">
        <f t="shared" si="97"/>
        <v/>
      </c>
      <c r="H979" s="56" t="s">
        <v>976</v>
      </c>
      <c r="I979" s="28"/>
      <c r="J979" s="29"/>
      <c r="K979" s="29"/>
      <c r="L979" s="30"/>
      <c r="M979" s="30"/>
      <c r="N979" s="36"/>
      <c r="O979" s="32"/>
      <c r="P979" s="33"/>
      <c r="Q979" s="34"/>
      <c r="R979" s="37"/>
      <c r="S979" s="14" t="str">
        <f t="shared" si="94"/>
        <v/>
      </c>
    </row>
    <row r="980" spans="2:19" x14ac:dyDescent="0.2">
      <c r="B980" s="2" t="str">
        <f t="shared" si="95"/>
        <v/>
      </c>
      <c r="C980" s="2" t="str">
        <f t="shared" si="96"/>
        <v/>
      </c>
      <c r="D980" s="2" t="str">
        <f t="shared" si="92"/>
        <v>Y</v>
      </c>
      <c r="E980" s="2">
        <f t="shared" si="93"/>
        <v>0</v>
      </c>
      <c r="F980" s="2" t="str">
        <f t="shared" si="97"/>
        <v/>
      </c>
      <c r="H980" s="56" t="s">
        <v>977</v>
      </c>
      <c r="I980" s="28"/>
      <c r="J980" s="29"/>
      <c r="K980" s="29"/>
      <c r="L980" s="30"/>
      <c r="M980" s="30"/>
      <c r="N980" s="36"/>
      <c r="O980" s="32"/>
      <c r="P980" s="33"/>
      <c r="Q980" s="34"/>
      <c r="R980" s="37"/>
      <c r="S980" s="14" t="str">
        <f t="shared" si="94"/>
        <v/>
      </c>
    </row>
    <row r="981" spans="2:19" x14ac:dyDescent="0.2">
      <c r="B981" s="2" t="str">
        <f t="shared" si="95"/>
        <v/>
      </c>
      <c r="C981" s="2" t="str">
        <f t="shared" si="96"/>
        <v/>
      </c>
      <c r="D981" s="2" t="str">
        <f t="shared" si="92"/>
        <v>Y</v>
      </c>
      <c r="E981" s="2">
        <f t="shared" si="93"/>
        <v>0</v>
      </c>
      <c r="F981" s="2" t="str">
        <f t="shared" si="97"/>
        <v/>
      </c>
      <c r="H981" s="56" t="s">
        <v>978</v>
      </c>
      <c r="I981" s="28"/>
      <c r="J981" s="29"/>
      <c r="K981" s="29"/>
      <c r="L981" s="30"/>
      <c r="M981" s="30"/>
      <c r="N981" s="36"/>
      <c r="O981" s="32"/>
      <c r="P981" s="33"/>
      <c r="Q981" s="34"/>
      <c r="R981" s="37"/>
      <c r="S981" s="14" t="str">
        <f t="shared" si="94"/>
        <v/>
      </c>
    </row>
    <row r="982" spans="2:19" x14ac:dyDescent="0.2">
      <c r="B982" s="2" t="str">
        <f t="shared" si="95"/>
        <v/>
      </c>
      <c r="C982" s="2" t="str">
        <f t="shared" si="96"/>
        <v/>
      </c>
      <c r="D982" s="2" t="str">
        <f t="shared" si="92"/>
        <v>Y</v>
      </c>
      <c r="E982" s="2">
        <f t="shared" si="93"/>
        <v>0</v>
      </c>
      <c r="F982" s="2" t="str">
        <f t="shared" si="97"/>
        <v/>
      </c>
      <c r="H982" s="56" t="s">
        <v>979</v>
      </c>
      <c r="I982" s="28"/>
      <c r="J982" s="29"/>
      <c r="K982" s="29"/>
      <c r="L982" s="30"/>
      <c r="M982" s="30"/>
      <c r="N982" s="36"/>
      <c r="O982" s="32"/>
      <c r="P982" s="33"/>
      <c r="Q982" s="34"/>
      <c r="R982" s="37"/>
      <c r="S982" s="14" t="str">
        <f t="shared" si="94"/>
        <v/>
      </c>
    </row>
    <row r="983" spans="2:19" x14ac:dyDescent="0.2">
      <c r="B983" s="2" t="str">
        <f t="shared" si="95"/>
        <v/>
      </c>
      <c r="C983" s="2" t="str">
        <f t="shared" si="96"/>
        <v/>
      </c>
      <c r="D983" s="2" t="str">
        <f t="shared" si="92"/>
        <v>Y</v>
      </c>
      <c r="E983" s="2">
        <f t="shared" si="93"/>
        <v>0</v>
      </c>
      <c r="F983" s="2" t="str">
        <f t="shared" si="97"/>
        <v/>
      </c>
      <c r="H983" s="56" t="s">
        <v>980</v>
      </c>
      <c r="I983" s="28"/>
      <c r="J983" s="29"/>
      <c r="K983" s="29"/>
      <c r="L983" s="30"/>
      <c r="M983" s="30"/>
      <c r="N983" s="36"/>
      <c r="O983" s="32"/>
      <c r="P983" s="33"/>
      <c r="Q983" s="34"/>
      <c r="R983" s="37"/>
      <c r="S983" s="14" t="str">
        <f t="shared" si="94"/>
        <v/>
      </c>
    </row>
    <row r="984" spans="2:19" x14ac:dyDescent="0.2">
      <c r="B984" s="2" t="str">
        <f t="shared" si="95"/>
        <v/>
      </c>
      <c r="C984" s="2" t="str">
        <f t="shared" si="96"/>
        <v/>
      </c>
      <c r="D984" s="2" t="str">
        <f t="shared" si="92"/>
        <v>Y</v>
      </c>
      <c r="E984" s="2">
        <f t="shared" si="93"/>
        <v>0</v>
      </c>
      <c r="F984" s="2" t="str">
        <f t="shared" si="97"/>
        <v/>
      </c>
      <c r="H984" s="56" t="s">
        <v>981</v>
      </c>
      <c r="I984" s="28"/>
      <c r="J984" s="29"/>
      <c r="K984" s="29"/>
      <c r="L984" s="30"/>
      <c r="M984" s="30"/>
      <c r="N984" s="36"/>
      <c r="O984" s="32"/>
      <c r="P984" s="33"/>
      <c r="Q984" s="34"/>
      <c r="R984" s="37"/>
      <c r="S984" s="14" t="str">
        <f t="shared" si="94"/>
        <v/>
      </c>
    </row>
    <row r="985" spans="2:19" x14ac:dyDescent="0.2">
      <c r="B985" s="2" t="str">
        <f t="shared" si="95"/>
        <v/>
      </c>
      <c r="C985" s="2" t="str">
        <f t="shared" si="96"/>
        <v/>
      </c>
      <c r="D985" s="2" t="str">
        <f t="shared" si="92"/>
        <v>Y</v>
      </c>
      <c r="E985" s="2">
        <f t="shared" si="93"/>
        <v>0</v>
      </c>
      <c r="F985" s="2" t="str">
        <f t="shared" si="97"/>
        <v/>
      </c>
      <c r="H985" s="56" t="s">
        <v>982</v>
      </c>
      <c r="I985" s="28"/>
      <c r="J985" s="29"/>
      <c r="K985" s="29"/>
      <c r="L985" s="30"/>
      <c r="M985" s="30"/>
      <c r="N985" s="36"/>
      <c r="O985" s="32"/>
      <c r="P985" s="33"/>
      <c r="Q985" s="34"/>
      <c r="R985" s="37"/>
      <c r="S985" s="14" t="str">
        <f t="shared" si="94"/>
        <v/>
      </c>
    </row>
    <row r="986" spans="2:19" x14ac:dyDescent="0.2">
      <c r="B986" s="2" t="str">
        <f t="shared" si="95"/>
        <v/>
      </c>
      <c r="C986" s="2" t="str">
        <f t="shared" si="96"/>
        <v/>
      </c>
      <c r="D986" s="2" t="str">
        <f t="shared" si="92"/>
        <v>Y</v>
      </c>
      <c r="E986" s="2">
        <f t="shared" si="93"/>
        <v>0</v>
      </c>
      <c r="F986" s="2" t="str">
        <f t="shared" si="97"/>
        <v/>
      </c>
      <c r="H986" s="56" t="s">
        <v>983</v>
      </c>
      <c r="I986" s="28"/>
      <c r="J986" s="29"/>
      <c r="K986" s="29"/>
      <c r="L986" s="30"/>
      <c r="M986" s="30"/>
      <c r="N986" s="36"/>
      <c r="O986" s="32"/>
      <c r="P986" s="33"/>
      <c r="Q986" s="34"/>
      <c r="R986" s="37"/>
      <c r="S986" s="14" t="str">
        <f t="shared" si="94"/>
        <v/>
      </c>
    </row>
    <row r="987" spans="2:19" x14ac:dyDescent="0.2">
      <c r="B987" s="2" t="str">
        <f t="shared" si="95"/>
        <v/>
      </c>
      <c r="C987" s="2" t="str">
        <f t="shared" si="96"/>
        <v/>
      </c>
      <c r="D987" s="2" t="str">
        <f t="shared" si="92"/>
        <v>Y</v>
      </c>
      <c r="E987" s="2">
        <f t="shared" si="93"/>
        <v>0</v>
      </c>
      <c r="F987" s="2" t="str">
        <f t="shared" si="97"/>
        <v/>
      </c>
      <c r="H987" s="56" t="s">
        <v>984</v>
      </c>
      <c r="I987" s="28"/>
      <c r="J987" s="29"/>
      <c r="K987" s="29"/>
      <c r="L987" s="30"/>
      <c r="M987" s="30"/>
      <c r="N987" s="36"/>
      <c r="O987" s="32"/>
      <c r="P987" s="33"/>
      <c r="Q987" s="34"/>
      <c r="R987" s="37"/>
      <c r="S987" s="14" t="str">
        <f t="shared" si="94"/>
        <v/>
      </c>
    </row>
    <row r="988" spans="2:19" x14ac:dyDescent="0.2">
      <c r="B988" s="2" t="str">
        <f t="shared" si="95"/>
        <v/>
      </c>
      <c r="C988" s="2" t="str">
        <f t="shared" si="96"/>
        <v/>
      </c>
      <c r="D988" s="2" t="str">
        <f t="shared" si="92"/>
        <v>Y</v>
      </c>
      <c r="E988" s="2">
        <f t="shared" si="93"/>
        <v>0</v>
      </c>
      <c r="F988" s="2" t="str">
        <f t="shared" si="97"/>
        <v/>
      </c>
      <c r="H988" s="56" t="s">
        <v>985</v>
      </c>
      <c r="I988" s="28"/>
      <c r="J988" s="29"/>
      <c r="K988" s="29"/>
      <c r="L988" s="30"/>
      <c r="M988" s="30"/>
      <c r="N988" s="36"/>
      <c r="O988" s="32"/>
      <c r="P988" s="33"/>
      <c r="Q988" s="34"/>
      <c r="R988" s="37"/>
      <c r="S988" s="14" t="str">
        <f t="shared" si="94"/>
        <v/>
      </c>
    </row>
    <row r="989" spans="2:19" x14ac:dyDescent="0.2">
      <c r="B989" s="2" t="str">
        <f t="shared" si="95"/>
        <v/>
      </c>
      <c r="C989" s="2" t="str">
        <f t="shared" si="96"/>
        <v/>
      </c>
      <c r="D989" s="2" t="str">
        <f t="shared" si="92"/>
        <v>Y</v>
      </c>
      <c r="E989" s="2">
        <f t="shared" si="93"/>
        <v>0</v>
      </c>
      <c r="F989" s="2" t="str">
        <f t="shared" si="97"/>
        <v/>
      </c>
      <c r="H989" s="56" t="s">
        <v>986</v>
      </c>
      <c r="I989" s="28"/>
      <c r="J989" s="29"/>
      <c r="K989" s="29"/>
      <c r="L989" s="30"/>
      <c r="M989" s="30"/>
      <c r="N989" s="36"/>
      <c r="O989" s="32"/>
      <c r="P989" s="33"/>
      <c r="Q989" s="34"/>
      <c r="R989" s="37"/>
      <c r="S989" s="14" t="str">
        <f t="shared" si="94"/>
        <v/>
      </c>
    </row>
    <row r="990" spans="2:19" x14ac:dyDescent="0.2">
      <c r="B990" s="2" t="str">
        <f t="shared" si="95"/>
        <v/>
      </c>
      <c r="C990" s="2" t="str">
        <f t="shared" si="96"/>
        <v/>
      </c>
      <c r="D990" s="2" t="str">
        <f t="shared" si="92"/>
        <v>Y</v>
      </c>
      <c r="E990" s="2">
        <f t="shared" si="93"/>
        <v>0</v>
      </c>
      <c r="F990" s="2" t="str">
        <f t="shared" si="97"/>
        <v/>
      </c>
      <c r="H990" s="56" t="s">
        <v>987</v>
      </c>
      <c r="I990" s="28"/>
      <c r="J990" s="29"/>
      <c r="K990" s="29"/>
      <c r="L990" s="30"/>
      <c r="M990" s="30"/>
      <c r="N990" s="36"/>
      <c r="O990" s="32"/>
      <c r="P990" s="33"/>
      <c r="Q990" s="34"/>
      <c r="R990" s="37"/>
      <c r="S990" s="14" t="str">
        <f t="shared" si="94"/>
        <v/>
      </c>
    </row>
    <row r="991" spans="2:19" x14ac:dyDescent="0.2">
      <c r="B991" s="2" t="str">
        <f t="shared" si="95"/>
        <v/>
      </c>
      <c r="C991" s="2" t="str">
        <f t="shared" si="96"/>
        <v/>
      </c>
      <c r="D991" s="2" t="str">
        <f t="shared" si="92"/>
        <v>Y</v>
      </c>
      <c r="E991" s="2">
        <f t="shared" si="93"/>
        <v>0</v>
      </c>
      <c r="F991" s="2" t="str">
        <f t="shared" si="97"/>
        <v/>
      </c>
      <c r="H991" s="56" t="s">
        <v>988</v>
      </c>
      <c r="I991" s="28"/>
      <c r="J991" s="29"/>
      <c r="K991" s="29"/>
      <c r="L991" s="30"/>
      <c r="M991" s="30"/>
      <c r="N991" s="36"/>
      <c r="O991" s="32"/>
      <c r="P991" s="33"/>
      <c r="Q991" s="34"/>
      <c r="R991" s="37"/>
      <c r="S991" s="14" t="str">
        <f t="shared" si="94"/>
        <v/>
      </c>
    </row>
    <row r="992" spans="2:19" x14ac:dyDescent="0.2">
      <c r="B992" s="2" t="str">
        <f t="shared" si="95"/>
        <v/>
      </c>
      <c r="C992" s="2" t="str">
        <f t="shared" si="96"/>
        <v/>
      </c>
      <c r="D992" s="2" t="str">
        <f t="shared" si="92"/>
        <v>Y</v>
      </c>
      <c r="E992" s="2">
        <f t="shared" si="93"/>
        <v>0</v>
      </c>
      <c r="F992" s="2" t="str">
        <f t="shared" si="97"/>
        <v/>
      </c>
      <c r="H992" s="56" t="s">
        <v>989</v>
      </c>
      <c r="I992" s="28"/>
      <c r="J992" s="29"/>
      <c r="K992" s="29"/>
      <c r="L992" s="30"/>
      <c r="M992" s="30"/>
      <c r="N992" s="36"/>
      <c r="O992" s="32"/>
      <c r="P992" s="33"/>
      <c r="Q992" s="34"/>
      <c r="R992" s="37"/>
      <c r="S992" s="14" t="str">
        <f t="shared" si="94"/>
        <v/>
      </c>
    </row>
    <row r="993" spans="2:19" x14ac:dyDescent="0.2">
      <c r="B993" s="2" t="str">
        <f t="shared" si="95"/>
        <v/>
      </c>
      <c r="C993" s="2" t="str">
        <f t="shared" si="96"/>
        <v/>
      </c>
      <c r="D993" s="2" t="str">
        <f t="shared" si="92"/>
        <v>Y</v>
      </c>
      <c r="E993" s="2">
        <f t="shared" si="93"/>
        <v>0</v>
      </c>
      <c r="F993" s="2" t="str">
        <f t="shared" si="97"/>
        <v/>
      </c>
      <c r="H993" s="56" t="s">
        <v>990</v>
      </c>
      <c r="I993" s="28"/>
      <c r="J993" s="29"/>
      <c r="K993" s="29"/>
      <c r="L993" s="30"/>
      <c r="M993" s="30"/>
      <c r="N993" s="36"/>
      <c r="O993" s="32"/>
      <c r="P993" s="33"/>
      <c r="Q993" s="34"/>
      <c r="R993" s="37"/>
      <c r="S993" s="14" t="str">
        <f t="shared" si="94"/>
        <v/>
      </c>
    </row>
    <row r="994" spans="2:19" x14ac:dyDescent="0.2">
      <c r="B994" s="2" t="str">
        <f t="shared" si="95"/>
        <v/>
      </c>
      <c r="C994" s="2" t="str">
        <f t="shared" si="96"/>
        <v/>
      </c>
      <c r="D994" s="2" t="str">
        <f t="shared" si="92"/>
        <v>Y</v>
      </c>
      <c r="E994" s="2">
        <f t="shared" si="93"/>
        <v>0</v>
      </c>
      <c r="F994" s="2" t="str">
        <f t="shared" si="97"/>
        <v/>
      </c>
      <c r="H994" s="56" t="s">
        <v>991</v>
      </c>
      <c r="I994" s="28"/>
      <c r="J994" s="29"/>
      <c r="K994" s="29"/>
      <c r="L994" s="30"/>
      <c r="M994" s="30"/>
      <c r="N994" s="36"/>
      <c r="O994" s="32"/>
      <c r="P994" s="33"/>
      <c r="Q994" s="34"/>
      <c r="R994" s="37"/>
      <c r="S994" s="14" t="str">
        <f t="shared" si="94"/>
        <v/>
      </c>
    </row>
    <row r="995" spans="2:19" x14ac:dyDescent="0.2">
      <c r="B995" s="2" t="str">
        <f t="shared" si="95"/>
        <v/>
      </c>
      <c r="C995" s="2" t="str">
        <f t="shared" si="96"/>
        <v/>
      </c>
      <c r="D995" s="2" t="str">
        <f t="shared" si="92"/>
        <v>Y</v>
      </c>
      <c r="E995" s="2">
        <f t="shared" si="93"/>
        <v>0</v>
      </c>
      <c r="F995" s="2" t="str">
        <f t="shared" si="97"/>
        <v/>
      </c>
      <c r="H995" s="56" t="s">
        <v>992</v>
      </c>
      <c r="I995" s="28"/>
      <c r="J995" s="29"/>
      <c r="K995" s="29"/>
      <c r="L995" s="30"/>
      <c r="M995" s="30"/>
      <c r="N995" s="36"/>
      <c r="O995" s="32"/>
      <c r="P995" s="33"/>
      <c r="Q995" s="34"/>
      <c r="R995" s="37"/>
      <c r="S995" s="14" t="str">
        <f t="shared" si="94"/>
        <v/>
      </c>
    </row>
    <row r="996" spans="2:19" x14ac:dyDescent="0.2">
      <c r="B996" s="2" t="str">
        <f t="shared" si="95"/>
        <v/>
      </c>
      <c r="C996" s="2" t="str">
        <f t="shared" si="96"/>
        <v/>
      </c>
      <c r="D996" s="2" t="str">
        <f t="shared" si="92"/>
        <v>Y</v>
      </c>
      <c r="E996" s="2">
        <f t="shared" si="93"/>
        <v>0</v>
      </c>
      <c r="F996" s="2" t="str">
        <f t="shared" si="97"/>
        <v/>
      </c>
      <c r="H996" s="56" t="s">
        <v>993</v>
      </c>
      <c r="I996" s="28"/>
      <c r="J996" s="29"/>
      <c r="K996" s="29"/>
      <c r="L996" s="30"/>
      <c r="M996" s="30"/>
      <c r="N996" s="36"/>
      <c r="O996" s="32"/>
      <c r="P996" s="33"/>
      <c r="Q996" s="34"/>
      <c r="R996" s="37"/>
      <c r="S996" s="14" t="str">
        <f t="shared" si="94"/>
        <v/>
      </c>
    </row>
    <row r="997" spans="2:19" x14ac:dyDescent="0.2">
      <c r="B997" s="2" t="str">
        <f t="shared" si="95"/>
        <v/>
      </c>
      <c r="C997" s="2" t="str">
        <f t="shared" si="96"/>
        <v/>
      </c>
      <c r="D997" s="2" t="str">
        <f t="shared" si="92"/>
        <v>Y</v>
      </c>
      <c r="E997" s="2">
        <f t="shared" si="93"/>
        <v>0</v>
      </c>
      <c r="F997" s="2" t="str">
        <f t="shared" si="97"/>
        <v/>
      </c>
      <c r="H997" s="56" t="s">
        <v>994</v>
      </c>
      <c r="I997" s="28"/>
      <c r="J997" s="29"/>
      <c r="K997" s="29"/>
      <c r="L997" s="30"/>
      <c r="M997" s="30"/>
      <c r="N997" s="36"/>
      <c r="O997" s="32"/>
      <c r="P997" s="33"/>
      <c r="Q997" s="34"/>
      <c r="R997" s="37"/>
      <c r="S997" s="14" t="str">
        <f t="shared" si="94"/>
        <v/>
      </c>
    </row>
    <row r="998" spans="2:19" x14ac:dyDescent="0.2">
      <c r="B998" s="2" t="str">
        <f t="shared" si="95"/>
        <v/>
      </c>
      <c r="C998" s="2" t="str">
        <f t="shared" si="96"/>
        <v/>
      </c>
      <c r="D998" s="2" t="str">
        <f t="shared" si="92"/>
        <v>Y</v>
      </c>
      <c r="E998" s="2">
        <f t="shared" si="93"/>
        <v>0</v>
      </c>
      <c r="F998" s="2" t="str">
        <f t="shared" si="97"/>
        <v/>
      </c>
      <c r="H998" s="56" t="s">
        <v>995</v>
      </c>
      <c r="I998" s="28"/>
      <c r="J998" s="29"/>
      <c r="K998" s="29"/>
      <c r="L998" s="30"/>
      <c r="M998" s="30"/>
      <c r="N998" s="36"/>
      <c r="O998" s="32"/>
      <c r="P998" s="33"/>
      <c r="Q998" s="34"/>
      <c r="R998" s="37"/>
      <c r="S998" s="14" t="str">
        <f t="shared" si="94"/>
        <v/>
      </c>
    </row>
    <row r="999" spans="2:19" x14ac:dyDescent="0.2">
      <c r="B999" s="2" t="str">
        <f t="shared" si="95"/>
        <v/>
      </c>
      <c r="C999" s="2" t="str">
        <f t="shared" si="96"/>
        <v/>
      </c>
      <c r="D999" s="2" t="str">
        <f t="shared" si="92"/>
        <v>Y</v>
      </c>
      <c r="E999" s="2">
        <f t="shared" si="93"/>
        <v>0</v>
      </c>
      <c r="F999" s="2" t="str">
        <f t="shared" si="97"/>
        <v/>
      </c>
      <c r="H999" s="56" t="s">
        <v>996</v>
      </c>
      <c r="I999" s="28"/>
      <c r="J999" s="29"/>
      <c r="K999" s="29"/>
      <c r="L999" s="30"/>
      <c r="M999" s="30"/>
      <c r="N999" s="36"/>
      <c r="O999" s="32"/>
      <c r="P999" s="33"/>
      <c r="Q999" s="34"/>
      <c r="R999" s="37"/>
      <c r="S999" s="14" t="str">
        <f t="shared" si="94"/>
        <v/>
      </c>
    </row>
    <row r="1000" spans="2:19" x14ac:dyDescent="0.2">
      <c r="B1000" s="2" t="str">
        <f t="shared" si="95"/>
        <v/>
      </c>
      <c r="C1000" s="2" t="str">
        <f t="shared" si="96"/>
        <v/>
      </c>
      <c r="D1000" s="2" t="str">
        <f t="shared" si="92"/>
        <v>Y</v>
      </c>
      <c r="E1000" s="2">
        <f t="shared" si="93"/>
        <v>0</v>
      </c>
      <c r="F1000" s="2" t="str">
        <f t="shared" si="97"/>
        <v/>
      </c>
      <c r="H1000" s="56" t="s">
        <v>997</v>
      </c>
      <c r="I1000" s="28"/>
      <c r="J1000" s="29"/>
      <c r="K1000" s="29"/>
      <c r="L1000" s="30"/>
      <c r="M1000" s="30"/>
      <c r="N1000" s="36"/>
      <c r="O1000" s="32"/>
      <c r="P1000" s="33"/>
      <c r="Q1000" s="34"/>
      <c r="R1000" s="37"/>
      <c r="S1000" s="14" t="str">
        <f t="shared" si="94"/>
        <v/>
      </c>
    </row>
    <row r="1001" spans="2:19" x14ac:dyDescent="0.2">
      <c r="B1001" s="2" t="str">
        <f t="shared" si="95"/>
        <v/>
      </c>
      <c r="C1001" s="2" t="str">
        <f t="shared" si="96"/>
        <v/>
      </c>
      <c r="D1001" s="2" t="str">
        <f t="shared" si="92"/>
        <v>Y</v>
      </c>
      <c r="E1001" s="2">
        <f t="shared" si="93"/>
        <v>0</v>
      </c>
      <c r="F1001" s="2" t="str">
        <f t="shared" si="97"/>
        <v/>
      </c>
      <c r="H1001" s="56" t="s">
        <v>998</v>
      </c>
      <c r="I1001" s="28"/>
      <c r="J1001" s="29"/>
      <c r="K1001" s="29"/>
      <c r="L1001" s="30"/>
      <c r="M1001" s="30"/>
      <c r="N1001" s="36"/>
      <c r="O1001" s="32"/>
      <c r="P1001" s="33"/>
      <c r="Q1001" s="34"/>
      <c r="R1001" s="37"/>
      <c r="S1001" s="14" t="str">
        <f t="shared" si="94"/>
        <v/>
      </c>
    </row>
    <row r="1002" spans="2:19" x14ac:dyDescent="0.2">
      <c r="B1002" s="2" t="str">
        <f t="shared" si="95"/>
        <v/>
      </c>
      <c r="C1002" s="2" t="str">
        <f t="shared" si="96"/>
        <v/>
      </c>
      <c r="D1002" s="2" t="str">
        <f t="shared" si="92"/>
        <v>Y</v>
      </c>
      <c r="E1002" s="2">
        <f t="shared" si="93"/>
        <v>0</v>
      </c>
      <c r="F1002" s="2" t="str">
        <f t="shared" si="97"/>
        <v/>
      </c>
      <c r="H1002" s="56" t="s">
        <v>999</v>
      </c>
      <c r="I1002" s="28"/>
      <c r="J1002" s="29"/>
      <c r="K1002" s="29"/>
      <c r="L1002" s="30"/>
      <c r="M1002" s="30"/>
      <c r="N1002" s="36"/>
      <c r="O1002" s="32"/>
      <c r="P1002" s="33"/>
      <c r="Q1002" s="34"/>
      <c r="R1002" s="37"/>
      <c r="S1002" s="14" t="str">
        <f t="shared" si="94"/>
        <v/>
      </c>
    </row>
    <row r="1003" spans="2:19" x14ac:dyDescent="0.2">
      <c r="B1003" s="2" t="str">
        <f t="shared" si="95"/>
        <v/>
      </c>
      <c r="C1003" s="2" t="str">
        <f t="shared" si="96"/>
        <v/>
      </c>
      <c r="D1003" s="2" t="str">
        <f t="shared" si="92"/>
        <v>Y</v>
      </c>
      <c r="E1003" s="2">
        <f t="shared" si="93"/>
        <v>0</v>
      </c>
      <c r="F1003" s="2" t="str">
        <f t="shared" si="97"/>
        <v/>
      </c>
      <c r="H1003" s="56" t="s">
        <v>1000</v>
      </c>
      <c r="I1003" s="28"/>
      <c r="J1003" s="29"/>
      <c r="K1003" s="29"/>
      <c r="L1003" s="30"/>
      <c r="M1003" s="30"/>
      <c r="N1003" s="36"/>
      <c r="O1003" s="32"/>
      <c r="P1003" s="33"/>
      <c r="Q1003" s="34"/>
      <c r="R1003" s="37"/>
      <c r="S1003" s="14" t="str">
        <f t="shared" si="94"/>
        <v/>
      </c>
    </row>
    <row r="1004" spans="2:19" x14ac:dyDescent="0.2">
      <c r="B1004" s="2" t="str">
        <f t="shared" si="95"/>
        <v/>
      </c>
      <c r="C1004" s="2" t="str">
        <f t="shared" si="96"/>
        <v/>
      </c>
      <c r="D1004" s="2" t="str">
        <f t="shared" si="92"/>
        <v>Y</v>
      </c>
      <c r="E1004" s="2">
        <f t="shared" si="93"/>
        <v>0</v>
      </c>
      <c r="F1004" s="2" t="str">
        <f t="shared" si="97"/>
        <v/>
      </c>
      <c r="H1004" s="56" t="s">
        <v>1001</v>
      </c>
      <c r="I1004" s="28"/>
      <c r="J1004" s="29"/>
      <c r="K1004" s="29"/>
      <c r="L1004" s="30"/>
      <c r="M1004" s="30"/>
      <c r="N1004" s="36"/>
      <c r="O1004" s="32"/>
      <c r="P1004" s="33"/>
      <c r="Q1004" s="34"/>
      <c r="R1004" s="37"/>
      <c r="S1004" s="14" t="str">
        <f t="shared" si="94"/>
        <v/>
      </c>
    </row>
    <row r="1005" spans="2:19" x14ac:dyDescent="0.2">
      <c r="B1005" s="2" t="str">
        <f t="shared" si="95"/>
        <v/>
      </c>
      <c r="C1005" s="2" t="str">
        <f t="shared" si="96"/>
        <v/>
      </c>
      <c r="D1005" s="2" t="str">
        <f t="shared" si="92"/>
        <v>Y</v>
      </c>
      <c r="E1005" s="2">
        <f t="shared" si="93"/>
        <v>0</v>
      </c>
      <c r="F1005" s="2" t="str">
        <f t="shared" si="97"/>
        <v/>
      </c>
      <c r="H1005" s="56" t="s">
        <v>1002</v>
      </c>
      <c r="I1005" s="28"/>
      <c r="J1005" s="29"/>
      <c r="K1005" s="29"/>
      <c r="L1005" s="30"/>
      <c r="M1005" s="30"/>
      <c r="N1005" s="36"/>
      <c r="O1005" s="32"/>
      <c r="P1005" s="33"/>
      <c r="Q1005" s="34"/>
      <c r="R1005" s="37"/>
      <c r="S1005" s="14" t="str">
        <f t="shared" si="94"/>
        <v/>
      </c>
    </row>
    <row r="1006" spans="2:19" x14ac:dyDescent="0.2">
      <c r="B1006" s="2" t="str">
        <f t="shared" si="95"/>
        <v/>
      </c>
      <c r="C1006" s="2" t="str">
        <f t="shared" si="96"/>
        <v/>
      </c>
      <c r="D1006" s="2" t="str">
        <f t="shared" si="92"/>
        <v>Y</v>
      </c>
      <c r="E1006" s="2">
        <f t="shared" si="93"/>
        <v>0</v>
      </c>
      <c r="F1006" s="2" t="str">
        <f t="shared" si="97"/>
        <v/>
      </c>
      <c r="H1006" s="56" t="s">
        <v>1003</v>
      </c>
      <c r="I1006" s="28"/>
      <c r="J1006" s="29"/>
      <c r="K1006" s="29"/>
      <c r="L1006" s="30"/>
      <c r="M1006" s="30"/>
      <c r="N1006" s="36"/>
      <c r="O1006" s="32"/>
      <c r="P1006" s="33"/>
      <c r="Q1006" s="34"/>
      <c r="R1006" s="37"/>
      <c r="S1006" s="14" t="str">
        <f t="shared" si="94"/>
        <v/>
      </c>
    </row>
    <row r="1007" spans="2:19" x14ac:dyDescent="0.2">
      <c r="B1007" s="2" t="str">
        <f t="shared" si="95"/>
        <v/>
      </c>
      <c r="C1007" s="2" t="str">
        <f t="shared" si="96"/>
        <v/>
      </c>
      <c r="D1007" s="2" t="str">
        <f t="shared" si="92"/>
        <v>Y</v>
      </c>
      <c r="E1007" s="2">
        <f t="shared" si="93"/>
        <v>0</v>
      </c>
      <c r="F1007" s="2" t="str">
        <f t="shared" si="97"/>
        <v/>
      </c>
      <c r="H1007" s="56" t="s">
        <v>1004</v>
      </c>
      <c r="I1007" s="28"/>
      <c r="J1007" s="29"/>
      <c r="K1007" s="29"/>
      <c r="L1007" s="30"/>
      <c r="M1007" s="30"/>
      <c r="N1007" s="36"/>
      <c r="O1007" s="32"/>
      <c r="P1007" s="33"/>
      <c r="Q1007" s="34"/>
      <c r="R1007" s="37"/>
      <c r="S1007" s="14" t="str">
        <f t="shared" si="94"/>
        <v/>
      </c>
    </row>
    <row r="1008" spans="2:19" x14ac:dyDescent="0.2">
      <c r="B1008" s="2" t="str">
        <f t="shared" si="95"/>
        <v/>
      </c>
      <c r="C1008" s="2" t="str">
        <f t="shared" si="96"/>
        <v/>
      </c>
      <c r="D1008" s="2" t="str">
        <f t="shared" si="92"/>
        <v>Y</v>
      </c>
      <c r="E1008" s="2">
        <f t="shared" si="93"/>
        <v>0</v>
      </c>
      <c r="F1008" s="2" t="str">
        <f t="shared" si="97"/>
        <v/>
      </c>
      <c r="H1008" s="56" t="s">
        <v>1005</v>
      </c>
      <c r="I1008" s="28"/>
      <c r="J1008" s="29"/>
      <c r="K1008" s="29"/>
      <c r="L1008" s="30"/>
      <c r="M1008" s="30"/>
      <c r="N1008" s="36"/>
      <c r="O1008" s="32"/>
      <c r="P1008" s="33"/>
      <c r="Q1008" s="34"/>
      <c r="R1008" s="37"/>
      <c r="S1008" s="14" t="str">
        <f t="shared" si="94"/>
        <v/>
      </c>
    </row>
    <row r="1009" spans="2:19" x14ac:dyDescent="0.2">
      <c r="B1009" s="2" t="str">
        <f t="shared" si="95"/>
        <v/>
      </c>
      <c r="C1009" s="2" t="str">
        <f t="shared" si="96"/>
        <v/>
      </c>
      <c r="D1009" s="2" t="str">
        <f t="shared" si="92"/>
        <v>Y</v>
      </c>
      <c r="E1009" s="2">
        <f t="shared" si="93"/>
        <v>0</v>
      </c>
      <c r="F1009" s="2" t="str">
        <f t="shared" si="97"/>
        <v/>
      </c>
      <c r="H1009" s="56" t="s">
        <v>1006</v>
      </c>
      <c r="I1009" s="40"/>
      <c r="J1009" s="41"/>
      <c r="K1009" s="41"/>
      <c r="L1009" s="42"/>
      <c r="M1009" s="42"/>
      <c r="N1009" s="43"/>
      <c r="O1009" s="44"/>
      <c r="P1009" s="45"/>
      <c r="Q1009" s="46"/>
      <c r="R1009" s="47"/>
      <c r="S1009" s="15" t="str">
        <f t="shared" si="94"/>
        <v/>
      </c>
    </row>
  </sheetData>
  <sheetProtection sheet="1" objects="1" scenarios="1" formatCells="0" formatColumns="0" formatRows="0" insertHyperlinks="0" sort="0" autoFilter="0" pivotTables="0"/>
  <autoFilter ref="F10:S1009"/>
  <mergeCells count="4">
    <mergeCell ref="Q2:Q4"/>
    <mergeCell ref="Q5:Q8"/>
    <mergeCell ref="H2:K8"/>
    <mergeCell ref="F5:F7"/>
  </mergeCells>
  <conditionalFormatting sqref="M11:M1009">
    <cfRule type="dataBar" priority="5802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{E28D8ED9-6F3F-4AFC-89EF-A9B87EF7E4C4}</x14:id>
        </ext>
      </extLst>
    </cfRule>
  </conditionalFormatting>
  <conditionalFormatting sqref="M8:M9">
    <cfRule type="dataBar" priority="580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{63738ED1-4561-4174-871A-CB4BB9316DE7}</x14:id>
        </ext>
      </extLst>
    </cfRule>
  </conditionalFormatting>
  <conditionalFormatting sqref="I11:R11">
    <cfRule type="expression" dxfId="5799" priority="5800">
      <formula>$P$11="Not started"</formula>
    </cfRule>
    <cfRule type="expression" dxfId="5798" priority="5799">
      <formula>$P$11="In progress"</formula>
    </cfRule>
    <cfRule type="expression" dxfId="5797" priority="5798">
      <formula>$P$11="Closed"</formula>
    </cfRule>
    <cfRule type="expression" dxfId="5796" priority="5797">
      <formula>$P$11="Canceled"</formula>
    </cfRule>
    <cfRule type="expression" dxfId="5795" priority="5796">
      <formula>$P$11="Suspended"</formula>
    </cfRule>
    <cfRule type="expression" dxfId="5794" priority="5795">
      <formula>$P$11="Applied"</formula>
    </cfRule>
    <cfRule type="expression" dxfId="5793" priority="5794">
      <formula>$P$11="N/A"</formula>
    </cfRule>
    <cfRule type="expression" dxfId="5792" priority="5793">
      <formula>$P$11=""</formula>
    </cfRule>
    <cfRule type="expression" dxfId="5791" priority="5792">
      <formula>$I$11="Module 1"</formula>
    </cfRule>
    <cfRule type="expression" dxfId="5790" priority="5791">
      <formula>$I$11="Module 2"</formula>
    </cfRule>
    <cfRule type="expression" dxfId="5789" priority="5790">
      <formula>$I$11="Module 3"</formula>
    </cfRule>
    <cfRule type="expression" dxfId="5788" priority="5789">
      <formula>$I$11="or"</formula>
    </cfRule>
    <cfRule type="expression" dxfId="5787" priority="5788">
      <formula>$I$11="Type 1"</formula>
    </cfRule>
    <cfRule type="expression" dxfId="5786" priority="5787">
      <formula>$I$11="Type 2"</formula>
    </cfRule>
    <cfRule type="expression" dxfId="5785" priority="5786">
      <formula>$I$11="Type 3"</formula>
    </cfRule>
  </conditionalFormatting>
  <conditionalFormatting sqref="L11">
    <cfRule type="expression" dxfId="5784" priority="5785">
      <formula>$L$11="1"</formula>
    </cfRule>
    <cfRule type="expression" dxfId="5783" priority="5784">
      <formula>$L$11="2"</formula>
    </cfRule>
    <cfRule type="expression" dxfId="5782" priority="5783">
      <formula>$L$11="3"</formula>
    </cfRule>
    <cfRule type="expression" dxfId="5781" priority="5782">
      <formula>$L$11="4"</formula>
    </cfRule>
    <cfRule type="expression" dxfId="5780" priority="5781">
      <formula>$L$11="5"</formula>
    </cfRule>
  </conditionalFormatting>
  <conditionalFormatting sqref="I12:R12">
    <cfRule type="expression" dxfId="5779" priority="5780">
      <formula>$P$12="Not started"</formula>
    </cfRule>
    <cfRule type="expression" dxfId="5778" priority="5779">
      <formula>$P$12="In progress"</formula>
    </cfRule>
    <cfRule type="expression" dxfId="5777" priority="5778">
      <formula>$P$12="Closed"</formula>
    </cfRule>
    <cfRule type="expression" dxfId="5776" priority="5777">
      <formula>$P$12="Canceled"</formula>
    </cfRule>
    <cfRule type="expression" dxfId="5775" priority="5776">
      <formula>$P$12="Suspended"</formula>
    </cfRule>
    <cfRule type="expression" dxfId="5774" priority="5775">
      <formula>$P$12="Applied"</formula>
    </cfRule>
    <cfRule type="expression" dxfId="5773" priority="5774">
      <formula>$P$12="N/A"</formula>
    </cfRule>
    <cfRule type="expression" dxfId="5772" priority="5773">
      <formula>$P$12=""</formula>
    </cfRule>
    <cfRule type="expression" dxfId="5771" priority="5772">
      <formula>$I$12="Module 1"</formula>
    </cfRule>
    <cfRule type="expression" dxfId="5770" priority="5771">
      <formula>$I$12="Module 2"</formula>
    </cfRule>
    <cfRule type="expression" dxfId="5769" priority="5770">
      <formula>$I$12="Module 3"</formula>
    </cfRule>
    <cfRule type="expression" dxfId="5768" priority="5769">
      <formula>$I$12="or"</formula>
    </cfRule>
    <cfRule type="expression" dxfId="5767" priority="5768">
      <formula>$I$12="Type 1"</formula>
    </cfRule>
    <cfRule type="expression" dxfId="5766" priority="5767">
      <formula>$I$12="Type 2"</formula>
    </cfRule>
    <cfRule type="expression" dxfId="5765" priority="5766">
      <formula>$I$12="Type 3"</formula>
    </cfRule>
  </conditionalFormatting>
  <conditionalFormatting sqref="L12">
    <cfRule type="expression" dxfId="5764" priority="5765">
      <formula>$L$12="1"</formula>
    </cfRule>
    <cfRule type="expression" dxfId="5763" priority="5764">
      <formula>$L$12="2"</formula>
    </cfRule>
    <cfRule type="expression" dxfId="5762" priority="5763">
      <formula>$L$12="3"</formula>
    </cfRule>
    <cfRule type="expression" dxfId="5761" priority="5762">
      <formula>$L$12="4"</formula>
    </cfRule>
    <cfRule type="expression" dxfId="5760" priority="5761">
      <formula>$L$12="5"</formula>
    </cfRule>
  </conditionalFormatting>
  <conditionalFormatting sqref="I13:R13">
    <cfRule type="expression" dxfId="5759" priority="5760">
      <formula>$P$13="Not started"</formula>
    </cfRule>
    <cfRule type="expression" dxfId="5758" priority="5759">
      <formula>$P$13="In progress"</formula>
    </cfRule>
    <cfRule type="expression" dxfId="5757" priority="5758">
      <formula>$P$13="Closed"</formula>
    </cfRule>
    <cfRule type="expression" dxfId="5756" priority="5757">
      <formula>$P$13="Canceled"</formula>
    </cfRule>
    <cfRule type="expression" dxfId="5755" priority="5756">
      <formula>$P$13="Suspended"</formula>
    </cfRule>
    <cfRule type="expression" dxfId="5754" priority="5755">
      <formula>$P$13="Applied"</formula>
    </cfRule>
    <cfRule type="expression" dxfId="5753" priority="5754">
      <formula>$P$13="N/A"</formula>
    </cfRule>
    <cfRule type="expression" dxfId="5752" priority="5753">
      <formula>$P$13=""</formula>
    </cfRule>
    <cfRule type="expression" dxfId="5751" priority="5752">
      <formula>$I$13="Module 1"</formula>
    </cfRule>
    <cfRule type="expression" dxfId="5750" priority="5751">
      <formula>$I$13="Module 2"</formula>
    </cfRule>
    <cfRule type="expression" dxfId="5749" priority="5750">
      <formula>$I$13="Module 3"</formula>
    </cfRule>
    <cfRule type="expression" dxfId="5748" priority="5749">
      <formula>$I$13="or"</formula>
    </cfRule>
    <cfRule type="expression" dxfId="5747" priority="5748">
      <formula>$I$13="Type 1"</formula>
    </cfRule>
    <cfRule type="expression" dxfId="5746" priority="5747">
      <formula>$I$13="Type 2"</formula>
    </cfRule>
    <cfRule type="expression" dxfId="5745" priority="5746">
      <formula>$I$13="Type 3"</formula>
    </cfRule>
  </conditionalFormatting>
  <conditionalFormatting sqref="L13">
    <cfRule type="expression" dxfId="5744" priority="5745">
      <formula>$L$13="1"</formula>
    </cfRule>
    <cfRule type="expression" dxfId="5743" priority="5744">
      <formula>$L$13="2"</formula>
    </cfRule>
    <cfRule type="expression" dxfId="5742" priority="5743">
      <formula>$L$13="3"</formula>
    </cfRule>
    <cfRule type="expression" dxfId="5741" priority="5742">
      <formula>$L$13="4"</formula>
    </cfRule>
    <cfRule type="expression" dxfId="5740" priority="5741">
      <formula>$L$13="5"</formula>
    </cfRule>
  </conditionalFormatting>
  <conditionalFormatting sqref="I14:R14">
    <cfRule type="expression" dxfId="5739" priority="5740">
      <formula>$P$14="Not started"</formula>
    </cfRule>
    <cfRule type="expression" dxfId="5738" priority="5739">
      <formula>$P$14="In progress"</formula>
    </cfRule>
    <cfRule type="expression" dxfId="5737" priority="5738">
      <formula>$P$14="Closed"</formula>
    </cfRule>
    <cfRule type="expression" dxfId="5736" priority="5737">
      <formula>$P$14="Canceled"</formula>
    </cfRule>
    <cfRule type="expression" dxfId="5735" priority="5736">
      <formula>$P$14="Suspended"</formula>
    </cfRule>
    <cfRule type="expression" dxfId="5734" priority="5735">
      <formula>$P$14="Applied"</formula>
    </cfRule>
    <cfRule type="expression" dxfId="5733" priority="5734">
      <formula>$P$14="N/A"</formula>
    </cfRule>
    <cfRule type="expression" dxfId="5732" priority="5733">
      <formula>$P$14=""</formula>
    </cfRule>
    <cfRule type="expression" dxfId="5731" priority="5732">
      <formula>$I$14="Module 1"</formula>
    </cfRule>
    <cfRule type="expression" dxfId="5730" priority="5731">
      <formula>$I$14="Module 2"</formula>
    </cfRule>
    <cfRule type="expression" dxfId="5729" priority="5730">
      <formula>$I$14="Module 3"</formula>
    </cfRule>
    <cfRule type="expression" dxfId="5728" priority="5729">
      <formula>$I$14="or"</formula>
    </cfRule>
    <cfRule type="expression" dxfId="5727" priority="5728">
      <formula>$I$14="Type 1"</formula>
    </cfRule>
    <cfRule type="expression" dxfId="5726" priority="5727">
      <formula>$I$14="Type 2"</formula>
    </cfRule>
    <cfRule type="expression" dxfId="5725" priority="5726">
      <formula>$I$14="Type 3"</formula>
    </cfRule>
  </conditionalFormatting>
  <conditionalFormatting sqref="L14">
    <cfRule type="expression" dxfId="5724" priority="5725">
      <formula>$L$14="1"</formula>
    </cfRule>
    <cfRule type="expression" dxfId="5723" priority="5724">
      <formula>$L$14="2"</formula>
    </cfRule>
    <cfRule type="expression" dxfId="5722" priority="5723">
      <formula>$L$14="3"</formula>
    </cfRule>
    <cfRule type="expression" dxfId="5721" priority="5722">
      <formula>$L$14="4"</formula>
    </cfRule>
    <cfRule type="expression" dxfId="5720" priority="5721">
      <formula>$L$14="5"</formula>
    </cfRule>
  </conditionalFormatting>
  <conditionalFormatting sqref="I15:R15">
    <cfRule type="expression" dxfId="5719" priority="5720">
      <formula>$P$15="Not started"</formula>
    </cfRule>
    <cfRule type="expression" dxfId="5718" priority="5719">
      <formula>$P$15="In progress"</formula>
    </cfRule>
    <cfRule type="expression" dxfId="5717" priority="5718">
      <formula>$P$15="Closed"</formula>
    </cfRule>
    <cfRule type="expression" dxfId="5716" priority="5717">
      <formula>$P$15="Canceled"</formula>
    </cfRule>
    <cfRule type="expression" dxfId="5715" priority="5716">
      <formula>$P$15="Suspended"</formula>
    </cfRule>
    <cfRule type="expression" dxfId="5714" priority="5715">
      <formula>$P$15="Applied"</formula>
    </cfRule>
    <cfRule type="expression" dxfId="5713" priority="5714">
      <formula>$P$15="N/A"</formula>
    </cfRule>
    <cfRule type="expression" dxfId="5712" priority="5713">
      <formula>$P$15=""</formula>
    </cfRule>
    <cfRule type="expression" dxfId="5711" priority="5712">
      <formula>$I$15="Module 1"</formula>
    </cfRule>
    <cfRule type="expression" dxfId="5710" priority="5711">
      <formula>$I$15="Module 2"</formula>
    </cfRule>
    <cfRule type="expression" dxfId="5709" priority="5710">
      <formula>$I$15="Module 3"</formula>
    </cfRule>
    <cfRule type="expression" dxfId="5708" priority="5709">
      <formula>$I$15="or"</formula>
    </cfRule>
    <cfRule type="expression" dxfId="5707" priority="5708">
      <formula>$I$15="Type 1"</formula>
    </cfRule>
    <cfRule type="expression" dxfId="5706" priority="5707">
      <formula>$I$15="Type 2"</formula>
    </cfRule>
    <cfRule type="expression" dxfId="5705" priority="5706">
      <formula>$I$15="Type 3"</formula>
    </cfRule>
  </conditionalFormatting>
  <conditionalFormatting sqref="L15">
    <cfRule type="expression" dxfId="5704" priority="5705">
      <formula>$L$15="1"</formula>
    </cfRule>
    <cfRule type="expression" dxfId="5703" priority="5704">
      <formula>$L$15="2"</formula>
    </cfRule>
    <cfRule type="expression" dxfId="5702" priority="5703">
      <formula>$L$15="3"</formula>
    </cfRule>
    <cfRule type="expression" dxfId="5701" priority="5702">
      <formula>$L$15="4"</formula>
    </cfRule>
    <cfRule type="expression" dxfId="5700" priority="5701">
      <formula>$L$15="5"</formula>
    </cfRule>
  </conditionalFormatting>
  <conditionalFormatting sqref="I16:R16">
    <cfRule type="expression" dxfId="5699" priority="5700">
      <formula>$P$16="Not started"</formula>
    </cfRule>
    <cfRule type="expression" dxfId="5698" priority="5699">
      <formula>$P$16="In progress"</formula>
    </cfRule>
    <cfRule type="expression" dxfId="5697" priority="5698">
      <formula>$P$16="Closed"</formula>
    </cfRule>
    <cfRule type="expression" dxfId="5696" priority="5697">
      <formula>$P$16="Canceled"</formula>
    </cfRule>
    <cfRule type="expression" dxfId="5695" priority="5696">
      <formula>$P$16="Suspended"</formula>
    </cfRule>
    <cfRule type="expression" dxfId="5694" priority="5695">
      <formula>$P$16="Applied"</formula>
    </cfRule>
    <cfRule type="expression" dxfId="5693" priority="5694">
      <formula>$P$16="N/A"</formula>
    </cfRule>
    <cfRule type="expression" dxfId="5692" priority="5693">
      <formula>$P$16=""</formula>
    </cfRule>
    <cfRule type="expression" dxfId="5691" priority="5692">
      <formula>$I$16="Module 1"</formula>
    </cfRule>
    <cfRule type="expression" dxfId="5690" priority="5691">
      <formula>$I$16="Module 2"</formula>
    </cfRule>
    <cfRule type="expression" dxfId="5689" priority="5690">
      <formula>$I$16="Module 3"</formula>
    </cfRule>
    <cfRule type="expression" dxfId="5688" priority="5689">
      <formula>$I$16="or"</formula>
    </cfRule>
    <cfRule type="expression" dxfId="5687" priority="5688">
      <formula>$I$16="Type 1"</formula>
    </cfRule>
    <cfRule type="expression" dxfId="5686" priority="5687">
      <formula>$I$16="Type 2"</formula>
    </cfRule>
    <cfRule type="expression" dxfId="5685" priority="5686">
      <formula>$I$16="Type 3"</formula>
    </cfRule>
  </conditionalFormatting>
  <conditionalFormatting sqref="L16">
    <cfRule type="expression" dxfId="5684" priority="5685">
      <formula>$L$16="1"</formula>
    </cfRule>
    <cfRule type="expression" dxfId="5683" priority="5684">
      <formula>$L$16="2"</formula>
    </cfRule>
    <cfRule type="expression" dxfId="5682" priority="5683">
      <formula>$L$16="3"</formula>
    </cfRule>
    <cfRule type="expression" dxfId="5681" priority="5682">
      <formula>$L$16="4"</formula>
    </cfRule>
    <cfRule type="expression" dxfId="5680" priority="5681">
      <formula>$L$16="5"</formula>
    </cfRule>
  </conditionalFormatting>
  <conditionalFormatting sqref="I17:R17">
    <cfRule type="expression" dxfId="5679" priority="5680">
      <formula>$P$17="Not started"</formula>
    </cfRule>
    <cfRule type="expression" dxfId="5678" priority="5679">
      <formula>$P$17="In progress"</formula>
    </cfRule>
    <cfRule type="expression" dxfId="5677" priority="5678">
      <formula>$P$17="Closed"</formula>
    </cfRule>
    <cfRule type="expression" dxfId="5676" priority="5677">
      <formula>$P$17="Canceled"</formula>
    </cfRule>
    <cfRule type="expression" dxfId="5675" priority="5676">
      <formula>$P$17="Suspended"</formula>
    </cfRule>
    <cfRule type="expression" dxfId="5674" priority="5675">
      <formula>$P$17="Applied"</formula>
    </cfRule>
    <cfRule type="expression" dxfId="5673" priority="5674">
      <formula>$P$17="N/A"</formula>
    </cfRule>
    <cfRule type="expression" dxfId="5672" priority="5673">
      <formula>$P$17=""</formula>
    </cfRule>
    <cfRule type="expression" dxfId="5671" priority="5672">
      <formula>$I$17="Module 1"</formula>
    </cfRule>
    <cfRule type="expression" dxfId="5670" priority="5671">
      <formula>$I$17="Module 2"</formula>
    </cfRule>
    <cfRule type="expression" dxfId="5669" priority="5670">
      <formula>$I$17="Module 3"</formula>
    </cfRule>
    <cfRule type="expression" dxfId="5668" priority="5669">
      <formula>$I$17="or"</formula>
    </cfRule>
    <cfRule type="expression" dxfId="5667" priority="5668">
      <formula>$I$17="Type 1"</formula>
    </cfRule>
    <cfRule type="expression" dxfId="5666" priority="5667">
      <formula>$I$17="Type 2"</formula>
    </cfRule>
    <cfRule type="expression" dxfId="5665" priority="5666">
      <formula>$I$17="Type 3"</formula>
    </cfRule>
  </conditionalFormatting>
  <conditionalFormatting sqref="L17">
    <cfRule type="expression" dxfId="5664" priority="5665">
      <formula>$L$17="1"</formula>
    </cfRule>
    <cfRule type="expression" dxfId="5663" priority="5664">
      <formula>$L$17="2"</formula>
    </cfRule>
    <cfRule type="expression" dxfId="5662" priority="5663">
      <formula>$L$17="3"</formula>
    </cfRule>
    <cfRule type="expression" dxfId="5661" priority="5662">
      <formula>$L$17="4"</formula>
    </cfRule>
    <cfRule type="expression" dxfId="5660" priority="5661">
      <formula>$L$17="5"</formula>
    </cfRule>
  </conditionalFormatting>
  <conditionalFormatting sqref="I18:R18">
    <cfRule type="expression" dxfId="5659" priority="5660">
      <formula>$P$18="Not started"</formula>
    </cfRule>
    <cfRule type="expression" dxfId="5658" priority="5659">
      <formula>$P$18="In progress"</formula>
    </cfRule>
    <cfRule type="expression" dxfId="5657" priority="5658">
      <formula>$P$18="Closed"</formula>
    </cfRule>
    <cfRule type="expression" dxfId="5656" priority="5657">
      <formula>$P$18="Canceled"</formula>
    </cfRule>
    <cfRule type="expression" dxfId="5655" priority="5656">
      <formula>$P$18="Suspended"</formula>
    </cfRule>
    <cfRule type="expression" dxfId="5654" priority="5655">
      <formula>$P$18="Applied"</formula>
    </cfRule>
    <cfRule type="expression" dxfId="5653" priority="5654">
      <formula>$P$18="N/A"</formula>
    </cfRule>
    <cfRule type="expression" dxfId="5652" priority="5653">
      <formula>$P$18=""</formula>
    </cfRule>
    <cfRule type="expression" dxfId="5651" priority="5652">
      <formula>$I$18="Module 1"</formula>
    </cfRule>
    <cfRule type="expression" dxfId="5650" priority="5651">
      <formula>$I$18="Module 2"</formula>
    </cfRule>
    <cfRule type="expression" dxfId="5649" priority="5650">
      <formula>$I$18="Module 3"</formula>
    </cfRule>
    <cfRule type="expression" dxfId="5648" priority="5649">
      <formula>$I$18="or"</formula>
    </cfRule>
    <cfRule type="expression" dxfId="5647" priority="5648">
      <formula>$I$18="Type 1"</formula>
    </cfRule>
    <cfRule type="expression" dxfId="5646" priority="5647">
      <formula>$I$18="Type 2"</formula>
    </cfRule>
    <cfRule type="expression" dxfId="5645" priority="5646">
      <formula>$I$18="Type 3"</formula>
    </cfRule>
  </conditionalFormatting>
  <conditionalFormatting sqref="L18">
    <cfRule type="expression" dxfId="5644" priority="5645">
      <formula>$L$18="1"</formula>
    </cfRule>
    <cfRule type="expression" dxfId="5643" priority="5644">
      <formula>$L$18="2"</formula>
    </cfRule>
    <cfRule type="expression" dxfId="5642" priority="5643">
      <formula>$L$18="3"</formula>
    </cfRule>
    <cfRule type="expression" dxfId="5641" priority="5642">
      <formula>$L$18="4"</formula>
    </cfRule>
    <cfRule type="expression" dxfId="5640" priority="5641">
      <formula>$L$18="5"</formula>
    </cfRule>
  </conditionalFormatting>
  <conditionalFormatting sqref="I19:R19">
    <cfRule type="expression" dxfId="5639" priority="5640">
      <formula>$P$19="Not started"</formula>
    </cfRule>
    <cfRule type="expression" dxfId="5638" priority="5639">
      <formula>$P$19="In progress"</formula>
    </cfRule>
    <cfRule type="expression" dxfId="5637" priority="5638">
      <formula>$P$19="Closed"</formula>
    </cfRule>
    <cfRule type="expression" dxfId="5636" priority="5637">
      <formula>$P$19="Canceled"</formula>
    </cfRule>
    <cfRule type="expression" dxfId="5635" priority="5636">
      <formula>$P$19="Suspended"</formula>
    </cfRule>
    <cfRule type="expression" dxfId="5634" priority="5635">
      <formula>$P$19="Applied"</formula>
    </cfRule>
    <cfRule type="expression" dxfId="5633" priority="5634">
      <formula>$P$19="N/A"</formula>
    </cfRule>
    <cfRule type="expression" dxfId="5632" priority="5633">
      <formula>$P$19=""</formula>
    </cfRule>
    <cfRule type="expression" dxfId="5631" priority="5632">
      <formula>$I$19="Module 1"</formula>
    </cfRule>
    <cfRule type="expression" dxfId="5630" priority="5631">
      <formula>$I$19="Module 2"</formula>
    </cfRule>
    <cfRule type="expression" dxfId="5629" priority="5630">
      <formula>$I$19="Module 3"</formula>
    </cfRule>
    <cfRule type="expression" dxfId="5628" priority="5629">
      <formula>$I$19="or"</formula>
    </cfRule>
    <cfRule type="expression" dxfId="5627" priority="5628">
      <formula>$I$19="Type 1"</formula>
    </cfRule>
    <cfRule type="expression" dxfId="5626" priority="5627">
      <formula>$I$19="Type 2"</formula>
    </cfRule>
    <cfRule type="expression" dxfId="5625" priority="5626">
      <formula>$I$19="Type 3"</formula>
    </cfRule>
  </conditionalFormatting>
  <conditionalFormatting sqref="L19">
    <cfRule type="expression" dxfId="5624" priority="5625">
      <formula>$L$19="1"</formula>
    </cfRule>
    <cfRule type="expression" dxfId="5623" priority="5624">
      <formula>$L$19="2"</formula>
    </cfRule>
    <cfRule type="expression" dxfId="5622" priority="5623">
      <formula>$L$19="3"</formula>
    </cfRule>
    <cfRule type="expression" dxfId="5621" priority="5622">
      <formula>$L$19="4"</formula>
    </cfRule>
    <cfRule type="expression" dxfId="5620" priority="5621">
      <formula>$L$19="5"</formula>
    </cfRule>
  </conditionalFormatting>
  <conditionalFormatting sqref="I20:R20">
    <cfRule type="expression" dxfId="5619" priority="5620">
      <formula>$P$20="Not started"</formula>
    </cfRule>
    <cfRule type="expression" dxfId="5618" priority="5609">
      <formula>$I$20="or"</formula>
    </cfRule>
    <cfRule type="expression" dxfId="5617" priority="5607">
      <formula>$I$20="Type 2"</formula>
    </cfRule>
  </conditionalFormatting>
  <conditionalFormatting sqref="I20:R20">
    <cfRule type="expression" dxfId="5616" priority="5619">
      <formula>$P$20="In progress"</formula>
    </cfRule>
  </conditionalFormatting>
  <conditionalFormatting sqref="I20:R20">
    <cfRule type="expression" dxfId="5615" priority="5618">
      <formula>$P$20="Closed"</formula>
    </cfRule>
  </conditionalFormatting>
  <conditionalFormatting sqref="I20:R20">
    <cfRule type="expression" dxfId="5614" priority="5617">
      <formula>$P$20="Canceled"</formula>
    </cfRule>
  </conditionalFormatting>
  <conditionalFormatting sqref="I20:R20">
    <cfRule type="expression" dxfId="5613" priority="5616">
      <formula>$P$20="Suspended"</formula>
    </cfRule>
  </conditionalFormatting>
  <conditionalFormatting sqref="I20:R20">
    <cfRule type="expression" dxfId="5612" priority="5615">
      <formula>$P$20="Applied"</formula>
    </cfRule>
  </conditionalFormatting>
  <conditionalFormatting sqref="I20:R20">
    <cfRule type="expression" dxfId="5611" priority="5614">
      <formula>$P$20="N/A"</formula>
    </cfRule>
  </conditionalFormatting>
  <conditionalFormatting sqref="I20:R20">
    <cfRule type="expression" dxfId="5610" priority="5613">
      <formula>$P$20=""</formula>
    </cfRule>
  </conditionalFormatting>
  <conditionalFormatting sqref="I20:R20">
    <cfRule type="expression" dxfId="5609" priority="5612">
      <formula>$I$20="Module 1"</formula>
    </cfRule>
  </conditionalFormatting>
  <conditionalFormatting sqref="I20:R20">
    <cfRule type="expression" dxfId="5608" priority="5611">
      <formula>$I$20="Module 2"</formula>
    </cfRule>
  </conditionalFormatting>
  <conditionalFormatting sqref="I20:R20">
    <cfRule type="expression" dxfId="5607" priority="5610">
      <formula>$I$20="Module 3"</formula>
    </cfRule>
    <cfRule type="expression" dxfId="5606" priority="5608">
      <formula>$I$20="Type 1"</formula>
    </cfRule>
    <cfRule type="expression" dxfId="5605" priority="5606">
      <formula>$I$20="Type 3"</formula>
    </cfRule>
  </conditionalFormatting>
  <conditionalFormatting sqref="L20">
    <cfRule type="expression" dxfId="5604" priority="5605">
      <formula>$L$20="1"</formula>
    </cfRule>
  </conditionalFormatting>
  <conditionalFormatting sqref="L20">
    <cfRule type="expression" dxfId="5603" priority="5604">
      <formula>$L$20="2"</formula>
    </cfRule>
  </conditionalFormatting>
  <conditionalFormatting sqref="L20">
    <cfRule type="expression" dxfId="5602" priority="5603">
      <formula>$L$20="3"</formula>
    </cfRule>
  </conditionalFormatting>
  <conditionalFormatting sqref="L20">
    <cfRule type="expression" dxfId="5601" priority="5602">
      <formula>$L$20="4"</formula>
    </cfRule>
  </conditionalFormatting>
  <conditionalFormatting sqref="L20">
    <cfRule type="expression" dxfId="5600" priority="5601">
      <formula>$L$20="5"</formula>
    </cfRule>
  </conditionalFormatting>
  <conditionalFormatting sqref="I21:R21">
    <cfRule type="expression" dxfId="5599" priority="5600">
      <formula>$P$21="Not started"</formula>
    </cfRule>
    <cfRule type="expression" dxfId="5598" priority="5589">
      <formula>$I$21="or"</formula>
    </cfRule>
    <cfRule type="expression" dxfId="5597" priority="5587">
      <formula>$I$21="Type 2"</formula>
    </cfRule>
  </conditionalFormatting>
  <conditionalFormatting sqref="I21:R21">
    <cfRule type="expression" dxfId="5596" priority="5599">
      <formula>$P$21="In progress"</formula>
    </cfRule>
  </conditionalFormatting>
  <conditionalFormatting sqref="I21:R21">
    <cfRule type="expression" dxfId="5595" priority="5598">
      <formula>$P$21="Closed"</formula>
    </cfRule>
  </conditionalFormatting>
  <conditionalFormatting sqref="I21:R21">
    <cfRule type="expression" dxfId="5594" priority="5597">
      <formula>$P$21="Canceled"</formula>
    </cfRule>
  </conditionalFormatting>
  <conditionalFormatting sqref="I21:R21">
    <cfRule type="expression" dxfId="5593" priority="5596">
      <formula>$P$21="Suspended"</formula>
    </cfRule>
  </conditionalFormatting>
  <conditionalFormatting sqref="I21:R21">
    <cfRule type="expression" dxfId="5592" priority="5595">
      <formula>$P$21="Applied"</formula>
    </cfRule>
  </conditionalFormatting>
  <conditionalFormatting sqref="I21:R21">
    <cfRule type="expression" dxfId="5591" priority="5594">
      <formula>$P$21="N/A"</formula>
    </cfRule>
  </conditionalFormatting>
  <conditionalFormatting sqref="I21:R21">
    <cfRule type="expression" dxfId="5590" priority="5593">
      <formula>$P$21=""</formula>
    </cfRule>
  </conditionalFormatting>
  <conditionalFormatting sqref="I21:R21">
    <cfRule type="expression" dxfId="5589" priority="5592">
      <formula>$I$21="Module 1"</formula>
    </cfRule>
  </conditionalFormatting>
  <conditionalFormatting sqref="I21:R21">
    <cfRule type="expression" dxfId="5588" priority="5591">
      <formula>$I$21="Module 2"</formula>
    </cfRule>
  </conditionalFormatting>
  <conditionalFormatting sqref="I21:R21">
    <cfRule type="expression" dxfId="5587" priority="5590">
      <formula>$I$21="Module 3"</formula>
    </cfRule>
    <cfRule type="expression" dxfId="5586" priority="5588">
      <formula>$I$21="Type 1"</formula>
    </cfRule>
    <cfRule type="expression" dxfId="5585" priority="5586">
      <formula>$I$21="Type 3"</formula>
    </cfRule>
  </conditionalFormatting>
  <conditionalFormatting sqref="L21">
    <cfRule type="expression" dxfId="5584" priority="5585">
      <formula>$L$21="1"</formula>
    </cfRule>
  </conditionalFormatting>
  <conditionalFormatting sqref="L21">
    <cfRule type="expression" dxfId="5583" priority="5584">
      <formula>$L$21="2"</formula>
    </cfRule>
  </conditionalFormatting>
  <conditionalFormatting sqref="L21">
    <cfRule type="expression" dxfId="5582" priority="5583">
      <formula>$L$21="3"</formula>
    </cfRule>
  </conditionalFormatting>
  <conditionalFormatting sqref="L21">
    <cfRule type="expression" dxfId="5581" priority="5582">
      <formula>$L$21="4"</formula>
    </cfRule>
  </conditionalFormatting>
  <conditionalFormatting sqref="L21">
    <cfRule type="expression" dxfId="5580" priority="5581">
      <formula>$L$21="5"</formula>
    </cfRule>
  </conditionalFormatting>
  <conditionalFormatting sqref="I22:R22">
    <cfRule type="expression" dxfId="5579" priority="5580">
      <formula>$P$22="Not started"</formula>
    </cfRule>
    <cfRule type="expression" dxfId="5578" priority="5569">
      <formula>$I$22="or"</formula>
    </cfRule>
    <cfRule type="expression" dxfId="5577" priority="5567">
      <formula>$I$22="Type 2"</formula>
    </cfRule>
  </conditionalFormatting>
  <conditionalFormatting sqref="I22:R22">
    <cfRule type="expression" dxfId="5576" priority="5579">
      <formula>$P$22="In progress"</formula>
    </cfRule>
  </conditionalFormatting>
  <conditionalFormatting sqref="I22:R22">
    <cfRule type="expression" dxfId="5575" priority="5578">
      <formula>$P$22="Closed"</formula>
    </cfRule>
  </conditionalFormatting>
  <conditionalFormatting sqref="I22:R22">
    <cfRule type="expression" dxfId="5574" priority="5577">
      <formula>$P$22="Canceled"</formula>
    </cfRule>
  </conditionalFormatting>
  <conditionalFormatting sqref="I22:R22">
    <cfRule type="expression" dxfId="5573" priority="5576">
      <formula>$P$22="Suspended"</formula>
    </cfRule>
  </conditionalFormatting>
  <conditionalFormatting sqref="I22:R22">
    <cfRule type="expression" dxfId="5572" priority="5575">
      <formula>$P$22="Applied"</formula>
    </cfRule>
  </conditionalFormatting>
  <conditionalFormatting sqref="I22:R22">
    <cfRule type="expression" dxfId="5571" priority="5574">
      <formula>$P$22="N/A"</formula>
    </cfRule>
  </conditionalFormatting>
  <conditionalFormatting sqref="I22:R22">
    <cfRule type="expression" dxfId="5570" priority="5573">
      <formula>$P$22=""</formula>
    </cfRule>
  </conditionalFormatting>
  <conditionalFormatting sqref="I22:R22">
    <cfRule type="expression" dxfId="5569" priority="5572">
      <formula>$I$22="Module 1"</formula>
    </cfRule>
  </conditionalFormatting>
  <conditionalFormatting sqref="I22:R22">
    <cfRule type="expression" dxfId="5568" priority="5571">
      <formula>$I$22="Module 2"</formula>
    </cfRule>
  </conditionalFormatting>
  <conditionalFormatting sqref="I22:R22">
    <cfRule type="expression" dxfId="5567" priority="5570">
      <formula>$I$22="Module 3"</formula>
    </cfRule>
    <cfRule type="expression" dxfId="5566" priority="5568">
      <formula>$I$22="Type 1"</formula>
    </cfRule>
    <cfRule type="expression" dxfId="5565" priority="5566">
      <formula>$I$22="Type 3"</formula>
    </cfRule>
  </conditionalFormatting>
  <conditionalFormatting sqref="L22">
    <cfRule type="expression" dxfId="5564" priority="5565">
      <formula>$L$22="1"</formula>
    </cfRule>
  </conditionalFormatting>
  <conditionalFormatting sqref="L22">
    <cfRule type="expression" dxfId="5563" priority="5564">
      <formula>$L$22="2"</formula>
    </cfRule>
  </conditionalFormatting>
  <conditionalFormatting sqref="L22">
    <cfRule type="expression" dxfId="5562" priority="5563">
      <formula>$L$22="3"</formula>
    </cfRule>
  </conditionalFormatting>
  <conditionalFormatting sqref="L22">
    <cfRule type="expression" dxfId="5561" priority="5562">
      <formula>$L$22="4"</formula>
    </cfRule>
  </conditionalFormatting>
  <conditionalFormatting sqref="L22">
    <cfRule type="expression" dxfId="5560" priority="5561">
      <formula>$L$22="5"</formula>
    </cfRule>
  </conditionalFormatting>
  <conditionalFormatting sqref="I23:R23">
    <cfRule type="expression" dxfId="5559" priority="5560">
      <formula>$P$23="Not started"</formula>
    </cfRule>
    <cfRule type="expression" dxfId="5558" priority="5549">
      <formula>$I$23="or"</formula>
    </cfRule>
    <cfRule type="expression" dxfId="5557" priority="5547">
      <formula>$I$23="Type 2"</formula>
    </cfRule>
  </conditionalFormatting>
  <conditionalFormatting sqref="I23:R23">
    <cfRule type="expression" dxfId="5556" priority="5559">
      <formula>$P$23="In progress"</formula>
    </cfRule>
  </conditionalFormatting>
  <conditionalFormatting sqref="I23:R23">
    <cfRule type="expression" dxfId="5555" priority="5558">
      <formula>$P$23="Closed"</formula>
    </cfRule>
  </conditionalFormatting>
  <conditionalFormatting sqref="I23:R23">
    <cfRule type="expression" dxfId="5554" priority="5557">
      <formula>$P$23="Canceled"</formula>
    </cfRule>
  </conditionalFormatting>
  <conditionalFormatting sqref="I23:R23">
    <cfRule type="expression" dxfId="5553" priority="5556">
      <formula>$P$23="Suspended"</formula>
    </cfRule>
  </conditionalFormatting>
  <conditionalFormatting sqref="I23:R23">
    <cfRule type="expression" dxfId="5552" priority="5555">
      <formula>$P$23="Applied"</formula>
    </cfRule>
  </conditionalFormatting>
  <conditionalFormatting sqref="I23:R23">
    <cfRule type="expression" dxfId="5551" priority="5554">
      <formula>$P$23="N/A"</formula>
    </cfRule>
  </conditionalFormatting>
  <conditionalFormatting sqref="I23:R23">
    <cfRule type="expression" dxfId="5550" priority="5553">
      <formula>$P$23=""</formula>
    </cfRule>
  </conditionalFormatting>
  <conditionalFormatting sqref="I23:R23">
    <cfRule type="expression" dxfId="5549" priority="5552">
      <formula>$I$23="Module 1"</formula>
    </cfRule>
  </conditionalFormatting>
  <conditionalFormatting sqref="I23:R23">
    <cfRule type="expression" dxfId="5548" priority="5551">
      <formula>$I$23="Module 2"</formula>
    </cfRule>
  </conditionalFormatting>
  <conditionalFormatting sqref="I23:R23">
    <cfRule type="expression" dxfId="5547" priority="5550">
      <formula>$I$23="Module 3"</formula>
    </cfRule>
    <cfRule type="expression" dxfId="5546" priority="5548">
      <formula>$I$23="Type 1"</formula>
    </cfRule>
    <cfRule type="expression" dxfId="5545" priority="5546">
      <formula>$I$23="Type 3"</formula>
    </cfRule>
  </conditionalFormatting>
  <conditionalFormatting sqref="L23">
    <cfRule type="expression" dxfId="5544" priority="5545">
      <formula>$L$23="1"</formula>
    </cfRule>
  </conditionalFormatting>
  <conditionalFormatting sqref="L23">
    <cfRule type="expression" dxfId="5543" priority="5544">
      <formula>$L$23="2"</formula>
    </cfRule>
  </conditionalFormatting>
  <conditionalFormatting sqref="L23">
    <cfRule type="expression" dxfId="5542" priority="5543">
      <formula>$L$23="3"</formula>
    </cfRule>
  </conditionalFormatting>
  <conditionalFormatting sqref="L23">
    <cfRule type="expression" dxfId="5541" priority="5542">
      <formula>$L$23="4"</formula>
    </cfRule>
  </conditionalFormatting>
  <conditionalFormatting sqref="L23">
    <cfRule type="expression" dxfId="5540" priority="5541">
      <formula>$L$23="5"</formula>
    </cfRule>
  </conditionalFormatting>
  <conditionalFormatting sqref="I24:R24">
    <cfRule type="expression" dxfId="5539" priority="5540">
      <formula>$P$24="Not started"</formula>
    </cfRule>
    <cfRule type="expression" dxfId="5538" priority="5529">
      <formula>$I$24="or"</formula>
    </cfRule>
    <cfRule type="expression" dxfId="5537" priority="5527">
      <formula>$I$24="Type 2"</formula>
    </cfRule>
  </conditionalFormatting>
  <conditionalFormatting sqref="I24:R24">
    <cfRule type="expression" dxfId="5536" priority="5539">
      <formula>$P$24="In progress"</formula>
    </cfRule>
  </conditionalFormatting>
  <conditionalFormatting sqref="I24:R24">
    <cfRule type="expression" dxfId="5535" priority="5538">
      <formula>$P$24="Closed"</formula>
    </cfRule>
  </conditionalFormatting>
  <conditionalFormatting sqref="I24:R24">
    <cfRule type="expression" dxfId="5534" priority="5537">
      <formula>$P$24="Canceled"</formula>
    </cfRule>
  </conditionalFormatting>
  <conditionalFormatting sqref="I24:R24">
    <cfRule type="expression" dxfId="5533" priority="5536">
      <formula>$P$24="Suspended"</formula>
    </cfRule>
  </conditionalFormatting>
  <conditionalFormatting sqref="I24:R24">
    <cfRule type="expression" dxfId="5532" priority="5535">
      <formula>$P$24="Applied"</formula>
    </cfRule>
  </conditionalFormatting>
  <conditionalFormatting sqref="I24:R24">
    <cfRule type="expression" dxfId="5531" priority="5534">
      <formula>$P$24="N/A"</formula>
    </cfRule>
  </conditionalFormatting>
  <conditionalFormatting sqref="I24:R24">
    <cfRule type="expression" dxfId="5530" priority="5533">
      <formula>$P$24=""</formula>
    </cfRule>
  </conditionalFormatting>
  <conditionalFormatting sqref="I24:R24">
    <cfRule type="expression" dxfId="5529" priority="5532">
      <formula>$I$24="Module 1"</formula>
    </cfRule>
  </conditionalFormatting>
  <conditionalFormatting sqref="I24:R24">
    <cfRule type="expression" dxfId="5528" priority="5531">
      <formula>$I$24="Module 2"</formula>
    </cfRule>
  </conditionalFormatting>
  <conditionalFormatting sqref="I24:R24">
    <cfRule type="expression" dxfId="5527" priority="5530">
      <formula>$I$24="Module 3"</formula>
    </cfRule>
    <cfRule type="expression" dxfId="5526" priority="5528">
      <formula>$I$24="Type 1"</formula>
    </cfRule>
    <cfRule type="expression" dxfId="5525" priority="5526">
      <formula>$I$24="Type 3"</formula>
    </cfRule>
  </conditionalFormatting>
  <conditionalFormatting sqref="L24">
    <cfRule type="expression" dxfId="5524" priority="5525">
      <formula>$L$24="1"</formula>
    </cfRule>
  </conditionalFormatting>
  <conditionalFormatting sqref="L24">
    <cfRule type="expression" dxfId="5523" priority="5524">
      <formula>$L$24="2"</formula>
    </cfRule>
  </conditionalFormatting>
  <conditionalFormatting sqref="L24">
    <cfRule type="expression" dxfId="5522" priority="5523">
      <formula>$L$24="3"</formula>
    </cfRule>
  </conditionalFormatting>
  <conditionalFormatting sqref="L24">
    <cfRule type="expression" dxfId="5521" priority="5522">
      <formula>$L$24="4"</formula>
    </cfRule>
  </conditionalFormatting>
  <conditionalFormatting sqref="L24">
    <cfRule type="expression" dxfId="5520" priority="5521">
      <formula>$L$24="5"</formula>
    </cfRule>
  </conditionalFormatting>
  <conditionalFormatting sqref="I25:R25">
    <cfRule type="expression" dxfId="5519" priority="5520">
      <formula>$P$25="Not started"</formula>
    </cfRule>
    <cfRule type="expression" dxfId="5518" priority="5509">
      <formula>$I$25="or"</formula>
    </cfRule>
    <cfRule type="expression" dxfId="5517" priority="5507">
      <formula>$I$25="Type 2"</formula>
    </cfRule>
  </conditionalFormatting>
  <conditionalFormatting sqref="I25:R25">
    <cfRule type="expression" dxfId="5516" priority="5519">
      <formula>$P$25="In progress"</formula>
    </cfRule>
  </conditionalFormatting>
  <conditionalFormatting sqref="I25:R25">
    <cfRule type="expression" dxfId="5515" priority="5518">
      <formula>$P$25="Closed"</formula>
    </cfRule>
  </conditionalFormatting>
  <conditionalFormatting sqref="I25:R25">
    <cfRule type="expression" dxfId="5514" priority="5517">
      <formula>$P$25="Canceled"</formula>
    </cfRule>
  </conditionalFormatting>
  <conditionalFormatting sqref="I25:R25">
    <cfRule type="expression" dxfId="5513" priority="5516">
      <formula>$P$25="Suspended"</formula>
    </cfRule>
  </conditionalFormatting>
  <conditionalFormatting sqref="I25:R25">
    <cfRule type="expression" dxfId="5512" priority="5515">
      <formula>$P$25="Applied"</formula>
    </cfRule>
  </conditionalFormatting>
  <conditionalFormatting sqref="I25:R25">
    <cfRule type="expression" dxfId="5511" priority="5514">
      <formula>$P$25="N/A"</formula>
    </cfRule>
  </conditionalFormatting>
  <conditionalFormatting sqref="I25:R25">
    <cfRule type="expression" dxfId="5510" priority="5513">
      <formula>$P$25=""</formula>
    </cfRule>
  </conditionalFormatting>
  <conditionalFormatting sqref="I25:R25">
    <cfRule type="expression" dxfId="5509" priority="5512">
      <formula>$I$25="Module 1"</formula>
    </cfRule>
  </conditionalFormatting>
  <conditionalFormatting sqref="I25:R25">
    <cfRule type="expression" dxfId="5508" priority="5511">
      <formula>$I$25="Module 2"</formula>
    </cfRule>
  </conditionalFormatting>
  <conditionalFormatting sqref="I25:R25">
    <cfRule type="expression" dxfId="5507" priority="5510">
      <formula>$I$25="Module 3"</formula>
    </cfRule>
    <cfRule type="expression" dxfId="5506" priority="5508">
      <formula>$I$25="Type 1"</formula>
    </cfRule>
    <cfRule type="expression" dxfId="5505" priority="5506">
      <formula>$I$25="Type 3"</formula>
    </cfRule>
  </conditionalFormatting>
  <conditionalFormatting sqref="L25">
    <cfRule type="expression" dxfId="5504" priority="5505">
      <formula>$L$25="1"</formula>
    </cfRule>
  </conditionalFormatting>
  <conditionalFormatting sqref="L25">
    <cfRule type="expression" dxfId="5503" priority="5504">
      <formula>$L$25="2"</formula>
    </cfRule>
  </conditionalFormatting>
  <conditionalFormatting sqref="L25">
    <cfRule type="expression" dxfId="5502" priority="5503">
      <formula>$L$25="3"</formula>
    </cfRule>
  </conditionalFormatting>
  <conditionalFormatting sqref="L25">
    <cfRule type="expression" dxfId="5501" priority="5502">
      <formula>$L$25="4"</formula>
    </cfRule>
  </conditionalFormatting>
  <conditionalFormatting sqref="L25">
    <cfRule type="expression" dxfId="5500" priority="5501">
      <formula>$L$25="5"</formula>
    </cfRule>
  </conditionalFormatting>
  <conditionalFormatting sqref="I26:R26">
    <cfRule type="expression" dxfId="5499" priority="5500">
      <formula>$P$26="Not started"</formula>
    </cfRule>
    <cfRule type="expression" dxfId="5498" priority="5489">
      <formula>$I$26="or"</formula>
    </cfRule>
    <cfRule type="expression" dxfId="5497" priority="5487">
      <formula>$I$26="Type 2"</formula>
    </cfRule>
  </conditionalFormatting>
  <conditionalFormatting sqref="I26:R26">
    <cfRule type="expression" dxfId="5496" priority="5499">
      <formula>$P$26="In progress"</formula>
    </cfRule>
  </conditionalFormatting>
  <conditionalFormatting sqref="I26:R26">
    <cfRule type="expression" dxfId="5495" priority="5498">
      <formula>$P$26="Closed"</formula>
    </cfRule>
  </conditionalFormatting>
  <conditionalFormatting sqref="I26:R26">
    <cfRule type="expression" dxfId="5494" priority="5497">
      <formula>$P$26="Canceled"</formula>
    </cfRule>
  </conditionalFormatting>
  <conditionalFormatting sqref="I26:R26">
    <cfRule type="expression" dxfId="5493" priority="5496">
      <formula>$P$26="Suspended"</formula>
    </cfRule>
  </conditionalFormatting>
  <conditionalFormatting sqref="I26:R26">
    <cfRule type="expression" dxfId="5492" priority="5495">
      <formula>$P$26="Applied"</formula>
    </cfRule>
  </conditionalFormatting>
  <conditionalFormatting sqref="I26:R26">
    <cfRule type="expression" dxfId="5491" priority="5494">
      <formula>$P$26="N/A"</formula>
    </cfRule>
  </conditionalFormatting>
  <conditionalFormatting sqref="I26:R26">
    <cfRule type="expression" dxfId="5490" priority="5493">
      <formula>$P$26=""</formula>
    </cfRule>
  </conditionalFormatting>
  <conditionalFormatting sqref="I26:R26">
    <cfRule type="expression" dxfId="5489" priority="5492">
      <formula>$I$26="Module 1"</formula>
    </cfRule>
  </conditionalFormatting>
  <conditionalFormatting sqref="I26:R26">
    <cfRule type="expression" dxfId="5488" priority="5491">
      <formula>$I$26="Module 2"</formula>
    </cfRule>
  </conditionalFormatting>
  <conditionalFormatting sqref="I26:R26">
    <cfRule type="expression" dxfId="5487" priority="5490">
      <formula>$I$26="Module 3"</formula>
    </cfRule>
    <cfRule type="expression" dxfId="5486" priority="5488">
      <formula>$I$26="Type 1"</formula>
    </cfRule>
    <cfRule type="expression" dxfId="5485" priority="5486">
      <formula>$I$26="Type 3"</formula>
    </cfRule>
  </conditionalFormatting>
  <conditionalFormatting sqref="L26">
    <cfRule type="expression" dxfId="5484" priority="5485">
      <formula>$L$26="1"</formula>
    </cfRule>
  </conditionalFormatting>
  <conditionalFormatting sqref="L26">
    <cfRule type="expression" dxfId="5483" priority="5484">
      <formula>$L$26="2"</formula>
    </cfRule>
  </conditionalFormatting>
  <conditionalFormatting sqref="L26">
    <cfRule type="expression" dxfId="5482" priority="5483">
      <formula>$L$26="3"</formula>
    </cfRule>
  </conditionalFormatting>
  <conditionalFormatting sqref="L26">
    <cfRule type="expression" dxfId="5481" priority="5482">
      <formula>$L$26="4"</formula>
    </cfRule>
  </conditionalFormatting>
  <conditionalFormatting sqref="L26">
    <cfRule type="expression" dxfId="5480" priority="5481">
      <formula>$L$26="5"</formula>
    </cfRule>
  </conditionalFormatting>
  <conditionalFormatting sqref="I27:R27">
    <cfRule type="expression" dxfId="5479" priority="5480">
      <formula>$P$27="Not started"</formula>
    </cfRule>
    <cfRule type="expression" dxfId="5478" priority="5469">
      <formula>$I$27="or"</formula>
    </cfRule>
    <cfRule type="expression" dxfId="5477" priority="5467">
      <formula>$I$27="Type 2"</formula>
    </cfRule>
  </conditionalFormatting>
  <conditionalFormatting sqref="I27:R27">
    <cfRule type="expression" dxfId="5476" priority="5479">
      <formula>$P$27="In progress"</formula>
    </cfRule>
  </conditionalFormatting>
  <conditionalFormatting sqref="I27:R27">
    <cfRule type="expression" dxfId="5475" priority="5478">
      <formula>$P$27="Closed"</formula>
    </cfRule>
  </conditionalFormatting>
  <conditionalFormatting sqref="I27:R27">
    <cfRule type="expression" dxfId="5474" priority="5477">
      <formula>$P$27="Canceled"</formula>
    </cfRule>
  </conditionalFormatting>
  <conditionalFormatting sqref="I27:R27">
    <cfRule type="expression" dxfId="5473" priority="5476">
      <formula>$P$27="Suspended"</formula>
    </cfRule>
  </conditionalFormatting>
  <conditionalFormatting sqref="I27:R27">
    <cfRule type="expression" dxfId="5472" priority="5475">
      <formula>$P$27="Applied"</formula>
    </cfRule>
  </conditionalFormatting>
  <conditionalFormatting sqref="I27:R27">
    <cfRule type="expression" dxfId="5471" priority="5474">
      <formula>$P$27="N/A"</formula>
    </cfRule>
  </conditionalFormatting>
  <conditionalFormatting sqref="I27:R27">
    <cfRule type="expression" dxfId="5470" priority="5473">
      <formula>$P$27=""</formula>
    </cfRule>
  </conditionalFormatting>
  <conditionalFormatting sqref="I27:R27">
    <cfRule type="expression" dxfId="5469" priority="5472">
      <formula>$I$27="Module 1"</formula>
    </cfRule>
  </conditionalFormatting>
  <conditionalFormatting sqref="I27:R27">
    <cfRule type="expression" dxfId="5468" priority="5471">
      <formula>$I$27="Module 2"</formula>
    </cfRule>
  </conditionalFormatting>
  <conditionalFormatting sqref="I27:R27">
    <cfRule type="expression" dxfId="5467" priority="5470">
      <formula>$I$27="Module 3"</formula>
    </cfRule>
    <cfRule type="expression" dxfId="5466" priority="5468">
      <formula>$I$27="Type 1"</formula>
    </cfRule>
    <cfRule type="expression" dxfId="5465" priority="5466">
      <formula>$I$27="Type 3"</formula>
    </cfRule>
  </conditionalFormatting>
  <conditionalFormatting sqref="L27">
    <cfRule type="expression" dxfId="5464" priority="5465">
      <formula>$L$27="1"</formula>
    </cfRule>
  </conditionalFormatting>
  <conditionalFormatting sqref="L27">
    <cfRule type="expression" dxfId="5463" priority="5464">
      <formula>$L$27="2"</formula>
    </cfRule>
  </conditionalFormatting>
  <conditionalFormatting sqref="L27">
    <cfRule type="expression" dxfId="5462" priority="5463">
      <formula>$L$27="3"</formula>
    </cfRule>
  </conditionalFormatting>
  <conditionalFormatting sqref="L27">
    <cfRule type="expression" dxfId="5461" priority="5462">
      <formula>$L$27="4"</formula>
    </cfRule>
  </conditionalFormatting>
  <conditionalFormatting sqref="L27">
    <cfRule type="expression" dxfId="5460" priority="5461">
      <formula>$L$27="5"</formula>
    </cfRule>
  </conditionalFormatting>
  <conditionalFormatting sqref="I28:R28">
    <cfRule type="expression" dxfId="5459" priority="5460">
      <formula>$P$28="Not started"</formula>
    </cfRule>
    <cfRule type="expression" dxfId="5458" priority="5449">
      <formula>$I$28="or"</formula>
    </cfRule>
    <cfRule type="expression" dxfId="5457" priority="5447">
      <formula>$I$28="Type 2"</formula>
    </cfRule>
  </conditionalFormatting>
  <conditionalFormatting sqref="I28:R28">
    <cfRule type="expression" dxfId="5456" priority="5459">
      <formula>$P$28="In progress"</formula>
    </cfRule>
  </conditionalFormatting>
  <conditionalFormatting sqref="I28:R28">
    <cfRule type="expression" dxfId="5455" priority="5458">
      <formula>$P$28="Closed"</formula>
    </cfRule>
  </conditionalFormatting>
  <conditionalFormatting sqref="I28:R28">
    <cfRule type="expression" dxfId="5454" priority="5457">
      <formula>$P$28="Canceled"</formula>
    </cfRule>
  </conditionalFormatting>
  <conditionalFormatting sqref="I28:R28">
    <cfRule type="expression" dxfId="5453" priority="5456">
      <formula>$P$28="Suspended"</formula>
    </cfRule>
  </conditionalFormatting>
  <conditionalFormatting sqref="I28:R28">
    <cfRule type="expression" dxfId="5452" priority="5455">
      <formula>$P$28="Applied"</formula>
    </cfRule>
  </conditionalFormatting>
  <conditionalFormatting sqref="I28:R28">
    <cfRule type="expression" dxfId="5451" priority="5454">
      <formula>$P$28="N/A"</formula>
    </cfRule>
  </conditionalFormatting>
  <conditionalFormatting sqref="I28:R28">
    <cfRule type="expression" dxfId="5450" priority="5453">
      <formula>$P$28=""</formula>
    </cfRule>
  </conditionalFormatting>
  <conditionalFormatting sqref="I28:R28">
    <cfRule type="expression" dxfId="5449" priority="5452">
      <formula>$I$28="Module 1"</formula>
    </cfRule>
  </conditionalFormatting>
  <conditionalFormatting sqref="I28:R28">
    <cfRule type="expression" dxfId="5448" priority="5451">
      <formula>$I$28="Module 2"</formula>
    </cfRule>
  </conditionalFormatting>
  <conditionalFormatting sqref="I28:R28">
    <cfRule type="expression" dxfId="5447" priority="5450">
      <formula>$I$28="Module 3"</formula>
    </cfRule>
    <cfRule type="expression" dxfId="5446" priority="5448">
      <formula>$I$28="Type 1"</formula>
    </cfRule>
    <cfRule type="expression" dxfId="5445" priority="5446">
      <formula>$I$28="Type 3"</formula>
    </cfRule>
  </conditionalFormatting>
  <conditionalFormatting sqref="L28">
    <cfRule type="expression" dxfId="5444" priority="5445">
      <formula>$L$28="1"</formula>
    </cfRule>
  </conditionalFormatting>
  <conditionalFormatting sqref="L28">
    <cfRule type="expression" dxfId="5443" priority="5444">
      <formula>$L$28="2"</formula>
    </cfRule>
  </conditionalFormatting>
  <conditionalFormatting sqref="L28">
    <cfRule type="expression" dxfId="5442" priority="5443">
      <formula>$L$28="3"</formula>
    </cfRule>
  </conditionalFormatting>
  <conditionalFormatting sqref="L28">
    <cfRule type="expression" dxfId="5441" priority="5442">
      <formula>$L$28="4"</formula>
    </cfRule>
  </conditionalFormatting>
  <conditionalFormatting sqref="L28">
    <cfRule type="expression" dxfId="5440" priority="5441">
      <formula>$L$28="5"</formula>
    </cfRule>
  </conditionalFormatting>
  <conditionalFormatting sqref="I29:R29">
    <cfRule type="expression" dxfId="5439" priority="5440">
      <formula>$P$29="Not started"</formula>
    </cfRule>
    <cfRule type="expression" dxfId="5438" priority="5429">
      <formula>$I$29="or"</formula>
    </cfRule>
    <cfRule type="expression" dxfId="5437" priority="5427">
      <formula>$I$29="Type 2"</formula>
    </cfRule>
  </conditionalFormatting>
  <conditionalFormatting sqref="I29:R29">
    <cfRule type="expression" dxfId="5436" priority="5439">
      <formula>$P$29="In progress"</formula>
    </cfRule>
  </conditionalFormatting>
  <conditionalFormatting sqref="I29:R29">
    <cfRule type="expression" dxfId="5435" priority="5438">
      <formula>$P$29="Closed"</formula>
    </cfRule>
  </conditionalFormatting>
  <conditionalFormatting sqref="I29:R29">
    <cfRule type="expression" dxfId="5434" priority="5437">
      <formula>$P$29="Canceled"</formula>
    </cfRule>
  </conditionalFormatting>
  <conditionalFormatting sqref="I29:R29">
    <cfRule type="expression" dxfId="5433" priority="5436">
      <formula>$P$29="Suspended"</formula>
    </cfRule>
  </conditionalFormatting>
  <conditionalFormatting sqref="I29:R29">
    <cfRule type="expression" dxfId="5432" priority="5435">
      <formula>$P$29="Applied"</formula>
    </cfRule>
  </conditionalFormatting>
  <conditionalFormatting sqref="I29:R29">
    <cfRule type="expression" dxfId="5431" priority="5434">
      <formula>$P$29="N/A"</formula>
    </cfRule>
  </conditionalFormatting>
  <conditionalFormatting sqref="I29:R29">
    <cfRule type="expression" dxfId="5430" priority="5433">
      <formula>$P$29=""</formula>
    </cfRule>
  </conditionalFormatting>
  <conditionalFormatting sqref="I29:R29">
    <cfRule type="expression" dxfId="5429" priority="5432">
      <formula>$I$29="Module 1"</formula>
    </cfRule>
  </conditionalFormatting>
  <conditionalFormatting sqref="I29:R29">
    <cfRule type="expression" dxfId="5428" priority="5431">
      <formula>$I$29="Module 2"</formula>
    </cfRule>
  </conditionalFormatting>
  <conditionalFormatting sqref="I29:R29">
    <cfRule type="expression" dxfId="5427" priority="5430">
      <formula>$I$29="Module 3"</formula>
    </cfRule>
    <cfRule type="expression" dxfId="5426" priority="5428">
      <formula>$I$29="Type 1"</formula>
    </cfRule>
    <cfRule type="expression" dxfId="5425" priority="5426">
      <formula>$I$29="Type 3"</formula>
    </cfRule>
  </conditionalFormatting>
  <conditionalFormatting sqref="L29">
    <cfRule type="expression" dxfId="5424" priority="5425">
      <formula>$L$29="1"</formula>
    </cfRule>
  </conditionalFormatting>
  <conditionalFormatting sqref="L29">
    <cfRule type="expression" dxfId="5423" priority="5424">
      <formula>$L$29="2"</formula>
    </cfRule>
  </conditionalFormatting>
  <conditionalFormatting sqref="L29">
    <cfRule type="expression" dxfId="5422" priority="5423">
      <formula>$L$29="3"</formula>
    </cfRule>
  </conditionalFormatting>
  <conditionalFormatting sqref="L29">
    <cfRule type="expression" dxfId="5421" priority="5422">
      <formula>$L$29="4"</formula>
    </cfRule>
  </conditionalFormatting>
  <conditionalFormatting sqref="L29">
    <cfRule type="expression" dxfId="5420" priority="5421">
      <formula>$L$29="5"</formula>
    </cfRule>
  </conditionalFormatting>
  <conditionalFormatting sqref="I30:R30">
    <cfRule type="expression" dxfId="5419" priority="5420">
      <formula>$P$30="Not started"</formula>
    </cfRule>
    <cfRule type="expression" dxfId="5418" priority="5409">
      <formula>$I$30="or"</formula>
    </cfRule>
    <cfRule type="expression" dxfId="5417" priority="5407">
      <formula>$I$30="Type 2"</formula>
    </cfRule>
  </conditionalFormatting>
  <conditionalFormatting sqref="I30:R30">
    <cfRule type="expression" dxfId="5416" priority="5419">
      <formula>$P$30="In progress"</formula>
    </cfRule>
  </conditionalFormatting>
  <conditionalFormatting sqref="I30:R30">
    <cfRule type="expression" dxfId="5415" priority="5418">
      <formula>$P$30="Closed"</formula>
    </cfRule>
  </conditionalFormatting>
  <conditionalFormatting sqref="I30:R30">
    <cfRule type="expression" dxfId="5414" priority="5417">
      <formula>$P$30="Canceled"</formula>
    </cfRule>
  </conditionalFormatting>
  <conditionalFormatting sqref="I30:R30">
    <cfRule type="expression" dxfId="5413" priority="5416">
      <formula>$P$30="Suspended"</formula>
    </cfRule>
  </conditionalFormatting>
  <conditionalFormatting sqref="I30:R30">
    <cfRule type="expression" dxfId="5412" priority="5415">
      <formula>$P$30="Applied"</formula>
    </cfRule>
  </conditionalFormatting>
  <conditionalFormatting sqref="I30:R30">
    <cfRule type="expression" dxfId="5411" priority="5414">
      <formula>$P$30="N/A"</formula>
    </cfRule>
  </conditionalFormatting>
  <conditionalFormatting sqref="I30:R30">
    <cfRule type="expression" dxfId="5410" priority="5413">
      <formula>$P$30=""</formula>
    </cfRule>
  </conditionalFormatting>
  <conditionalFormatting sqref="I30:R30">
    <cfRule type="expression" dxfId="5409" priority="5412">
      <formula>$I$30="Module 1"</formula>
    </cfRule>
  </conditionalFormatting>
  <conditionalFormatting sqref="I30:R30">
    <cfRule type="expression" dxfId="5408" priority="5411">
      <formula>$I$30="Module 2"</formula>
    </cfRule>
  </conditionalFormatting>
  <conditionalFormatting sqref="I30:R30">
    <cfRule type="expression" dxfId="5407" priority="5410">
      <formula>$I$30="Module 3"</formula>
    </cfRule>
    <cfRule type="expression" dxfId="5406" priority="5408">
      <formula>$I$30="Type 1"</formula>
    </cfRule>
    <cfRule type="expression" dxfId="5405" priority="5406">
      <formula>$I$30="Type 3"</formula>
    </cfRule>
  </conditionalFormatting>
  <conditionalFormatting sqref="L30">
    <cfRule type="expression" dxfId="5404" priority="5405">
      <formula>$L$30="1"</formula>
    </cfRule>
  </conditionalFormatting>
  <conditionalFormatting sqref="L30">
    <cfRule type="expression" dxfId="5403" priority="5404">
      <formula>$L$30="2"</formula>
    </cfRule>
  </conditionalFormatting>
  <conditionalFormatting sqref="L30">
    <cfRule type="expression" dxfId="5402" priority="5403">
      <formula>$L$30="3"</formula>
    </cfRule>
  </conditionalFormatting>
  <conditionalFormatting sqref="L30">
    <cfRule type="expression" dxfId="5401" priority="5402">
      <formula>$L$30="4"</formula>
    </cfRule>
  </conditionalFormatting>
  <conditionalFormatting sqref="L30">
    <cfRule type="expression" dxfId="5400" priority="5401">
      <formula>$L$30="5"</formula>
    </cfRule>
  </conditionalFormatting>
  <conditionalFormatting sqref="I31:R31">
    <cfRule type="expression" dxfId="5399" priority="5400">
      <formula>$P$31="Not started"</formula>
    </cfRule>
    <cfRule type="expression" dxfId="5398" priority="5389">
      <formula>$I$31="or"</formula>
    </cfRule>
    <cfRule type="expression" dxfId="5397" priority="5387">
      <formula>$I$31="Type 2"</formula>
    </cfRule>
  </conditionalFormatting>
  <conditionalFormatting sqref="I31:R31">
    <cfRule type="expression" dxfId="5396" priority="5399">
      <formula>$P$31="In progress"</formula>
    </cfRule>
  </conditionalFormatting>
  <conditionalFormatting sqref="I31:R31">
    <cfRule type="expression" dxfId="5395" priority="5398">
      <formula>$P$31="Closed"</formula>
    </cfRule>
  </conditionalFormatting>
  <conditionalFormatting sqref="I31:R31">
    <cfRule type="expression" dxfId="5394" priority="5397">
      <formula>$P$31="Canceled"</formula>
    </cfRule>
  </conditionalFormatting>
  <conditionalFormatting sqref="I31:R31">
    <cfRule type="expression" dxfId="5393" priority="5396">
      <formula>$P$31="Suspended"</formula>
    </cfRule>
  </conditionalFormatting>
  <conditionalFormatting sqref="I31:R31">
    <cfRule type="expression" dxfId="5392" priority="5395">
      <formula>$P$31="Applied"</formula>
    </cfRule>
  </conditionalFormatting>
  <conditionalFormatting sqref="I31:R31">
    <cfRule type="expression" dxfId="5391" priority="5394">
      <formula>$P$31="N/A"</formula>
    </cfRule>
  </conditionalFormatting>
  <conditionalFormatting sqref="I31:R31">
    <cfRule type="expression" dxfId="5390" priority="5393">
      <formula>$P$31=""</formula>
    </cfRule>
  </conditionalFormatting>
  <conditionalFormatting sqref="I31:R31">
    <cfRule type="expression" dxfId="5389" priority="5392">
      <formula>$I$31="Module 1"</formula>
    </cfRule>
  </conditionalFormatting>
  <conditionalFormatting sqref="I31:R31">
    <cfRule type="expression" dxfId="5388" priority="5391">
      <formula>$I$31="Module 2"</formula>
    </cfRule>
  </conditionalFormatting>
  <conditionalFormatting sqref="I31:R31">
    <cfRule type="expression" dxfId="5387" priority="5390">
      <formula>$I$31="Module 3"</formula>
    </cfRule>
    <cfRule type="expression" dxfId="5386" priority="5388">
      <formula>$I$31="Type 1"</formula>
    </cfRule>
    <cfRule type="expression" dxfId="5385" priority="5386">
      <formula>$I$31="Type 3"</formula>
    </cfRule>
  </conditionalFormatting>
  <conditionalFormatting sqref="L31">
    <cfRule type="expression" dxfId="5384" priority="5385">
      <formula>$L$31="1"</formula>
    </cfRule>
  </conditionalFormatting>
  <conditionalFormatting sqref="L31">
    <cfRule type="expression" dxfId="5383" priority="5384">
      <formula>$L$31="2"</formula>
    </cfRule>
  </conditionalFormatting>
  <conditionalFormatting sqref="L31">
    <cfRule type="expression" dxfId="5382" priority="5383">
      <formula>$L$31="3"</formula>
    </cfRule>
  </conditionalFormatting>
  <conditionalFormatting sqref="L31">
    <cfRule type="expression" dxfId="5381" priority="5382">
      <formula>$L$31="4"</formula>
    </cfRule>
  </conditionalFormatting>
  <conditionalFormatting sqref="L31">
    <cfRule type="expression" dxfId="5380" priority="5381">
      <formula>$L$31="5"</formula>
    </cfRule>
  </conditionalFormatting>
  <conditionalFormatting sqref="I32:R32">
    <cfRule type="expression" dxfId="5379" priority="5380">
      <formula>$P$32="Not started"</formula>
    </cfRule>
    <cfRule type="expression" dxfId="5378" priority="5369">
      <formula>$I$32="or"</formula>
    </cfRule>
    <cfRule type="expression" dxfId="5377" priority="5367">
      <formula>$I$32="Type 2"</formula>
    </cfRule>
  </conditionalFormatting>
  <conditionalFormatting sqref="I32:R32">
    <cfRule type="expression" dxfId="5376" priority="5379">
      <formula>$P$32="In progress"</formula>
    </cfRule>
  </conditionalFormatting>
  <conditionalFormatting sqref="I32:R32">
    <cfRule type="expression" dxfId="5375" priority="5378">
      <formula>$P$32="Closed"</formula>
    </cfRule>
  </conditionalFormatting>
  <conditionalFormatting sqref="I32:R32">
    <cfRule type="expression" dxfId="5374" priority="5377">
      <formula>$P$32="Canceled"</formula>
    </cfRule>
  </conditionalFormatting>
  <conditionalFormatting sqref="I32:R32">
    <cfRule type="expression" dxfId="5373" priority="5376">
      <formula>$P$32="Suspended"</formula>
    </cfRule>
  </conditionalFormatting>
  <conditionalFormatting sqref="I32:R32">
    <cfRule type="expression" dxfId="5372" priority="5375">
      <formula>$P$32="Applied"</formula>
    </cfRule>
  </conditionalFormatting>
  <conditionalFormatting sqref="I32:R32">
    <cfRule type="expression" dxfId="5371" priority="5374">
      <formula>$P$32="N/A"</formula>
    </cfRule>
  </conditionalFormatting>
  <conditionalFormatting sqref="I32:R32">
    <cfRule type="expression" dxfId="5370" priority="5373">
      <formula>$P$32=""</formula>
    </cfRule>
  </conditionalFormatting>
  <conditionalFormatting sqref="I32:R32">
    <cfRule type="expression" dxfId="5369" priority="5372">
      <formula>$I$32="Module 1"</formula>
    </cfRule>
  </conditionalFormatting>
  <conditionalFormatting sqref="I32:R32">
    <cfRule type="expression" dxfId="5368" priority="5371">
      <formula>$I$32="Module 2"</formula>
    </cfRule>
  </conditionalFormatting>
  <conditionalFormatting sqref="I32:R32">
    <cfRule type="expression" dxfId="5367" priority="5370">
      <formula>$I$32="Module 3"</formula>
    </cfRule>
    <cfRule type="expression" dxfId="5366" priority="5368">
      <formula>$I$32="Type 1"</formula>
    </cfRule>
    <cfRule type="expression" dxfId="5365" priority="5366">
      <formula>$I$32="Type 3"</formula>
    </cfRule>
  </conditionalFormatting>
  <conditionalFormatting sqref="L32">
    <cfRule type="expression" dxfId="5364" priority="5365">
      <formula>$L$32="1"</formula>
    </cfRule>
  </conditionalFormatting>
  <conditionalFormatting sqref="L32">
    <cfRule type="expression" dxfId="5363" priority="5364">
      <formula>$L$32="2"</formula>
    </cfRule>
  </conditionalFormatting>
  <conditionalFormatting sqref="L32">
    <cfRule type="expression" dxfId="5362" priority="5363">
      <formula>$L$32="3"</formula>
    </cfRule>
  </conditionalFormatting>
  <conditionalFormatting sqref="L32">
    <cfRule type="expression" dxfId="5361" priority="5362">
      <formula>$L$32="4"</formula>
    </cfRule>
  </conditionalFormatting>
  <conditionalFormatting sqref="L32">
    <cfRule type="expression" dxfId="5360" priority="5361">
      <formula>$L$32="5"</formula>
    </cfRule>
  </conditionalFormatting>
  <conditionalFormatting sqref="I33:R33">
    <cfRule type="expression" dxfId="5359" priority="5360">
      <formula>$P$33="Not started"</formula>
    </cfRule>
    <cfRule type="expression" dxfId="5358" priority="5349">
      <formula>$I$33="or"</formula>
    </cfRule>
    <cfRule type="expression" dxfId="5357" priority="5347">
      <formula>$I$33="Type 2"</formula>
    </cfRule>
  </conditionalFormatting>
  <conditionalFormatting sqref="I33:R33">
    <cfRule type="expression" dxfId="5356" priority="5359">
      <formula>$P$33="In progress"</formula>
    </cfRule>
  </conditionalFormatting>
  <conditionalFormatting sqref="I33:R33">
    <cfRule type="expression" dxfId="5355" priority="5358">
      <formula>$P$33="Closed"</formula>
    </cfRule>
  </conditionalFormatting>
  <conditionalFormatting sqref="I33:R33">
    <cfRule type="expression" dxfId="5354" priority="5357">
      <formula>$P$33="Canceled"</formula>
    </cfRule>
  </conditionalFormatting>
  <conditionalFormatting sqref="I33:R33">
    <cfRule type="expression" dxfId="5353" priority="5356">
      <formula>$P$33="Suspended"</formula>
    </cfRule>
  </conditionalFormatting>
  <conditionalFormatting sqref="I33:R33">
    <cfRule type="expression" dxfId="5352" priority="5355">
      <formula>$P$33="Applied"</formula>
    </cfRule>
  </conditionalFormatting>
  <conditionalFormatting sqref="I33:R33">
    <cfRule type="expression" dxfId="5351" priority="5354">
      <formula>$P$33="N/A"</formula>
    </cfRule>
  </conditionalFormatting>
  <conditionalFormatting sqref="I33:R33">
    <cfRule type="expression" dxfId="5350" priority="5353">
      <formula>$P$33=""</formula>
    </cfRule>
  </conditionalFormatting>
  <conditionalFormatting sqref="I33:R33">
    <cfRule type="expression" dxfId="5349" priority="5352">
      <formula>$I$33="Module 1"</formula>
    </cfRule>
  </conditionalFormatting>
  <conditionalFormatting sqref="I33:R33">
    <cfRule type="expression" dxfId="5348" priority="5351">
      <formula>$I$33="Module 2"</formula>
    </cfRule>
  </conditionalFormatting>
  <conditionalFormatting sqref="I33:R33">
    <cfRule type="expression" dxfId="5347" priority="5350">
      <formula>$I$33="Module 3"</formula>
    </cfRule>
    <cfRule type="expression" dxfId="5346" priority="5348">
      <formula>$I$33="Type 1"</formula>
    </cfRule>
    <cfRule type="expression" dxfId="5345" priority="5346">
      <formula>$I$33="Type 3"</formula>
    </cfRule>
  </conditionalFormatting>
  <conditionalFormatting sqref="L33">
    <cfRule type="expression" dxfId="5344" priority="5345">
      <formula>$L$33="1"</formula>
    </cfRule>
  </conditionalFormatting>
  <conditionalFormatting sqref="L33">
    <cfRule type="expression" dxfId="5343" priority="5344">
      <formula>$L$33="2"</formula>
    </cfRule>
  </conditionalFormatting>
  <conditionalFormatting sqref="L33">
    <cfRule type="expression" dxfId="5342" priority="5343">
      <formula>$L$33="3"</formula>
    </cfRule>
  </conditionalFormatting>
  <conditionalFormatting sqref="L33">
    <cfRule type="expression" dxfId="5341" priority="5342">
      <formula>$L$33="4"</formula>
    </cfRule>
  </conditionalFormatting>
  <conditionalFormatting sqref="L33">
    <cfRule type="expression" dxfId="5340" priority="5341">
      <formula>$L$33="5"</formula>
    </cfRule>
  </conditionalFormatting>
  <conditionalFormatting sqref="I34:R34">
    <cfRule type="expression" dxfId="5339" priority="5340">
      <formula>$P$34="Not started"</formula>
    </cfRule>
    <cfRule type="expression" dxfId="5338" priority="5329">
      <formula>$I$34="or"</formula>
    </cfRule>
    <cfRule type="expression" dxfId="5337" priority="5327">
      <formula>$I$34="Type 2"</formula>
    </cfRule>
  </conditionalFormatting>
  <conditionalFormatting sqref="I34:R34">
    <cfRule type="expression" dxfId="5336" priority="5339">
      <formula>$P$34="In progress"</formula>
    </cfRule>
  </conditionalFormatting>
  <conditionalFormatting sqref="I34:R34">
    <cfRule type="expression" dxfId="5335" priority="5338">
      <formula>$P$34="Closed"</formula>
    </cfRule>
  </conditionalFormatting>
  <conditionalFormatting sqref="I34:R34">
    <cfRule type="expression" dxfId="5334" priority="5337">
      <formula>$P$34="Canceled"</formula>
    </cfRule>
  </conditionalFormatting>
  <conditionalFormatting sqref="I34:R34">
    <cfRule type="expression" dxfId="5333" priority="5336">
      <formula>$P$34="Suspended"</formula>
    </cfRule>
  </conditionalFormatting>
  <conditionalFormatting sqref="I34:R34">
    <cfRule type="expression" dxfId="5332" priority="5335">
      <formula>$P$34="Applied"</formula>
    </cfRule>
  </conditionalFormatting>
  <conditionalFormatting sqref="I34:R34">
    <cfRule type="expression" dxfId="5331" priority="5334">
      <formula>$P$34="N/A"</formula>
    </cfRule>
  </conditionalFormatting>
  <conditionalFormatting sqref="I34:R34">
    <cfRule type="expression" dxfId="5330" priority="5333">
      <formula>$P$34=""</formula>
    </cfRule>
  </conditionalFormatting>
  <conditionalFormatting sqref="I34:R34">
    <cfRule type="expression" dxfId="5329" priority="5332">
      <formula>$I$34="Module 1"</formula>
    </cfRule>
  </conditionalFormatting>
  <conditionalFormatting sqref="I34:R34">
    <cfRule type="expression" dxfId="5328" priority="5331">
      <formula>$I$34="Module 2"</formula>
    </cfRule>
  </conditionalFormatting>
  <conditionalFormatting sqref="I34:R34">
    <cfRule type="expression" dxfId="5327" priority="5330">
      <formula>$I$34="Module 3"</formula>
    </cfRule>
    <cfRule type="expression" dxfId="5326" priority="5328">
      <formula>$I$34="Type 1"</formula>
    </cfRule>
    <cfRule type="expression" dxfId="5325" priority="5326">
      <formula>$I$34="Type 3"</formula>
    </cfRule>
  </conditionalFormatting>
  <conditionalFormatting sqref="L34">
    <cfRule type="expression" dxfId="5324" priority="5325">
      <formula>$L$34="1"</formula>
    </cfRule>
  </conditionalFormatting>
  <conditionalFormatting sqref="L34">
    <cfRule type="expression" dxfId="5323" priority="5324">
      <formula>$L$34="2"</formula>
    </cfRule>
  </conditionalFormatting>
  <conditionalFormatting sqref="L34">
    <cfRule type="expression" dxfId="5322" priority="5323">
      <formula>$L$34="3"</formula>
    </cfRule>
  </conditionalFormatting>
  <conditionalFormatting sqref="L34">
    <cfRule type="expression" dxfId="5321" priority="5322">
      <formula>$L$34="4"</formula>
    </cfRule>
  </conditionalFormatting>
  <conditionalFormatting sqref="L34">
    <cfRule type="expression" dxfId="5320" priority="5321">
      <formula>$L$34="5"</formula>
    </cfRule>
  </conditionalFormatting>
  <conditionalFormatting sqref="I35:R35">
    <cfRule type="expression" dxfId="5319" priority="5320">
      <formula>$P$35="Not started"</formula>
    </cfRule>
    <cfRule type="expression" dxfId="5318" priority="5309">
      <formula>$I$35="or"</formula>
    </cfRule>
    <cfRule type="expression" dxfId="5317" priority="5307">
      <formula>$I$35="Type 2"</formula>
    </cfRule>
  </conditionalFormatting>
  <conditionalFormatting sqref="I35:R35">
    <cfRule type="expression" dxfId="5316" priority="5319">
      <formula>$P$35="In progress"</formula>
    </cfRule>
  </conditionalFormatting>
  <conditionalFormatting sqref="I35:R35">
    <cfRule type="expression" dxfId="5315" priority="5318">
      <formula>$P$35="Closed"</formula>
    </cfRule>
  </conditionalFormatting>
  <conditionalFormatting sqref="I35:R35">
    <cfRule type="expression" dxfId="5314" priority="5317">
      <formula>$P$35="Canceled"</formula>
    </cfRule>
  </conditionalFormatting>
  <conditionalFormatting sqref="I35:R35">
    <cfRule type="expression" dxfId="5313" priority="5316">
      <formula>$P$35="Suspended"</formula>
    </cfRule>
  </conditionalFormatting>
  <conditionalFormatting sqref="I35:R35">
    <cfRule type="expression" dxfId="5312" priority="5315">
      <formula>$P$35="Applied"</formula>
    </cfRule>
  </conditionalFormatting>
  <conditionalFormatting sqref="I35:R35">
    <cfRule type="expression" dxfId="5311" priority="5314">
      <formula>$P$35="N/A"</formula>
    </cfRule>
  </conditionalFormatting>
  <conditionalFormatting sqref="I35:R35">
    <cfRule type="expression" dxfId="5310" priority="5313">
      <formula>$P$35=""</formula>
    </cfRule>
  </conditionalFormatting>
  <conditionalFormatting sqref="I35:R35">
    <cfRule type="expression" dxfId="5309" priority="5312">
      <formula>$I$35="Module 1"</formula>
    </cfRule>
  </conditionalFormatting>
  <conditionalFormatting sqref="I35:R35">
    <cfRule type="expression" dxfId="5308" priority="5311">
      <formula>$I$35="Module 2"</formula>
    </cfRule>
  </conditionalFormatting>
  <conditionalFormatting sqref="I35:R35">
    <cfRule type="expression" dxfId="5307" priority="5310">
      <formula>$I$35="Module 3"</formula>
    </cfRule>
    <cfRule type="expression" dxfId="5306" priority="5308">
      <formula>$I$35="Type 1"</formula>
    </cfRule>
    <cfRule type="expression" dxfId="5305" priority="5306">
      <formula>$I$35="Type 3"</formula>
    </cfRule>
  </conditionalFormatting>
  <conditionalFormatting sqref="L35">
    <cfRule type="expression" dxfId="5304" priority="5305">
      <formula>$L$35="1"</formula>
    </cfRule>
  </conditionalFormatting>
  <conditionalFormatting sqref="L35">
    <cfRule type="expression" dxfId="5303" priority="5304">
      <formula>$L$35="2"</formula>
    </cfRule>
  </conditionalFormatting>
  <conditionalFormatting sqref="L35">
    <cfRule type="expression" dxfId="5302" priority="5303">
      <formula>$L$35="3"</formula>
    </cfRule>
  </conditionalFormatting>
  <conditionalFormatting sqref="L35">
    <cfRule type="expression" dxfId="5301" priority="5302">
      <formula>$L$35="4"</formula>
    </cfRule>
  </conditionalFormatting>
  <conditionalFormatting sqref="L35">
    <cfRule type="expression" dxfId="5300" priority="5301">
      <formula>$L$35="5"</formula>
    </cfRule>
  </conditionalFormatting>
  <conditionalFormatting sqref="I36:R36">
    <cfRule type="expression" dxfId="5299" priority="5300">
      <formula>$P$36="Not started"</formula>
    </cfRule>
    <cfRule type="expression" dxfId="5298" priority="5289">
      <formula>$I$36="or"</formula>
    </cfRule>
    <cfRule type="expression" dxfId="5297" priority="5287">
      <formula>$I$36="Type 2"</formula>
    </cfRule>
  </conditionalFormatting>
  <conditionalFormatting sqref="I36:R36">
    <cfRule type="expression" dxfId="5296" priority="5299">
      <formula>$P$36="In progress"</formula>
    </cfRule>
  </conditionalFormatting>
  <conditionalFormatting sqref="I36:R36">
    <cfRule type="expression" dxfId="5295" priority="5298">
      <formula>$P$36="Closed"</formula>
    </cfRule>
  </conditionalFormatting>
  <conditionalFormatting sqref="I36:R36">
    <cfRule type="expression" dxfId="5294" priority="5297">
      <formula>$P$36="Canceled"</formula>
    </cfRule>
  </conditionalFormatting>
  <conditionalFormatting sqref="I36:R36">
    <cfRule type="expression" dxfId="5293" priority="5296">
      <formula>$P$36="Suspended"</formula>
    </cfRule>
  </conditionalFormatting>
  <conditionalFormatting sqref="I36:R36">
    <cfRule type="expression" dxfId="5292" priority="5295">
      <formula>$P$36="Applied"</formula>
    </cfRule>
  </conditionalFormatting>
  <conditionalFormatting sqref="I36:R36">
    <cfRule type="expression" dxfId="5291" priority="5294">
      <formula>$P$36="N/A"</formula>
    </cfRule>
  </conditionalFormatting>
  <conditionalFormatting sqref="I36:R36">
    <cfRule type="expression" dxfId="5290" priority="5293">
      <formula>$P$36=""</formula>
    </cfRule>
  </conditionalFormatting>
  <conditionalFormatting sqref="I36:R36">
    <cfRule type="expression" dxfId="5289" priority="5292">
      <formula>$I$36="Module 1"</formula>
    </cfRule>
  </conditionalFormatting>
  <conditionalFormatting sqref="I36:R36">
    <cfRule type="expression" dxfId="5288" priority="5291">
      <formula>$I$36="Module 2"</formula>
    </cfRule>
  </conditionalFormatting>
  <conditionalFormatting sqref="I36:R36">
    <cfRule type="expression" dxfId="5287" priority="5290">
      <formula>$I$36="Module 3"</formula>
    </cfRule>
    <cfRule type="expression" dxfId="5286" priority="5288">
      <formula>$I$36="Type 1"</formula>
    </cfRule>
    <cfRule type="expression" dxfId="5285" priority="5286">
      <formula>$I$36="Type 3"</formula>
    </cfRule>
  </conditionalFormatting>
  <conditionalFormatting sqref="L36">
    <cfRule type="expression" dxfId="5284" priority="5285">
      <formula>$L$36="1"</formula>
    </cfRule>
  </conditionalFormatting>
  <conditionalFormatting sqref="L36">
    <cfRule type="expression" dxfId="5283" priority="5284">
      <formula>$L$36="2"</formula>
    </cfRule>
  </conditionalFormatting>
  <conditionalFormatting sqref="L36">
    <cfRule type="expression" dxfId="5282" priority="5283">
      <formula>$L$36="3"</formula>
    </cfRule>
  </conditionalFormatting>
  <conditionalFormatting sqref="L36">
    <cfRule type="expression" dxfId="5281" priority="5282">
      <formula>$L$36="4"</formula>
    </cfRule>
  </conditionalFormatting>
  <conditionalFormatting sqref="L36">
    <cfRule type="expression" dxfId="5280" priority="5281">
      <formula>$L$36="5"</formula>
    </cfRule>
  </conditionalFormatting>
  <conditionalFormatting sqref="I37:R37">
    <cfRule type="expression" dxfId="5279" priority="5280">
      <formula>$P$37="Not started"</formula>
    </cfRule>
    <cfRule type="expression" dxfId="5278" priority="5269">
      <formula>$I$37="or"</formula>
    </cfRule>
    <cfRule type="expression" dxfId="5277" priority="5267">
      <formula>$I$37="Type 2"</formula>
    </cfRule>
  </conditionalFormatting>
  <conditionalFormatting sqref="I37:R37">
    <cfRule type="expression" dxfId="5276" priority="5279">
      <formula>$P$37="In progress"</formula>
    </cfRule>
  </conditionalFormatting>
  <conditionalFormatting sqref="I37:R37">
    <cfRule type="expression" dxfId="5275" priority="5278">
      <formula>$P$37="Closed"</formula>
    </cfRule>
  </conditionalFormatting>
  <conditionalFormatting sqref="I37:R37">
    <cfRule type="expression" dxfId="5274" priority="5277">
      <formula>$P$37="Canceled"</formula>
    </cfRule>
  </conditionalFormatting>
  <conditionalFormatting sqref="I37:R37">
    <cfRule type="expression" dxfId="5273" priority="5276">
      <formula>$P$37="Suspended"</formula>
    </cfRule>
  </conditionalFormatting>
  <conditionalFormatting sqref="I37:R37">
    <cfRule type="expression" dxfId="5272" priority="5275">
      <formula>$P$37="Applied"</formula>
    </cfRule>
  </conditionalFormatting>
  <conditionalFormatting sqref="I37:R37">
    <cfRule type="expression" dxfId="5271" priority="5274">
      <formula>$P$37="N/A"</formula>
    </cfRule>
  </conditionalFormatting>
  <conditionalFormatting sqref="I37:R37">
    <cfRule type="expression" dxfId="5270" priority="5273">
      <formula>$P$37=""</formula>
    </cfRule>
  </conditionalFormatting>
  <conditionalFormatting sqref="I37:R37">
    <cfRule type="expression" dxfId="5269" priority="5272">
      <formula>$I$37="Module 1"</formula>
    </cfRule>
  </conditionalFormatting>
  <conditionalFormatting sqref="I37:R37">
    <cfRule type="expression" dxfId="5268" priority="5271">
      <formula>$I$37="Module 2"</formula>
    </cfRule>
  </conditionalFormatting>
  <conditionalFormatting sqref="I37:R37">
    <cfRule type="expression" dxfId="5267" priority="5270">
      <formula>$I$37="Module 3"</formula>
    </cfRule>
    <cfRule type="expression" dxfId="5266" priority="5268">
      <formula>$I$37="Type 1"</formula>
    </cfRule>
    <cfRule type="expression" dxfId="5265" priority="5266">
      <formula>$I$37="Type 3"</formula>
    </cfRule>
  </conditionalFormatting>
  <conditionalFormatting sqref="L37">
    <cfRule type="expression" dxfId="5264" priority="5265">
      <formula>$L$37="1"</formula>
    </cfRule>
  </conditionalFormatting>
  <conditionalFormatting sqref="L37">
    <cfRule type="expression" dxfId="5263" priority="5264">
      <formula>$L$37="2"</formula>
    </cfRule>
  </conditionalFormatting>
  <conditionalFormatting sqref="L37">
    <cfRule type="expression" dxfId="5262" priority="5263">
      <formula>$L$37="3"</formula>
    </cfRule>
  </conditionalFormatting>
  <conditionalFormatting sqref="L37">
    <cfRule type="expression" dxfId="5261" priority="5262">
      <formula>$L$37="4"</formula>
    </cfRule>
  </conditionalFormatting>
  <conditionalFormatting sqref="L37">
    <cfRule type="expression" dxfId="5260" priority="5261">
      <formula>$L$37="5"</formula>
    </cfRule>
  </conditionalFormatting>
  <conditionalFormatting sqref="I38:R38">
    <cfRule type="expression" dxfId="5259" priority="5260">
      <formula>$P$38="Not started"</formula>
    </cfRule>
  </conditionalFormatting>
  <conditionalFormatting sqref="I38:R38">
    <cfRule type="expression" dxfId="5258" priority="5259">
      <formula>$P$38="In progress"</formula>
    </cfRule>
  </conditionalFormatting>
  <conditionalFormatting sqref="I38:R38">
    <cfRule type="expression" dxfId="5257" priority="5258">
      <formula>$P$38="Closed"</formula>
    </cfRule>
  </conditionalFormatting>
  <conditionalFormatting sqref="I38:R38">
    <cfRule type="expression" dxfId="5256" priority="5257">
      <formula>$P$38="Canceled"</formula>
    </cfRule>
  </conditionalFormatting>
  <conditionalFormatting sqref="I38:R38">
    <cfRule type="expression" dxfId="5255" priority="5256">
      <formula>$P$38="Suspended"</formula>
    </cfRule>
  </conditionalFormatting>
  <conditionalFormatting sqref="I38:R38">
    <cfRule type="expression" dxfId="5254" priority="5255">
      <formula>$P$38="Applied"</formula>
    </cfRule>
  </conditionalFormatting>
  <conditionalFormatting sqref="I38:R38">
    <cfRule type="expression" dxfId="5253" priority="5254">
      <formula>$P$38="N/A"</formula>
    </cfRule>
  </conditionalFormatting>
  <conditionalFormatting sqref="I38:R38">
    <cfRule type="expression" dxfId="5252" priority="5253">
      <formula>$P$38=""</formula>
    </cfRule>
  </conditionalFormatting>
  <conditionalFormatting sqref="I38:R38">
    <cfRule type="expression" dxfId="5251" priority="5252">
      <formula>$I$38="Module 1"</formula>
    </cfRule>
  </conditionalFormatting>
  <conditionalFormatting sqref="I38:R38">
    <cfRule type="expression" dxfId="5250" priority="5251">
      <formula>$I$38="Module 2"</formula>
    </cfRule>
  </conditionalFormatting>
  <conditionalFormatting sqref="I38:R38">
    <cfRule type="expression" dxfId="5249" priority="5250">
      <formula>$I$38="Module 3"</formula>
    </cfRule>
  </conditionalFormatting>
  <conditionalFormatting sqref="I38:R38">
    <cfRule type="expression" dxfId="5248" priority="5249">
      <formula>$I$38="or"</formula>
    </cfRule>
  </conditionalFormatting>
  <conditionalFormatting sqref="I38:R38">
    <cfRule type="expression" dxfId="5247" priority="5248">
      <formula>$I$38="Type 1"</formula>
    </cfRule>
  </conditionalFormatting>
  <conditionalFormatting sqref="I38:R38">
    <cfRule type="expression" dxfId="5246" priority="5247">
      <formula>$I$38="Type 2"</formula>
    </cfRule>
  </conditionalFormatting>
  <conditionalFormatting sqref="I38:R38">
    <cfRule type="expression" dxfId="5245" priority="5246">
      <formula>$I$38="Type 3"</formula>
    </cfRule>
  </conditionalFormatting>
  <conditionalFormatting sqref="L38">
    <cfRule type="expression" dxfId="5244" priority="5245">
      <formula>$L$38="1"</formula>
    </cfRule>
  </conditionalFormatting>
  <conditionalFormatting sqref="L38">
    <cfRule type="expression" dxfId="5243" priority="5244">
      <formula>$L$38="2"</formula>
    </cfRule>
  </conditionalFormatting>
  <conditionalFormatting sqref="L38">
    <cfRule type="expression" dxfId="5242" priority="5243">
      <formula>$L$38="3"</formula>
    </cfRule>
  </conditionalFormatting>
  <conditionalFormatting sqref="L38">
    <cfRule type="expression" dxfId="5241" priority="5242">
      <formula>$L$38="4"</formula>
    </cfRule>
  </conditionalFormatting>
  <conditionalFormatting sqref="L38">
    <cfRule type="expression" dxfId="5240" priority="5241">
      <formula>$L$38="5"</formula>
    </cfRule>
  </conditionalFormatting>
  <conditionalFormatting sqref="I39:R39">
    <cfRule type="expression" dxfId="5239" priority="5240">
      <formula>$P$39="Not started"</formula>
    </cfRule>
    <cfRule type="expression" dxfId="5238" priority="5229">
      <formula>$I$39="or"</formula>
    </cfRule>
    <cfRule type="expression" dxfId="5237" priority="5227">
      <formula>$I$39="Type 2"</formula>
    </cfRule>
  </conditionalFormatting>
  <conditionalFormatting sqref="I39:R39">
    <cfRule type="expression" dxfId="5236" priority="5239">
      <formula>$P$39="In progress"</formula>
    </cfRule>
  </conditionalFormatting>
  <conditionalFormatting sqref="I39:R39">
    <cfRule type="expression" dxfId="5235" priority="5238">
      <formula>$P$39="Closed"</formula>
    </cfRule>
  </conditionalFormatting>
  <conditionalFormatting sqref="I39:R39">
    <cfRule type="expression" dxfId="5234" priority="5237">
      <formula>$P$39="Canceled"</formula>
    </cfRule>
  </conditionalFormatting>
  <conditionalFormatting sqref="I39:R39">
    <cfRule type="expression" dxfId="5233" priority="5236">
      <formula>$P$39="Suspended"</formula>
    </cfRule>
  </conditionalFormatting>
  <conditionalFormatting sqref="I39:R39">
    <cfRule type="expression" dxfId="5232" priority="5235">
      <formula>$P$39="Applied"</formula>
    </cfRule>
  </conditionalFormatting>
  <conditionalFormatting sqref="I39:R39">
    <cfRule type="expression" dxfId="5231" priority="5234">
      <formula>$P$39="N/A"</formula>
    </cfRule>
  </conditionalFormatting>
  <conditionalFormatting sqref="I39:R39">
    <cfRule type="expression" dxfId="5230" priority="5233">
      <formula>$P$39=""</formula>
    </cfRule>
  </conditionalFormatting>
  <conditionalFormatting sqref="I39:R39">
    <cfRule type="expression" dxfId="5229" priority="5232">
      <formula>$I$39="Module 1"</formula>
    </cfRule>
  </conditionalFormatting>
  <conditionalFormatting sqref="I39:R39">
    <cfRule type="expression" dxfId="5228" priority="5231">
      <formula>$I$39="Module 2"</formula>
    </cfRule>
  </conditionalFormatting>
  <conditionalFormatting sqref="I39:R39">
    <cfRule type="expression" dxfId="5227" priority="5230">
      <formula>$I$39="Module 3"</formula>
    </cfRule>
    <cfRule type="expression" dxfId="5226" priority="5228">
      <formula>$I$39="Type 1"</formula>
    </cfRule>
    <cfRule type="expression" dxfId="5225" priority="5226">
      <formula>$I$39="Type 3"</formula>
    </cfRule>
  </conditionalFormatting>
  <conditionalFormatting sqref="L39">
    <cfRule type="expression" dxfId="5224" priority="5225">
      <formula>$L$39="1"</formula>
    </cfRule>
  </conditionalFormatting>
  <conditionalFormatting sqref="L39">
    <cfRule type="expression" dxfId="5223" priority="5224">
      <formula>$L$39="2"</formula>
    </cfRule>
  </conditionalFormatting>
  <conditionalFormatting sqref="L39">
    <cfRule type="expression" dxfId="5222" priority="5223">
      <formula>$L$39="3"</formula>
    </cfRule>
  </conditionalFormatting>
  <conditionalFormatting sqref="L39">
    <cfRule type="expression" dxfId="5221" priority="5222">
      <formula>$L$39="4"</formula>
    </cfRule>
  </conditionalFormatting>
  <conditionalFormatting sqref="L39">
    <cfRule type="expression" dxfId="5220" priority="5221">
      <formula>$L$39="5"</formula>
    </cfRule>
  </conditionalFormatting>
  <conditionalFormatting sqref="I40:R40">
    <cfRule type="expression" dxfId="5219" priority="5220">
      <formula>$P$40="Not started"</formula>
    </cfRule>
    <cfRule type="expression" dxfId="5218" priority="5209">
      <formula>$I$40="or"</formula>
    </cfRule>
    <cfRule type="expression" dxfId="5217" priority="5207">
      <formula>$I$40="Type 2"</formula>
    </cfRule>
  </conditionalFormatting>
  <conditionalFormatting sqref="I40:R40">
    <cfRule type="expression" dxfId="5216" priority="5219">
      <formula>$P$40="In progress"</formula>
    </cfRule>
  </conditionalFormatting>
  <conditionalFormatting sqref="I40:R40">
    <cfRule type="expression" dxfId="5215" priority="5218">
      <formula>$P$40="Closed"</formula>
    </cfRule>
  </conditionalFormatting>
  <conditionalFormatting sqref="I40:R40">
    <cfRule type="expression" dxfId="5214" priority="5217">
      <formula>$P$40="Canceled"</formula>
    </cfRule>
  </conditionalFormatting>
  <conditionalFormatting sqref="I40:R40">
    <cfRule type="expression" dxfId="5213" priority="5216">
      <formula>$P$40="Suspended"</formula>
    </cfRule>
  </conditionalFormatting>
  <conditionalFormatting sqref="I40:R40">
    <cfRule type="expression" dxfId="5212" priority="5215">
      <formula>$P$40="Applied"</formula>
    </cfRule>
  </conditionalFormatting>
  <conditionalFormatting sqref="I40:R40">
    <cfRule type="expression" dxfId="5211" priority="5214">
      <formula>$P$40="N/A"</formula>
    </cfRule>
  </conditionalFormatting>
  <conditionalFormatting sqref="I40:R40">
    <cfRule type="expression" dxfId="5210" priority="5213">
      <formula>$P$40=""</formula>
    </cfRule>
  </conditionalFormatting>
  <conditionalFormatting sqref="I40:R40">
    <cfRule type="expression" dxfId="5209" priority="5212">
      <formula>$I$40="Module 1"</formula>
    </cfRule>
  </conditionalFormatting>
  <conditionalFormatting sqref="I40:R40">
    <cfRule type="expression" dxfId="5208" priority="5211">
      <formula>$I$40="Module 2"</formula>
    </cfRule>
  </conditionalFormatting>
  <conditionalFormatting sqref="I40:R40">
    <cfRule type="expression" dxfId="5207" priority="5210">
      <formula>$I$40="Module 3"</formula>
    </cfRule>
    <cfRule type="expression" dxfId="5206" priority="5208">
      <formula>$I$40="Type 1"</formula>
    </cfRule>
    <cfRule type="expression" dxfId="5205" priority="5206">
      <formula>$I$40="Type 3"</formula>
    </cfRule>
  </conditionalFormatting>
  <conditionalFormatting sqref="L40">
    <cfRule type="expression" dxfId="5204" priority="5205">
      <formula>$L$40="1"</formula>
    </cfRule>
  </conditionalFormatting>
  <conditionalFormatting sqref="L40">
    <cfRule type="expression" dxfId="5203" priority="5204">
      <formula>$L$40="2"</formula>
    </cfRule>
  </conditionalFormatting>
  <conditionalFormatting sqref="L40">
    <cfRule type="expression" dxfId="5202" priority="5203">
      <formula>$L$40="3"</formula>
    </cfRule>
  </conditionalFormatting>
  <conditionalFormatting sqref="L40">
    <cfRule type="expression" dxfId="5201" priority="5202">
      <formula>$L$40="4"</formula>
    </cfRule>
  </conditionalFormatting>
  <conditionalFormatting sqref="L40">
    <cfRule type="expression" dxfId="5200" priority="5201">
      <formula>$L$40="5"</formula>
    </cfRule>
  </conditionalFormatting>
  <conditionalFormatting sqref="I41:R41">
    <cfRule type="expression" dxfId="5199" priority="5200">
      <formula>$P$41="Not started"</formula>
    </cfRule>
    <cfRule type="expression" dxfId="5198" priority="5189">
      <formula>$I$41="or"</formula>
    </cfRule>
    <cfRule type="expression" dxfId="5197" priority="5187">
      <formula>$I$41="Type 2"</formula>
    </cfRule>
  </conditionalFormatting>
  <conditionalFormatting sqref="I41:R41">
    <cfRule type="expression" dxfId="5196" priority="5199">
      <formula>$P$41="In progress"</formula>
    </cfRule>
  </conditionalFormatting>
  <conditionalFormatting sqref="I41:R41">
    <cfRule type="expression" dxfId="5195" priority="5198">
      <formula>$P$41="Closed"</formula>
    </cfRule>
  </conditionalFormatting>
  <conditionalFormatting sqref="I41:R41">
    <cfRule type="expression" dxfId="5194" priority="5197">
      <formula>$P$41="Canceled"</formula>
    </cfRule>
  </conditionalFormatting>
  <conditionalFormatting sqref="I41:R41">
    <cfRule type="expression" dxfId="5193" priority="5196">
      <formula>$P$41="Suspended"</formula>
    </cfRule>
  </conditionalFormatting>
  <conditionalFormatting sqref="I41:R41">
    <cfRule type="expression" dxfId="5192" priority="5195">
      <formula>$P$41="Applied"</formula>
    </cfRule>
  </conditionalFormatting>
  <conditionalFormatting sqref="I41:R41">
    <cfRule type="expression" dxfId="5191" priority="5194">
      <formula>$P$41="N/A"</formula>
    </cfRule>
  </conditionalFormatting>
  <conditionalFormatting sqref="I41:R41">
    <cfRule type="expression" dxfId="5190" priority="5193">
      <formula>$P$41=""</formula>
    </cfRule>
  </conditionalFormatting>
  <conditionalFormatting sqref="I41:R41">
    <cfRule type="expression" dxfId="5189" priority="5192">
      <formula>$I$41="Module 1"</formula>
    </cfRule>
  </conditionalFormatting>
  <conditionalFormatting sqref="I41:R41">
    <cfRule type="expression" dxfId="5188" priority="5191">
      <formula>$I$41="Module 2"</formula>
    </cfRule>
  </conditionalFormatting>
  <conditionalFormatting sqref="I41:R41">
    <cfRule type="expression" dxfId="5187" priority="5190">
      <formula>$I$41="Module 3"</formula>
    </cfRule>
    <cfRule type="expression" dxfId="5186" priority="5188">
      <formula>$I$41="Type 1"</formula>
    </cfRule>
    <cfRule type="expression" dxfId="5185" priority="5186">
      <formula>$I$41="Type 3"</formula>
    </cfRule>
  </conditionalFormatting>
  <conditionalFormatting sqref="L41">
    <cfRule type="expression" dxfId="5184" priority="5185">
      <formula>$L$41="1"</formula>
    </cfRule>
  </conditionalFormatting>
  <conditionalFormatting sqref="L41">
    <cfRule type="expression" dxfId="5183" priority="5184">
      <formula>$L$41="2"</formula>
    </cfRule>
  </conditionalFormatting>
  <conditionalFormatting sqref="L41">
    <cfRule type="expression" dxfId="5182" priority="5183">
      <formula>$L$41="3"</formula>
    </cfRule>
  </conditionalFormatting>
  <conditionalFormatting sqref="L41">
    <cfRule type="expression" dxfId="5181" priority="5182">
      <formula>$L$41="4"</formula>
    </cfRule>
  </conditionalFormatting>
  <conditionalFormatting sqref="L41">
    <cfRule type="expression" dxfId="5180" priority="5181">
      <formula>$L$41="5"</formula>
    </cfRule>
  </conditionalFormatting>
  <conditionalFormatting sqref="I42:R42">
    <cfRule type="expression" dxfId="5179" priority="5180">
      <formula>$P$42="Not started"</formula>
    </cfRule>
    <cfRule type="expression" dxfId="5178" priority="5169">
      <formula>$I$42="or"</formula>
    </cfRule>
    <cfRule type="expression" dxfId="5177" priority="5167">
      <formula>$I$42="Type 2"</formula>
    </cfRule>
  </conditionalFormatting>
  <conditionalFormatting sqref="I42:R42">
    <cfRule type="expression" dxfId="5176" priority="5179">
      <formula>$P$42="In progress"</formula>
    </cfRule>
  </conditionalFormatting>
  <conditionalFormatting sqref="I42:R42">
    <cfRule type="expression" dxfId="5175" priority="5178">
      <formula>$P$42="Closed"</formula>
    </cfRule>
  </conditionalFormatting>
  <conditionalFormatting sqref="I42:R42">
    <cfRule type="expression" dxfId="5174" priority="5177">
      <formula>$P$42="Canceled"</formula>
    </cfRule>
  </conditionalFormatting>
  <conditionalFormatting sqref="I42:R42">
    <cfRule type="expression" dxfId="5173" priority="5176">
      <formula>$P$42="Suspended"</formula>
    </cfRule>
  </conditionalFormatting>
  <conditionalFormatting sqref="I42:R42">
    <cfRule type="expression" dxfId="5172" priority="5175">
      <formula>$P$42="Applied"</formula>
    </cfRule>
  </conditionalFormatting>
  <conditionalFormatting sqref="I42:R42">
    <cfRule type="expression" dxfId="5171" priority="5174">
      <formula>$P$42="N/A"</formula>
    </cfRule>
  </conditionalFormatting>
  <conditionalFormatting sqref="I42:R42">
    <cfRule type="expression" dxfId="5170" priority="5173">
      <formula>$P$42=""</formula>
    </cfRule>
  </conditionalFormatting>
  <conditionalFormatting sqref="I42:R42">
    <cfRule type="expression" dxfId="5169" priority="5172">
      <formula>$I$42="Module 1"</formula>
    </cfRule>
  </conditionalFormatting>
  <conditionalFormatting sqref="I42:R42">
    <cfRule type="expression" dxfId="5168" priority="5171">
      <formula>$I$42="Module 2"</formula>
    </cfRule>
  </conditionalFormatting>
  <conditionalFormatting sqref="I42:R42">
    <cfRule type="expression" dxfId="5167" priority="5170">
      <formula>$I$42="Module 3"</formula>
    </cfRule>
    <cfRule type="expression" dxfId="5166" priority="5168">
      <formula>$I$42="Type 1"</formula>
    </cfRule>
    <cfRule type="expression" dxfId="5165" priority="5166">
      <formula>$I$42="Type 3"</formula>
    </cfRule>
  </conditionalFormatting>
  <conditionalFormatting sqref="L42">
    <cfRule type="expression" dxfId="5164" priority="5165">
      <formula>$L$42="1"</formula>
    </cfRule>
  </conditionalFormatting>
  <conditionalFormatting sqref="L42">
    <cfRule type="expression" dxfId="5163" priority="5164">
      <formula>$L$42="2"</formula>
    </cfRule>
  </conditionalFormatting>
  <conditionalFormatting sqref="L42">
    <cfRule type="expression" dxfId="5162" priority="5163">
      <formula>$L$42="3"</formula>
    </cfRule>
  </conditionalFormatting>
  <conditionalFormatting sqref="L42">
    <cfRule type="expression" dxfId="5161" priority="5162">
      <formula>$L$42="4"</formula>
    </cfRule>
  </conditionalFormatting>
  <conditionalFormatting sqref="L42">
    <cfRule type="expression" dxfId="5160" priority="5161">
      <formula>$L$42="5"</formula>
    </cfRule>
  </conditionalFormatting>
  <conditionalFormatting sqref="I43:R43">
    <cfRule type="expression" dxfId="5159" priority="5160">
      <formula>$P$43="Not started"</formula>
    </cfRule>
    <cfRule type="expression" dxfId="5158" priority="5149">
      <formula>$I$43="or"</formula>
    </cfRule>
    <cfRule type="expression" dxfId="5157" priority="5147">
      <formula>$I$43="Type 2"</formula>
    </cfRule>
  </conditionalFormatting>
  <conditionalFormatting sqref="I43:R43">
    <cfRule type="expression" dxfId="5156" priority="5159">
      <formula>$P$43="In progress"</formula>
    </cfRule>
  </conditionalFormatting>
  <conditionalFormatting sqref="I43:R43">
    <cfRule type="expression" dxfId="5155" priority="5158">
      <formula>$P$43="Closed"</formula>
    </cfRule>
  </conditionalFormatting>
  <conditionalFormatting sqref="I43:R43">
    <cfRule type="expression" dxfId="5154" priority="5157">
      <formula>$P$43="Canceled"</formula>
    </cfRule>
  </conditionalFormatting>
  <conditionalFormatting sqref="I43:R43">
    <cfRule type="expression" dxfId="5153" priority="5156">
      <formula>$P$43="Suspended"</formula>
    </cfRule>
  </conditionalFormatting>
  <conditionalFormatting sqref="I43:R43">
    <cfRule type="expression" dxfId="5152" priority="5155">
      <formula>$P$43="Applied"</formula>
    </cfRule>
  </conditionalFormatting>
  <conditionalFormatting sqref="I43:R43">
    <cfRule type="expression" dxfId="5151" priority="5154">
      <formula>$P$43="N/A"</formula>
    </cfRule>
  </conditionalFormatting>
  <conditionalFormatting sqref="I43:R43">
    <cfRule type="expression" dxfId="5150" priority="5153">
      <formula>$P$43=""</formula>
    </cfRule>
  </conditionalFormatting>
  <conditionalFormatting sqref="I43:R43">
    <cfRule type="expression" dxfId="5149" priority="5152">
      <formula>$I$43="Module 1"</formula>
    </cfRule>
  </conditionalFormatting>
  <conditionalFormatting sqref="I43:R43">
    <cfRule type="expression" dxfId="5148" priority="5151">
      <formula>$I$43="Module 2"</formula>
    </cfRule>
  </conditionalFormatting>
  <conditionalFormatting sqref="I43:R43">
    <cfRule type="expression" dxfId="5147" priority="5150">
      <formula>$I$43="Module 3"</formula>
    </cfRule>
    <cfRule type="expression" dxfId="5146" priority="5148">
      <formula>$I$43="Type 1"</formula>
    </cfRule>
    <cfRule type="expression" dxfId="5145" priority="5146">
      <formula>$I$43="Type 3"</formula>
    </cfRule>
  </conditionalFormatting>
  <conditionalFormatting sqref="L43">
    <cfRule type="expression" dxfId="5144" priority="5145">
      <formula>$L$43="1"</formula>
    </cfRule>
  </conditionalFormatting>
  <conditionalFormatting sqref="L43">
    <cfRule type="expression" dxfId="5143" priority="5144">
      <formula>$L$43="2"</formula>
    </cfRule>
  </conditionalFormatting>
  <conditionalFormatting sqref="L43">
    <cfRule type="expression" dxfId="5142" priority="5143">
      <formula>$L$43="3"</formula>
    </cfRule>
  </conditionalFormatting>
  <conditionalFormatting sqref="L43">
    <cfRule type="expression" dxfId="5141" priority="5142">
      <formula>$L$43="4"</formula>
    </cfRule>
  </conditionalFormatting>
  <conditionalFormatting sqref="L43">
    <cfRule type="expression" dxfId="5140" priority="5141">
      <formula>$L$43="5"</formula>
    </cfRule>
  </conditionalFormatting>
  <conditionalFormatting sqref="I44:R44">
    <cfRule type="expression" dxfId="5139" priority="5140">
      <formula>$P$44="Not started"</formula>
    </cfRule>
    <cfRule type="expression" dxfId="5138" priority="5129">
      <formula>$I$44="or"</formula>
    </cfRule>
    <cfRule type="expression" dxfId="5137" priority="5127">
      <formula>$I$44="Type 2"</formula>
    </cfRule>
  </conditionalFormatting>
  <conditionalFormatting sqref="I44:R44">
    <cfRule type="expression" dxfId="5136" priority="5139">
      <formula>$P$44="In progress"</formula>
    </cfRule>
  </conditionalFormatting>
  <conditionalFormatting sqref="I44:R44">
    <cfRule type="expression" dxfId="5135" priority="5138">
      <formula>$P$44="Closed"</formula>
    </cfRule>
  </conditionalFormatting>
  <conditionalFormatting sqref="I44:R44">
    <cfRule type="expression" dxfId="5134" priority="5137">
      <formula>$P$44="Canceled"</formula>
    </cfRule>
  </conditionalFormatting>
  <conditionalFormatting sqref="I44:R44">
    <cfRule type="expression" dxfId="5133" priority="5136">
      <formula>$P$44="Suspended"</formula>
    </cfRule>
  </conditionalFormatting>
  <conditionalFormatting sqref="I44:R44">
    <cfRule type="expression" dxfId="5132" priority="5135">
      <formula>$P$44="Applied"</formula>
    </cfRule>
  </conditionalFormatting>
  <conditionalFormatting sqref="I44:R44">
    <cfRule type="expression" dxfId="5131" priority="5134">
      <formula>$P$44="N/A"</formula>
    </cfRule>
  </conditionalFormatting>
  <conditionalFormatting sqref="I44:R44">
    <cfRule type="expression" dxfId="5130" priority="5133">
      <formula>$P$44=""</formula>
    </cfRule>
  </conditionalFormatting>
  <conditionalFormatting sqref="I44:R44">
    <cfRule type="expression" dxfId="5129" priority="5132">
      <formula>$I$44="Module 1"</formula>
    </cfRule>
  </conditionalFormatting>
  <conditionalFormatting sqref="I44:R44">
    <cfRule type="expression" dxfId="5128" priority="5131">
      <formula>$I$44="Module 2"</formula>
    </cfRule>
  </conditionalFormatting>
  <conditionalFormatting sqref="I44:R44">
    <cfRule type="expression" dxfId="5127" priority="5130">
      <formula>$I$44="Module 3"</formula>
    </cfRule>
    <cfRule type="expression" dxfId="5126" priority="5128">
      <formula>$I$44="Type 1"</formula>
    </cfRule>
    <cfRule type="expression" dxfId="5125" priority="5126">
      <formula>$I$44="Type 3"</formula>
    </cfRule>
  </conditionalFormatting>
  <conditionalFormatting sqref="L44">
    <cfRule type="expression" dxfId="5124" priority="5125">
      <formula>$L$44="1"</formula>
    </cfRule>
  </conditionalFormatting>
  <conditionalFormatting sqref="L44">
    <cfRule type="expression" dxfId="5123" priority="5124">
      <formula>$L$44="2"</formula>
    </cfRule>
  </conditionalFormatting>
  <conditionalFormatting sqref="L44">
    <cfRule type="expression" dxfId="5122" priority="5123">
      <formula>$L$44="3"</formula>
    </cfRule>
  </conditionalFormatting>
  <conditionalFormatting sqref="L44">
    <cfRule type="expression" dxfId="5121" priority="5122">
      <formula>$L$44="4"</formula>
    </cfRule>
  </conditionalFormatting>
  <conditionalFormatting sqref="L44">
    <cfRule type="expression" dxfId="5120" priority="5121">
      <formula>$L$44="5"</formula>
    </cfRule>
  </conditionalFormatting>
  <conditionalFormatting sqref="I45:R45">
    <cfRule type="expression" dxfId="5119" priority="5120">
      <formula>$P$45="Not started"</formula>
    </cfRule>
    <cfRule type="expression" dxfId="5118" priority="5109">
      <formula>$I$45="or"</formula>
    </cfRule>
    <cfRule type="expression" dxfId="5117" priority="5107">
      <formula>$I$45="Type 2"</formula>
    </cfRule>
  </conditionalFormatting>
  <conditionalFormatting sqref="I45:R45">
    <cfRule type="expression" dxfId="5116" priority="5119">
      <formula>$P$45="In progress"</formula>
    </cfRule>
  </conditionalFormatting>
  <conditionalFormatting sqref="I45:R45">
    <cfRule type="expression" dxfId="5115" priority="5118">
      <formula>$P$45="Closed"</formula>
    </cfRule>
  </conditionalFormatting>
  <conditionalFormatting sqref="I45:R45">
    <cfRule type="expression" dxfId="5114" priority="5117">
      <formula>$P$45="Canceled"</formula>
    </cfRule>
  </conditionalFormatting>
  <conditionalFormatting sqref="I45:R45">
    <cfRule type="expression" dxfId="5113" priority="5116">
      <formula>$P$45="Suspended"</formula>
    </cfRule>
  </conditionalFormatting>
  <conditionalFormatting sqref="I45:R45">
    <cfRule type="expression" dxfId="5112" priority="5115">
      <formula>$P$45="Applied"</formula>
    </cfRule>
  </conditionalFormatting>
  <conditionalFormatting sqref="I45:R45">
    <cfRule type="expression" dxfId="5111" priority="5114">
      <formula>$P$45="N/A"</formula>
    </cfRule>
  </conditionalFormatting>
  <conditionalFormatting sqref="I45:R45">
    <cfRule type="expression" dxfId="5110" priority="5113">
      <formula>$P$45=""</formula>
    </cfRule>
  </conditionalFormatting>
  <conditionalFormatting sqref="I45:R45">
    <cfRule type="expression" dxfId="5109" priority="5112">
      <formula>$I$45="Module 1"</formula>
    </cfRule>
  </conditionalFormatting>
  <conditionalFormatting sqref="I45:R45">
    <cfRule type="expression" dxfId="5108" priority="5111">
      <formula>$I$45="Module 2"</formula>
    </cfRule>
  </conditionalFormatting>
  <conditionalFormatting sqref="I45:R45">
    <cfRule type="expression" dxfId="5107" priority="5110">
      <formula>$I$45="Module 3"</formula>
    </cfRule>
    <cfRule type="expression" dxfId="5106" priority="5108">
      <formula>$I$45="Type 1"</formula>
    </cfRule>
    <cfRule type="expression" dxfId="5105" priority="5106">
      <formula>$I$45="Type 3"</formula>
    </cfRule>
  </conditionalFormatting>
  <conditionalFormatting sqref="L45">
    <cfRule type="expression" dxfId="5104" priority="5105">
      <formula>$L$45="1"</formula>
    </cfRule>
  </conditionalFormatting>
  <conditionalFormatting sqref="L45">
    <cfRule type="expression" dxfId="5103" priority="5104">
      <formula>$L$45="2"</formula>
    </cfRule>
  </conditionalFormatting>
  <conditionalFormatting sqref="L45">
    <cfRule type="expression" dxfId="5102" priority="5103">
      <formula>$L$45="3"</formula>
    </cfRule>
  </conditionalFormatting>
  <conditionalFormatting sqref="L45">
    <cfRule type="expression" dxfId="5101" priority="5102">
      <formula>$L$45="4"</formula>
    </cfRule>
  </conditionalFormatting>
  <conditionalFormatting sqref="L45">
    <cfRule type="expression" dxfId="5100" priority="5101">
      <formula>$L$45="5"</formula>
    </cfRule>
  </conditionalFormatting>
  <conditionalFormatting sqref="I46:R46">
    <cfRule type="expression" dxfId="5099" priority="5100">
      <formula>$P$46="Not started"</formula>
    </cfRule>
    <cfRule type="expression" dxfId="5098" priority="5089">
      <formula>$I$46="or"</formula>
    </cfRule>
    <cfRule type="expression" dxfId="5097" priority="5087">
      <formula>$I$46="Type 2"</formula>
    </cfRule>
  </conditionalFormatting>
  <conditionalFormatting sqref="I46:R46">
    <cfRule type="expression" dxfId="5096" priority="5099">
      <formula>$P$46="In progress"</formula>
    </cfRule>
  </conditionalFormatting>
  <conditionalFormatting sqref="I46:R46">
    <cfRule type="expression" dxfId="5095" priority="5098">
      <formula>$P$46="Closed"</formula>
    </cfRule>
  </conditionalFormatting>
  <conditionalFormatting sqref="I46:R46">
    <cfRule type="expression" dxfId="5094" priority="5097">
      <formula>$P$46="Canceled"</formula>
    </cfRule>
  </conditionalFormatting>
  <conditionalFormatting sqref="I46:R46">
    <cfRule type="expression" dxfId="5093" priority="5096">
      <formula>$P$46="Suspended"</formula>
    </cfRule>
  </conditionalFormatting>
  <conditionalFormatting sqref="I46:R46">
    <cfRule type="expression" dxfId="5092" priority="5095">
      <formula>$P$46="Applied"</formula>
    </cfRule>
  </conditionalFormatting>
  <conditionalFormatting sqref="I46:R46">
    <cfRule type="expression" dxfId="5091" priority="5094">
      <formula>$P$46="N/A"</formula>
    </cfRule>
  </conditionalFormatting>
  <conditionalFormatting sqref="I46:R46">
    <cfRule type="expression" dxfId="5090" priority="5093">
      <formula>$P$46=""</formula>
    </cfRule>
  </conditionalFormatting>
  <conditionalFormatting sqref="I46:R46">
    <cfRule type="expression" dxfId="5089" priority="5092">
      <formula>$I$46="Module 1"</formula>
    </cfRule>
  </conditionalFormatting>
  <conditionalFormatting sqref="I46:R46">
    <cfRule type="expression" dxfId="5088" priority="5091">
      <formula>$I$46="Module 2"</formula>
    </cfRule>
  </conditionalFormatting>
  <conditionalFormatting sqref="I46:R46">
    <cfRule type="expression" dxfId="5087" priority="5090">
      <formula>$I$46="Module 3"</formula>
    </cfRule>
    <cfRule type="expression" dxfId="5086" priority="5088">
      <formula>$I$46="Type 1"</formula>
    </cfRule>
    <cfRule type="expression" dxfId="5085" priority="5086">
      <formula>$I$46="Type 3"</formula>
    </cfRule>
  </conditionalFormatting>
  <conditionalFormatting sqref="L46">
    <cfRule type="expression" dxfId="5084" priority="5085">
      <formula>$L$46="1"</formula>
    </cfRule>
  </conditionalFormatting>
  <conditionalFormatting sqref="L46">
    <cfRule type="expression" dxfId="5083" priority="5084">
      <formula>$L$46="2"</formula>
    </cfRule>
  </conditionalFormatting>
  <conditionalFormatting sqref="L46">
    <cfRule type="expression" dxfId="5082" priority="5083">
      <formula>$L$46="3"</formula>
    </cfRule>
  </conditionalFormatting>
  <conditionalFormatting sqref="L46">
    <cfRule type="expression" dxfId="5081" priority="5082">
      <formula>$L$46="4"</formula>
    </cfRule>
  </conditionalFormatting>
  <conditionalFormatting sqref="L46">
    <cfRule type="expression" dxfId="5080" priority="5081">
      <formula>$L$46="5"</formula>
    </cfRule>
  </conditionalFormatting>
  <conditionalFormatting sqref="I47:R47">
    <cfRule type="expression" dxfId="5079" priority="5080">
      <formula>$P$47="Not started"</formula>
    </cfRule>
    <cfRule type="expression" dxfId="5078" priority="5069">
      <formula>$I$47="or"</formula>
    </cfRule>
    <cfRule type="expression" dxfId="5077" priority="5067">
      <formula>$I$47="Type 2"</formula>
    </cfRule>
  </conditionalFormatting>
  <conditionalFormatting sqref="I47:R47">
    <cfRule type="expression" dxfId="5076" priority="5079">
      <formula>$P$47="In progress"</formula>
    </cfRule>
  </conditionalFormatting>
  <conditionalFormatting sqref="I47:R47">
    <cfRule type="expression" dxfId="5075" priority="5078">
      <formula>$P$47="Closed"</formula>
    </cfRule>
  </conditionalFormatting>
  <conditionalFormatting sqref="I47:R47">
    <cfRule type="expression" dxfId="5074" priority="5077">
      <formula>$P$47="Canceled"</formula>
    </cfRule>
  </conditionalFormatting>
  <conditionalFormatting sqref="I47:R47">
    <cfRule type="expression" dxfId="5073" priority="5076">
      <formula>$P$47="Suspended"</formula>
    </cfRule>
  </conditionalFormatting>
  <conditionalFormatting sqref="I47:R47">
    <cfRule type="expression" dxfId="5072" priority="5075">
      <formula>$P$47="Applied"</formula>
    </cfRule>
  </conditionalFormatting>
  <conditionalFormatting sqref="I47:R47">
    <cfRule type="expression" dxfId="5071" priority="5074">
      <formula>$P$47="N/A"</formula>
    </cfRule>
  </conditionalFormatting>
  <conditionalFormatting sqref="I47:R47">
    <cfRule type="expression" dxfId="5070" priority="5073">
      <formula>$P$47=""</formula>
    </cfRule>
  </conditionalFormatting>
  <conditionalFormatting sqref="I47:R47">
    <cfRule type="expression" dxfId="5069" priority="5072">
      <formula>$I$47="Module 1"</formula>
    </cfRule>
  </conditionalFormatting>
  <conditionalFormatting sqref="I47:R47">
    <cfRule type="expression" dxfId="5068" priority="5071">
      <formula>$I$47="Module 2"</formula>
    </cfRule>
  </conditionalFormatting>
  <conditionalFormatting sqref="I47:R47">
    <cfRule type="expression" dxfId="5067" priority="5070">
      <formula>$I$47="Module 3"</formula>
    </cfRule>
    <cfRule type="expression" dxfId="5066" priority="5068">
      <formula>$I$47="Type 1"</formula>
    </cfRule>
    <cfRule type="expression" dxfId="5065" priority="5066">
      <formula>$I$47="Type 3"</formula>
    </cfRule>
  </conditionalFormatting>
  <conditionalFormatting sqref="L47">
    <cfRule type="expression" dxfId="5064" priority="5065">
      <formula>$L$47="1"</formula>
    </cfRule>
  </conditionalFormatting>
  <conditionalFormatting sqref="L47">
    <cfRule type="expression" dxfId="5063" priority="5064">
      <formula>$L$47="2"</formula>
    </cfRule>
  </conditionalFormatting>
  <conditionalFormatting sqref="L47">
    <cfRule type="expression" dxfId="5062" priority="5063">
      <formula>$L$47="3"</formula>
    </cfRule>
  </conditionalFormatting>
  <conditionalFormatting sqref="L47">
    <cfRule type="expression" dxfId="5061" priority="5062">
      <formula>$L$47="4"</formula>
    </cfRule>
  </conditionalFormatting>
  <conditionalFormatting sqref="L47">
    <cfRule type="expression" dxfId="5060" priority="5061">
      <formula>$L$47="5"</formula>
    </cfRule>
  </conditionalFormatting>
  <conditionalFormatting sqref="I48:R48">
    <cfRule type="expression" dxfId="5059" priority="5060">
      <formula>$P$48="Not started"</formula>
    </cfRule>
  </conditionalFormatting>
  <conditionalFormatting sqref="I48:R48">
    <cfRule type="expression" dxfId="5058" priority="5059">
      <formula>$P$48="In progress"</formula>
    </cfRule>
  </conditionalFormatting>
  <conditionalFormatting sqref="I48:R48">
    <cfRule type="expression" dxfId="5057" priority="5058">
      <formula>$P$48="Closed"</formula>
    </cfRule>
  </conditionalFormatting>
  <conditionalFormatting sqref="I48:R48">
    <cfRule type="expression" dxfId="5056" priority="5057">
      <formula>$P$48="Canceled"</formula>
    </cfRule>
  </conditionalFormatting>
  <conditionalFormatting sqref="I48:R48">
    <cfRule type="expression" dxfId="5055" priority="5056">
      <formula>$P$48="Suspended"</formula>
    </cfRule>
  </conditionalFormatting>
  <conditionalFormatting sqref="I48:R48">
    <cfRule type="expression" dxfId="5054" priority="5055">
      <formula>$P$48="Applied"</formula>
    </cfRule>
  </conditionalFormatting>
  <conditionalFormatting sqref="I48:R48">
    <cfRule type="expression" dxfId="5053" priority="5054">
      <formula>$P$48="N/A"</formula>
    </cfRule>
  </conditionalFormatting>
  <conditionalFormatting sqref="I48:R48">
    <cfRule type="expression" dxfId="5052" priority="5053">
      <formula>$P$48=""</formula>
    </cfRule>
  </conditionalFormatting>
  <conditionalFormatting sqref="I48:R48">
    <cfRule type="expression" dxfId="5051" priority="5052">
      <formula>$I$48="Module 1"</formula>
    </cfRule>
  </conditionalFormatting>
  <conditionalFormatting sqref="I48:R48">
    <cfRule type="expression" dxfId="5050" priority="5051">
      <formula>$I$48="Module 2"</formula>
    </cfRule>
  </conditionalFormatting>
  <conditionalFormatting sqref="I48:R48">
    <cfRule type="expression" dxfId="5049" priority="5050">
      <formula>$I$48="Module 3"</formula>
    </cfRule>
  </conditionalFormatting>
  <conditionalFormatting sqref="I48:R48">
    <cfRule type="expression" dxfId="5048" priority="5049">
      <formula>$I$48="or"</formula>
    </cfRule>
  </conditionalFormatting>
  <conditionalFormatting sqref="I48:R48">
    <cfRule type="expression" dxfId="5047" priority="5048">
      <formula>$I$48="Type 1"</formula>
    </cfRule>
  </conditionalFormatting>
  <conditionalFormatting sqref="I48:R48">
    <cfRule type="expression" dxfId="5046" priority="5047">
      <formula>$I$48="Type 2"</formula>
    </cfRule>
  </conditionalFormatting>
  <conditionalFormatting sqref="I48:R48">
    <cfRule type="expression" dxfId="5045" priority="5046">
      <formula>$I$48="Type 3"</formula>
    </cfRule>
  </conditionalFormatting>
  <conditionalFormatting sqref="L48">
    <cfRule type="expression" dxfId="5044" priority="5045">
      <formula>$L$48="1"</formula>
    </cfRule>
  </conditionalFormatting>
  <conditionalFormatting sqref="L48">
    <cfRule type="expression" dxfId="5043" priority="5044">
      <formula>$L$48="2"</formula>
    </cfRule>
  </conditionalFormatting>
  <conditionalFormatting sqref="L48">
    <cfRule type="expression" dxfId="5042" priority="5043">
      <formula>$L$48="3"</formula>
    </cfRule>
  </conditionalFormatting>
  <conditionalFormatting sqref="L48">
    <cfRule type="expression" dxfId="5041" priority="5042">
      <formula>$L$48="4"</formula>
    </cfRule>
  </conditionalFormatting>
  <conditionalFormatting sqref="L48">
    <cfRule type="expression" dxfId="5040" priority="5041">
      <formula>$L$48="5"</formula>
    </cfRule>
  </conditionalFormatting>
  <conditionalFormatting sqref="I49:R49">
    <cfRule type="expression" dxfId="5039" priority="5040">
      <formula>$P$49="Not started"</formula>
    </cfRule>
    <cfRule type="expression" dxfId="5038" priority="5029">
      <formula>$I$49="or"</formula>
    </cfRule>
    <cfRule type="expression" dxfId="5037" priority="5027">
      <formula>$I$49="Type 2"</formula>
    </cfRule>
  </conditionalFormatting>
  <conditionalFormatting sqref="I49:R49">
    <cfRule type="expression" dxfId="5036" priority="5039">
      <formula>$P$49="In progress"</formula>
    </cfRule>
  </conditionalFormatting>
  <conditionalFormatting sqref="I49:R49">
    <cfRule type="expression" dxfId="5035" priority="5038">
      <formula>$P$49="Closed"</formula>
    </cfRule>
  </conditionalFormatting>
  <conditionalFormatting sqref="I49:R49">
    <cfRule type="expression" dxfId="5034" priority="5037">
      <formula>$P$49="Canceled"</formula>
    </cfRule>
  </conditionalFormatting>
  <conditionalFormatting sqref="I49:R49">
    <cfRule type="expression" dxfId="5033" priority="5036">
      <formula>$P$49="Suspended"</formula>
    </cfRule>
  </conditionalFormatting>
  <conditionalFormatting sqref="I49:R49">
    <cfRule type="expression" dxfId="5032" priority="5035">
      <formula>$P$49="Applied"</formula>
    </cfRule>
  </conditionalFormatting>
  <conditionalFormatting sqref="I49:R49">
    <cfRule type="expression" dxfId="5031" priority="5034">
      <formula>$P$49="N/A"</formula>
    </cfRule>
  </conditionalFormatting>
  <conditionalFormatting sqref="I49:R49">
    <cfRule type="expression" dxfId="5030" priority="5033">
      <formula>$P$49=""</formula>
    </cfRule>
  </conditionalFormatting>
  <conditionalFormatting sqref="I49:R49">
    <cfRule type="expression" dxfId="5029" priority="5032">
      <formula>$I$49="Module 1"</formula>
    </cfRule>
  </conditionalFormatting>
  <conditionalFormatting sqref="I49:R49">
    <cfRule type="expression" dxfId="5028" priority="5031">
      <formula>$I$49="Module 2"</formula>
    </cfRule>
  </conditionalFormatting>
  <conditionalFormatting sqref="I49:R49">
    <cfRule type="expression" dxfId="5027" priority="5030">
      <formula>$I$49="Module 3"</formula>
    </cfRule>
    <cfRule type="expression" dxfId="5026" priority="5028">
      <formula>$I$49="Type 1"</formula>
    </cfRule>
    <cfRule type="expression" dxfId="5025" priority="5026">
      <formula>$I$49="Type 3"</formula>
    </cfRule>
  </conditionalFormatting>
  <conditionalFormatting sqref="L49">
    <cfRule type="expression" dxfId="5024" priority="5025">
      <formula>$L$49="1"</formula>
    </cfRule>
  </conditionalFormatting>
  <conditionalFormatting sqref="L49">
    <cfRule type="expression" dxfId="5023" priority="5024">
      <formula>$L$49="2"</formula>
    </cfRule>
  </conditionalFormatting>
  <conditionalFormatting sqref="L49">
    <cfRule type="expression" dxfId="5022" priority="5023">
      <formula>$L$49="3"</formula>
    </cfRule>
  </conditionalFormatting>
  <conditionalFormatting sqref="L49">
    <cfRule type="expression" dxfId="5021" priority="5022">
      <formula>$L$49="4"</formula>
    </cfRule>
  </conditionalFormatting>
  <conditionalFormatting sqref="L49">
    <cfRule type="expression" dxfId="5020" priority="5021">
      <formula>$L$49="5"</formula>
    </cfRule>
  </conditionalFormatting>
  <conditionalFormatting sqref="I50:R50">
    <cfRule type="expression" dxfId="5019" priority="5020">
      <formula>$P$50="Not started"</formula>
    </cfRule>
    <cfRule type="expression" dxfId="5018" priority="5009">
      <formula>$I$50="or"</formula>
    </cfRule>
    <cfRule type="expression" dxfId="5017" priority="5007">
      <formula>$I$50="Type 2"</formula>
    </cfRule>
  </conditionalFormatting>
  <conditionalFormatting sqref="I50:R50">
    <cfRule type="expression" dxfId="5016" priority="5019">
      <formula>$P$50="In progress"</formula>
    </cfRule>
  </conditionalFormatting>
  <conditionalFormatting sqref="I50:R50">
    <cfRule type="expression" dxfId="5015" priority="5018">
      <formula>$P$50="Closed"</formula>
    </cfRule>
  </conditionalFormatting>
  <conditionalFormatting sqref="I50:R50">
    <cfRule type="expression" dxfId="5014" priority="5017">
      <formula>$P$50="Canceled"</formula>
    </cfRule>
  </conditionalFormatting>
  <conditionalFormatting sqref="I50:R50">
    <cfRule type="expression" dxfId="5013" priority="5016">
      <formula>$P$50="Suspended"</formula>
    </cfRule>
  </conditionalFormatting>
  <conditionalFormatting sqref="I50:R50">
    <cfRule type="expression" dxfId="5012" priority="5015">
      <formula>$P$50="Applied"</formula>
    </cfRule>
  </conditionalFormatting>
  <conditionalFormatting sqref="I50:R50">
    <cfRule type="expression" dxfId="5011" priority="5014">
      <formula>$P$50="N/A"</formula>
    </cfRule>
  </conditionalFormatting>
  <conditionalFormatting sqref="I50:R50">
    <cfRule type="expression" dxfId="5010" priority="5013">
      <formula>$P$50=""</formula>
    </cfRule>
  </conditionalFormatting>
  <conditionalFormatting sqref="I50:R50">
    <cfRule type="expression" dxfId="5009" priority="5012">
      <formula>$I$50="Module 1"</formula>
    </cfRule>
  </conditionalFormatting>
  <conditionalFormatting sqref="I50:R50">
    <cfRule type="expression" dxfId="5008" priority="5011">
      <formula>$I$50="Module 2"</formula>
    </cfRule>
  </conditionalFormatting>
  <conditionalFormatting sqref="I50:R50">
    <cfRule type="expression" dxfId="5007" priority="5010">
      <formula>$I$50="Module 3"</formula>
    </cfRule>
    <cfRule type="expression" dxfId="5006" priority="5008">
      <formula>$I$50="Type 1"</formula>
    </cfRule>
    <cfRule type="expression" dxfId="5005" priority="5006">
      <formula>$I$50="Type 3"</formula>
    </cfRule>
  </conditionalFormatting>
  <conditionalFormatting sqref="L50">
    <cfRule type="expression" dxfId="5004" priority="5005">
      <formula>$L$50="1"</formula>
    </cfRule>
  </conditionalFormatting>
  <conditionalFormatting sqref="L50">
    <cfRule type="expression" dxfId="5003" priority="5004">
      <formula>$L$50="2"</formula>
    </cfRule>
  </conditionalFormatting>
  <conditionalFormatting sqref="L50">
    <cfRule type="expression" dxfId="5002" priority="5003">
      <formula>$L$50="3"</formula>
    </cfRule>
  </conditionalFormatting>
  <conditionalFormatting sqref="L50">
    <cfRule type="expression" dxfId="5001" priority="5002">
      <formula>$L$50="4"</formula>
    </cfRule>
  </conditionalFormatting>
  <conditionalFormatting sqref="L50">
    <cfRule type="expression" dxfId="5000" priority="5001">
      <formula>$L$50="5"</formula>
    </cfRule>
  </conditionalFormatting>
  <conditionalFormatting sqref="I51:R51">
    <cfRule type="expression" dxfId="4999" priority="5000">
      <formula>$P$51="Not started"</formula>
    </cfRule>
    <cfRule type="expression" dxfId="4998" priority="4989">
      <formula>$I$51="or"</formula>
    </cfRule>
    <cfRule type="expression" dxfId="4997" priority="4987">
      <formula>$I$51="Type 2"</formula>
    </cfRule>
  </conditionalFormatting>
  <conditionalFormatting sqref="I51:R51">
    <cfRule type="expression" dxfId="4996" priority="4999">
      <formula>$P$51="In progress"</formula>
    </cfRule>
  </conditionalFormatting>
  <conditionalFormatting sqref="I51:R51">
    <cfRule type="expression" dxfId="4995" priority="4998">
      <formula>$P$51="Closed"</formula>
    </cfRule>
  </conditionalFormatting>
  <conditionalFormatting sqref="I51:R51">
    <cfRule type="expression" dxfId="4994" priority="4997">
      <formula>$P$51="Canceled"</formula>
    </cfRule>
  </conditionalFormatting>
  <conditionalFormatting sqref="I51:R51">
    <cfRule type="expression" dxfId="4993" priority="4996">
      <formula>$P$51="Suspended"</formula>
    </cfRule>
  </conditionalFormatting>
  <conditionalFormatting sqref="I51:R51">
    <cfRule type="expression" dxfId="4992" priority="4995">
      <formula>$P$51="Applied"</formula>
    </cfRule>
  </conditionalFormatting>
  <conditionalFormatting sqref="I51:R51">
    <cfRule type="expression" dxfId="4991" priority="4994">
      <formula>$P$51="N/A"</formula>
    </cfRule>
  </conditionalFormatting>
  <conditionalFormatting sqref="I51:R51">
    <cfRule type="expression" dxfId="4990" priority="4993">
      <formula>$P$51=""</formula>
    </cfRule>
  </conditionalFormatting>
  <conditionalFormatting sqref="I51:R51">
    <cfRule type="expression" dxfId="4989" priority="4992">
      <formula>$I$51="Module 1"</formula>
    </cfRule>
  </conditionalFormatting>
  <conditionalFormatting sqref="I51:R51">
    <cfRule type="expression" dxfId="4988" priority="4991">
      <formula>$I$51="Module 2"</formula>
    </cfRule>
  </conditionalFormatting>
  <conditionalFormatting sqref="I51:R51">
    <cfRule type="expression" dxfId="4987" priority="4990">
      <formula>$I$51="Module 3"</formula>
    </cfRule>
    <cfRule type="expression" dxfId="4986" priority="4988">
      <formula>$I$51="Type 1"</formula>
    </cfRule>
    <cfRule type="expression" dxfId="4985" priority="4986">
      <formula>$I$51="Type 3"</formula>
    </cfRule>
  </conditionalFormatting>
  <conditionalFormatting sqref="L51">
    <cfRule type="expression" dxfId="4984" priority="4985">
      <formula>$L$51="1"</formula>
    </cfRule>
  </conditionalFormatting>
  <conditionalFormatting sqref="L51">
    <cfRule type="expression" dxfId="4983" priority="4984">
      <formula>$L$51="2"</formula>
    </cfRule>
  </conditionalFormatting>
  <conditionalFormatting sqref="L51">
    <cfRule type="expression" dxfId="4982" priority="4983">
      <formula>$L$51="3"</formula>
    </cfRule>
  </conditionalFormatting>
  <conditionalFormatting sqref="L51">
    <cfRule type="expression" dxfId="4981" priority="4982">
      <formula>$L$51="4"</formula>
    </cfRule>
  </conditionalFormatting>
  <conditionalFormatting sqref="L51">
    <cfRule type="expression" dxfId="4980" priority="4981">
      <formula>$L$51="5"</formula>
    </cfRule>
  </conditionalFormatting>
  <conditionalFormatting sqref="I52:R52">
    <cfRule type="expression" dxfId="4979" priority="4980">
      <formula>$P$52="Not started"</formula>
    </cfRule>
    <cfRule type="expression" dxfId="4978" priority="4969">
      <formula>$I$52="or"</formula>
    </cfRule>
    <cfRule type="expression" dxfId="4977" priority="4967">
      <formula>$I$52="Type 2"</formula>
    </cfRule>
  </conditionalFormatting>
  <conditionalFormatting sqref="I52:R52">
    <cfRule type="expression" dxfId="4976" priority="4979">
      <formula>$P$52="In progress"</formula>
    </cfRule>
  </conditionalFormatting>
  <conditionalFormatting sqref="I52:R52">
    <cfRule type="expression" dxfId="4975" priority="4978">
      <formula>$P$52="Closed"</formula>
    </cfRule>
  </conditionalFormatting>
  <conditionalFormatting sqref="I52:R52">
    <cfRule type="expression" dxfId="4974" priority="4977">
      <formula>$P$52="Canceled"</formula>
    </cfRule>
  </conditionalFormatting>
  <conditionalFormatting sqref="I52:R52">
    <cfRule type="expression" dxfId="4973" priority="4976">
      <formula>$P$52="Suspended"</formula>
    </cfRule>
  </conditionalFormatting>
  <conditionalFormatting sqref="I52:R52">
    <cfRule type="expression" dxfId="4972" priority="4975">
      <formula>$P$52="Applied"</formula>
    </cfRule>
  </conditionalFormatting>
  <conditionalFormatting sqref="I52:R52">
    <cfRule type="expression" dxfId="4971" priority="4974">
      <formula>$P$52="N/A"</formula>
    </cfRule>
  </conditionalFormatting>
  <conditionalFormatting sqref="I52:R52">
    <cfRule type="expression" dxfId="4970" priority="4973">
      <formula>$P$52=""</formula>
    </cfRule>
  </conditionalFormatting>
  <conditionalFormatting sqref="I52:R52">
    <cfRule type="expression" dxfId="4969" priority="4972">
      <formula>$I$52="Module 1"</formula>
    </cfRule>
  </conditionalFormatting>
  <conditionalFormatting sqref="I52:R52">
    <cfRule type="expression" dxfId="4968" priority="4971">
      <formula>$I$52="Module 2"</formula>
    </cfRule>
  </conditionalFormatting>
  <conditionalFormatting sqref="I52:R52">
    <cfRule type="expression" dxfId="4967" priority="4970">
      <formula>$I$52="Module 3"</formula>
    </cfRule>
    <cfRule type="expression" dxfId="4966" priority="4968">
      <formula>$I$52="Type 1"</formula>
    </cfRule>
    <cfRule type="expression" dxfId="4965" priority="4966">
      <formula>$I$52="Type 3"</formula>
    </cfRule>
  </conditionalFormatting>
  <conditionalFormatting sqref="L52">
    <cfRule type="expression" dxfId="4964" priority="4965">
      <formula>$L$52="1"</formula>
    </cfRule>
  </conditionalFormatting>
  <conditionalFormatting sqref="L52">
    <cfRule type="expression" dxfId="4963" priority="4964">
      <formula>$L$52="2"</formula>
    </cfRule>
  </conditionalFormatting>
  <conditionalFormatting sqref="L52">
    <cfRule type="expression" dxfId="4962" priority="4963">
      <formula>$L$52="3"</formula>
    </cfRule>
  </conditionalFormatting>
  <conditionalFormatting sqref="L52">
    <cfRule type="expression" dxfId="4961" priority="4962">
      <formula>$L$52="4"</formula>
    </cfRule>
  </conditionalFormatting>
  <conditionalFormatting sqref="L52">
    <cfRule type="expression" dxfId="4960" priority="4961">
      <formula>$L$52="5"</formula>
    </cfRule>
  </conditionalFormatting>
  <conditionalFormatting sqref="I53:R53">
    <cfRule type="expression" dxfId="4959" priority="4960">
      <formula>$P$53="Not started"</formula>
    </cfRule>
    <cfRule type="expression" dxfId="4958" priority="4949">
      <formula>$I$53="or"</formula>
    </cfRule>
    <cfRule type="expression" dxfId="4957" priority="4947">
      <formula>$I$53="Type 2"</formula>
    </cfRule>
  </conditionalFormatting>
  <conditionalFormatting sqref="I53:R53">
    <cfRule type="expression" dxfId="4956" priority="4959">
      <formula>$P$53="In progress"</formula>
    </cfRule>
  </conditionalFormatting>
  <conditionalFormatting sqref="I53:R53">
    <cfRule type="expression" dxfId="4955" priority="4958">
      <formula>$P$53="Closed"</formula>
    </cfRule>
  </conditionalFormatting>
  <conditionalFormatting sqref="I53:R53">
    <cfRule type="expression" dxfId="4954" priority="4957">
      <formula>$P$53="Canceled"</formula>
    </cfRule>
  </conditionalFormatting>
  <conditionalFormatting sqref="I53:R53">
    <cfRule type="expression" dxfId="4953" priority="4956">
      <formula>$P$53="Suspended"</formula>
    </cfRule>
  </conditionalFormatting>
  <conditionalFormatting sqref="I53:R53">
    <cfRule type="expression" dxfId="4952" priority="4955">
      <formula>$P$53="Applied"</formula>
    </cfRule>
  </conditionalFormatting>
  <conditionalFormatting sqref="I53:R53">
    <cfRule type="expression" dxfId="4951" priority="4954">
      <formula>$P$53="N/A"</formula>
    </cfRule>
  </conditionalFormatting>
  <conditionalFormatting sqref="I53:R53">
    <cfRule type="expression" dxfId="4950" priority="4953">
      <formula>$P$53=""</formula>
    </cfRule>
  </conditionalFormatting>
  <conditionalFormatting sqref="I53:R53">
    <cfRule type="expression" dxfId="4949" priority="4952">
      <formula>$I$53="Module 1"</formula>
    </cfRule>
  </conditionalFormatting>
  <conditionalFormatting sqref="I53:R53">
    <cfRule type="expression" dxfId="4948" priority="4951">
      <formula>$I$53="Module 2"</formula>
    </cfRule>
  </conditionalFormatting>
  <conditionalFormatting sqref="I53:R53">
    <cfRule type="expression" dxfId="4947" priority="4950">
      <formula>$I$53="Module 3"</formula>
    </cfRule>
    <cfRule type="expression" dxfId="4946" priority="4948">
      <formula>$I$53="Type 1"</formula>
    </cfRule>
    <cfRule type="expression" dxfId="4945" priority="4946">
      <formula>$I$53="Type 3"</formula>
    </cfRule>
  </conditionalFormatting>
  <conditionalFormatting sqref="L53">
    <cfRule type="expression" dxfId="4944" priority="4945">
      <formula>$L$53="1"</formula>
    </cfRule>
  </conditionalFormatting>
  <conditionalFormatting sqref="L53">
    <cfRule type="expression" dxfId="4943" priority="4944">
      <formula>$L$53="2"</formula>
    </cfRule>
  </conditionalFormatting>
  <conditionalFormatting sqref="L53">
    <cfRule type="expression" dxfId="4942" priority="4943">
      <formula>$L$53="3"</formula>
    </cfRule>
  </conditionalFormatting>
  <conditionalFormatting sqref="L53">
    <cfRule type="expression" dxfId="4941" priority="4942">
      <formula>$L$53="4"</formula>
    </cfRule>
  </conditionalFormatting>
  <conditionalFormatting sqref="L53">
    <cfRule type="expression" dxfId="4940" priority="4941">
      <formula>$L$53="5"</formula>
    </cfRule>
  </conditionalFormatting>
  <conditionalFormatting sqref="I54:R54">
    <cfRule type="expression" dxfId="4939" priority="4940">
      <formula>$P$54="Not started"</formula>
    </cfRule>
    <cfRule type="expression" dxfId="4938" priority="4929">
      <formula>$I$54="or"</formula>
    </cfRule>
    <cfRule type="expression" dxfId="4937" priority="4927">
      <formula>$I$54="Type 2"</formula>
    </cfRule>
  </conditionalFormatting>
  <conditionalFormatting sqref="I54:R54">
    <cfRule type="expression" dxfId="4936" priority="4939">
      <formula>$P$54="In progress"</formula>
    </cfRule>
  </conditionalFormatting>
  <conditionalFormatting sqref="I54:R54">
    <cfRule type="expression" dxfId="4935" priority="4938">
      <formula>$P$54="Closed"</formula>
    </cfRule>
  </conditionalFormatting>
  <conditionalFormatting sqref="I54:R54">
    <cfRule type="expression" dxfId="4934" priority="4937">
      <formula>$P$54="Canceled"</formula>
    </cfRule>
  </conditionalFormatting>
  <conditionalFormatting sqref="I54:R54">
    <cfRule type="expression" dxfId="4933" priority="4936">
      <formula>$P$54="Suspended"</formula>
    </cfRule>
  </conditionalFormatting>
  <conditionalFormatting sqref="I54:R54">
    <cfRule type="expression" dxfId="4932" priority="4935">
      <formula>$P$54="Applied"</formula>
    </cfRule>
  </conditionalFormatting>
  <conditionalFormatting sqref="I54:R54">
    <cfRule type="expression" dxfId="4931" priority="4934">
      <formula>$P$54="N/A"</formula>
    </cfRule>
  </conditionalFormatting>
  <conditionalFormatting sqref="I54:R54">
    <cfRule type="expression" dxfId="4930" priority="4933">
      <formula>$P$54=""</formula>
    </cfRule>
  </conditionalFormatting>
  <conditionalFormatting sqref="I54:R54">
    <cfRule type="expression" dxfId="4929" priority="4932">
      <formula>$I$54="Module 1"</formula>
    </cfRule>
  </conditionalFormatting>
  <conditionalFormatting sqref="I54:R54">
    <cfRule type="expression" dxfId="4928" priority="4931">
      <formula>$I$54="Module 2"</formula>
    </cfRule>
  </conditionalFormatting>
  <conditionalFormatting sqref="I54:R54">
    <cfRule type="expression" dxfId="4927" priority="4930">
      <formula>$I$54="Module 3"</formula>
    </cfRule>
    <cfRule type="expression" dxfId="4926" priority="4928">
      <formula>$I$54="Type 1"</formula>
    </cfRule>
    <cfRule type="expression" dxfId="4925" priority="4926">
      <formula>$I$54="Type 3"</formula>
    </cfRule>
  </conditionalFormatting>
  <conditionalFormatting sqref="L54">
    <cfRule type="expression" dxfId="4924" priority="4925">
      <formula>$L$54="1"</formula>
    </cfRule>
  </conditionalFormatting>
  <conditionalFormatting sqref="L54">
    <cfRule type="expression" dxfId="4923" priority="4924">
      <formula>$L$54="2"</formula>
    </cfRule>
  </conditionalFormatting>
  <conditionalFormatting sqref="L54">
    <cfRule type="expression" dxfId="4922" priority="4923">
      <formula>$L$54="3"</formula>
    </cfRule>
  </conditionalFormatting>
  <conditionalFormatting sqref="L54">
    <cfRule type="expression" dxfId="4921" priority="4922">
      <formula>$L$54="4"</formula>
    </cfRule>
  </conditionalFormatting>
  <conditionalFormatting sqref="L54">
    <cfRule type="expression" dxfId="4920" priority="4921">
      <formula>$L$54="5"</formula>
    </cfRule>
  </conditionalFormatting>
  <conditionalFormatting sqref="I55:R55">
    <cfRule type="expression" dxfId="4919" priority="4920">
      <formula>$P$55="Not started"</formula>
    </cfRule>
    <cfRule type="expression" dxfId="4918" priority="4909">
      <formula>$I$55="or"</formula>
    </cfRule>
    <cfRule type="expression" dxfId="4917" priority="4907">
      <formula>$I$55="Type 2"</formula>
    </cfRule>
  </conditionalFormatting>
  <conditionalFormatting sqref="I55:R55">
    <cfRule type="expression" dxfId="4916" priority="4919">
      <formula>$P$55="In progress"</formula>
    </cfRule>
  </conditionalFormatting>
  <conditionalFormatting sqref="I55:R55">
    <cfRule type="expression" dxfId="4915" priority="4918">
      <formula>$P$55="Closed"</formula>
    </cfRule>
  </conditionalFormatting>
  <conditionalFormatting sqref="I55:R55">
    <cfRule type="expression" dxfId="4914" priority="4917">
      <formula>$P$55="Canceled"</formula>
    </cfRule>
  </conditionalFormatting>
  <conditionalFormatting sqref="I55:R55">
    <cfRule type="expression" dxfId="4913" priority="4916">
      <formula>$P$55="Suspended"</formula>
    </cfRule>
  </conditionalFormatting>
  <conditionalFormatting sqref="I55:R55">
    <cfRule type="expression" dxfId="4912" priority="4915">
      <formula>$P$55="Applied"</formula>
    </cfRule>
  </conditionalFormatting>
  <conditionalFormatting sqref="I55:R55">
    <cfRule type="expression" dxfId="4911" priority="4914">
      <formula>$P$55="N/A"</formula>
    </cfRule>
  </conditionalFormatting>
  <conditionalFormatting sqref="I55:R55">
    <cfRule type="expression" dxfId="4910" priority="4913">
      <formula>$P$55=""</formula>
    </cfRule>
  </conditionalFormatting>
  <conditionalFormatting sqref="I55:R55">
    <cfRule type="expression" dxfId="4909" priority="4912">
      <formula>$I$55="Module 1"</formula>
    </cfRule>
  </conditionalFormatting>
  <conditionalFormatting sqref="I55:R55">
    <cfRule type="expression" dxfId="4908" priority="4911">
      <formula>$I$55="Module 2"</formula>
    </cfRule>
  </conditionalFormatting>
  <conditionalFormatting sqref="I55:R55">
    <cfRule type="expression" dxfId="4907" priority="4910">
      <formula>$I$55="Module 3"</formula>
    </cfRule>
    <cfRule type="expression" dxfId="4906" priority="4908">
      <formula>$I$55="Type 1"</formula>
    </cfRule>
    <cfRule type="expression" dxfId="4905" priority="4906">
      <formula>$I$55="Type 3"</formula>
    </cfRule>
  </conditionalFormatting>
  <conditionalFormatting sqref="L55">
    <cfRule type="expression" dxfId="4904" priority="4905">
      <formula>$L$55="1"</formula>
    </cfRule>
  </conditionalFormatting>
  <conditionalFormatting sqref="L55">
    <cfRule type="expression" dxfId="4903" priority="4904">
      <formula>$L$55="2"</formula>
    </cfRule>
  </conditionalFormatting>
  <conditionalFormatting sqref="L55">
    <cfRule type="expression" dxfId="4902" priority="4903">
      <formula>$L$55="3"</formula>
    </cfRule>
  </conditionalFormatting>
  <conditionalFormatting sqref="L55">
    <cfRule type="expression" dxfId="4901" priority="4902">
      <formula>$L$55="4"</formula>
    </cfRule>
  </conditionalFormatting>
  <conditionalFormatting sqref="L55">
    <cfRule type="expression" dxfId="4900" priority="4901">
      <formula>$L$55="5"</formula>
    </cfRule>
  </conditionalFormatting>
  <conditionalFormatting sqref="I56:R56">
    <cfRule type="expression" dxfId="4899" priority="4900">
      <formula>$P$56="Not started"</formula>
    </cfRule>
    <cfRule type="expression" dxfId="4898" priority="4889">
      <formula>$I$56="or"</formula>
    </cfRule>
    <cfRule type="expression" dxfId="4897" priority="4887">
      <formula>$I$56="Type 2"</formula>
    </cfRule>
  </conditionalFormatting>
  <conditionalFormatting sqref="I56:R56">
    <cfRule type="expression" dxfId="4896" priority="4899">
      <formula>$P$56="In progress"</formula>
    </cfRule>
  </conditionalFormatting>
  <conditionalFormatting sqref="I56:R56">
    <cfRule type="expression" dxfId="4895" priority="4898">
      <formula>$P$56="Closed"</formula>
    </cfRule>
  </conditionalFormatting>
  <conditionalFormatting sqref="I56:R56">
    <cfRule type="expression" dxfId="4894" priority="4897">
      <formula>$P$56="Canceled"</formula>
    </cfRule>
  </conditionalFormatting>
  <conditionalFormatting sqref="I56:R56">
    <cfRule type="expression" dxfId="4893" priority="4896">
      <formula>$P$56="Suspended"</formula>
    </cfRule>
  </conditionalFormatting>
  <conditionalFormatting sqref="I56:R56">
    <cfRule type="expression" dxfId="4892" priority="4895">
      <formula>$P$56="Applied"</formula>
    </cfRule>
  </conditionalFormatting>
  <conditionalFormatting sqref="I56:R56">
    <cfRule type="expression" dxfId="4891" priority="4894">
      <formula>$P$56="N/A"</formula>
    </cfRule>
  </conditionalFormatting>
  <conditionalFormatting sqref="I56:R56">
    <cfRule type="expression" dxfId="4890" priority="4893">
      <formula>$P$56=""</formula>
    </cfRule>
  </conditionalFormatting>
  <conditionalFormatting sqref="I56:R56">
    <cfRule type="expression" dxfId="4889" priority="4892">
      <formula>$I$56="Module 1"</formula>
    </cfRule>
  </conditionalFormatting>
  <conditionalFormatting sqref="I56:R56">
    <cfRule type="expression" dxfId="4888" priority="4891">
      <formula>$I$56="Module 2"</formula>
    </cfRule>
  </conditionalFormatting>
  <conditionalFormatting sqref="I56:R56">
    <cfRule type="expression" dxfId="4887" priority="4890">
      <formula>$I$56="Module 3"</formula>
    </cfRule>
    <cfRule type="expression" dxfId="4886" priority="4888">
      <formula>$I$56="Type 1"</formula>
    </cfRule>
    <cfRule type="expression" dxfId="4885" priority="4886">
      <formula>$I$56="Type 3"</formula>
    </cfRule>
  </conditionalFormatting>
  <conditionalFormatting sqref="L56">
    <cfRule type="expression" dxfId="4884" priority="4885">
      <formula>$L$56="1"</formula>
    </cfRule>
  </conditionalFormatting>
  <conditionalFormatting sqref="L56">
    <cfRule type="expression" dxfId="4883" priority="4884">
      <formula>$L$56="2"</formula>
    </cfRule>
  </conditionalFormatting>
  <conditionalFormatting sqref="L56">
    <cfRule type="expression" dxfId="4882" priority="4883">
      <formula>$L$56="3"</formula>
    </cfRule>
  </conditionalFormatting>
  <conditionalFormatting sqref="L56">
    <cfRule type="expression" dxfId="4881" priority="4882">
      <formula>$L$56="4"</formula>
    </cfRule>
  </conditionalFormatting>
  <conditionalFormatting sqref="L56">
    <cfRule type="expression" dxfId="4880" priority="4881">
      <formula>$L$56="5"</formula>
    </cfRule>
  </conditionalFormatting>
  <conditionalFormatting sqref="I57:R57">
    <cfRule type="expression" dxfId="4879" priority="4880">
      <formula>$P$57="Not started"</formula>
    </cfRule>
    <cfRule type="expression" dxfId="4878" priority="4869">
      <formula>$I$57="or"</formula>
    </cfRule>
    <cfRule type="expression" dxfId="4877" priority="4867">
      <formula>$I$57="Type 2"</formula>
    </cfRule>
  </conditionalFormatting>
  <conditionalFormatting sqref="I57:R57">
    <cfRule type="expression" dxfId="4876" priority="4879">
      <formula>$P$57="In progress"</formula>
    </cfRule>
  </conditionalFormatting>
  <conditionalFormatting sqref="I57:R57">
    <cfRule type="expression" dxfId="4875" priority="4878">
      <formula>$P$57="Closed"</formula>
    </cfRule>
  </conditionalFormatting>
  <conditionalFormatting sqref="I57:R57">
    <cfRule type="expression" dxfId="4874" priority="4877">
      <formula>$P$57="Canceled"</formula>
    </cfRule>
  </conditionalFormatting>
  <conditionalFormatting sqref="I57:R57">
    <cfRule type="expression" dxfId="4873" priority="4876">
      <formula>$P$57="Suspended"</formula>
    </cfRule>
  </conditionalFormatting>
  <conditionalFormatting sqref="I57:R57">
    <cfRule type="expression" dxfId="4872" priority="4875">
      <formula>$P$57="Applied"</formula>
    </cfRule>
  </conditionalFormatting>
  <conditionalFormatting sqref="I57:R57">
    <cfRule type="expression" dxfId="4871" priority="4874">
      <formula>$P$57="N/A"</formula>
    </cfRule>
  </conditionalFormatting>
  <conditionalFormatting sqref="I57:R57">
    <cfRule type="expression" dxfId="4870" priority="4873">
      <formula>$P$57=""</formula>
    </cfRule>
  </conditionalFormatting>
  <conditionalFormatting sqref="I57:R57">
    <cfRule type="expression" dxfId="4869" priority="4872">
      <formula>$I$57="Module 1"</formula>
    </cfRule>
  </conditionalFormatting>
  <conditionalFormatting sqref="I57:R57">
    <cfRule type="expression" dxfId="4868" priority="4871">
      <formula>$I$57="Module 2"</formula>
    </cfRule>
  </conditionalFormatting>
  <conditionalFormatting sqref="I57:R57">
    <cfRule type="expression" dxfId="4867" priority="4870">
      <formula>$I$57="Module 3"</formula>
    </cfRule>
    <cfRule type="expression" dxfId="4866" priority="4868">
      <formula>$I$57="Type 1"</formula>
    </cfRule>
    <cfRule type="expression" dxfId="4865" priority="4866">
      <formula>$I$57="Type 3"</formula>
    </cfRule>
  </conditionalFormatting>
  <conditionalFormatting sqref="L57">
    <cfRule type="expression" dxfId="4864" priority="4865">
      <formula>$L$57="1"</formula>
    </cfRule>
  </conditionalFormatting>
  <conditionalFormatting sqref="L57">
    <cfRule type="expression" dxfId="4863" priority="4864">
      <formula>$L$57="2"</formula>
    </cfRule>
  </conditionalFormatting>
  <conditionalFormatting sqref="L57">
    <cfRule type="expression" dxfId="4862" priority="4863">
      <formula>$L$57="3"</formula>
    </cfRule>
  </conditionalFormatting>
  <conditionalFormatting sqref="L57">
    <cfRule type="expression" dxfId="4861" priority="4862">
      <formula>$L$57="4"</formula>
    </cfRule>
  </conditionalFormatting>
  <conditionalFormatting sqref="L57">
    <cfRule type="expression" dxfId="4860" priority="4861">
      <formula>$L$57="5"</formula>
    </cfRule>
  </conditionalFormatting>
  <conditionalFormatting sqref="I58:R58">
    <cfRule type="expression" dxfId="4859" priority="4860">
      <formula>$P$58="Not started"</formula>
    </cfRule>
  </conditionalFormatting>
  <conditionalFormatting sqref="I58:R58">
    <cfRule type="expression" dxfId="4858" priority="4859">
      <formula>$P$58="In progress"</formula>
    </cfRule>
  </conditionalFormatting>
  <conditionalFormatting sqref="I58:R58">
    <cfRule type="expression" dxfId="4857" priority="4858">
      <formula>$P$58="Closed"</formula>
    </cfRule>
  </conditionalFormatting>
  <conditionalFormatting sqref="I58:R58">
    <cfRule type="expression" dxfId="4856" priority="4857">
      <formula>$P$58="Canceled"</formula>
    </cfRule>
  </conditionalFormatting>
  <conditionalFormatting sqref="I58:R58">
    <cfRule type="expression" dxfId="4855" priority="4856">
      <formula>$P$58="Suspended"</formula>
    </cfRule>
  </conditionalFormatting>
  <conditionalFormatting sqref="I58:R58">
    <cfRule type="expression" dxfId="4854" priority="4855">
      <formula>$P$58="Applied"</formula>
    </cfRule>
  </conditionalFormatting>
  <conditionalFormatting sqref="I58:R58">
    <cfRule type="expression" dxfId="4853" priority="4854">
      <formula>$P$58="N/A"</formula>
    </cfRule>
  </conditionalFormatting>
  <conditionalFormatting sqref="I58:R58">
    <cfRule type="expression" dxfId="4852" priority="4853">
      <formula>$P$58=""</formula>
    </cfRule>
  </conditionalFormatting>
  <conditionalFormatting sqref="I58:R58">
    <cfRule type="expression" dxfId="4851" priority="4852">
      <formula>$I$58="Module 1"</formula>
    </cfRule>
  </conditionalFormatting>
  <conditionalFormatting sqref="I58:R58">
    <cfRule type="expression" dxfId="4850" priority="4851">
      <formula>$I$58="Module 2"</formula>
    </cfRule>
  </conditionalFormatting>
  <conditionalFormatting sqref="I58:R58">
    <cfRule type="expression" dxfId="4849" priority="4850">
      <formula>$I$58="Module 3"</formula>
    </cfRule>
  </conditionalFormatting>
  <conditionalFormatting sqref="I58:R58">
    <cfRule type="expression" dxfId="4848" priority="4849">
      <formula>$I$58="or"</formula>
    </cfRule>
  </conditionalFormatting>
  <conditionalFormatting sqref="I58:R58">
    <cfRule type="expression" dxfId="4847" priority="4848">
      <formula>$I$58="Type 1"</formula>
    </cfRule>
  </conditionalFormatting>
  <conditionalFormatting sqref="I58:R58">
    <cfRule type="expression" dxfId="4846" priority="4847">
      <formula>$I$58="Type 2"</formula>
    </cfRule>
  </conditionalFormatting>
  <conditionalFormatting sqref="I58:R58">
    <cfRule type="expression" dxfId="4845" priority="4846">
      <formula>$I$58="Type 3"</formula>
    </cfRule>
  </conditionalFormatting>
  <conditionalFormatting sqref="L58">
    <cfRule type="expression" dxfId="4844" priority="4845">
      <formula>$L$58="1"</formula>
    </cfRule>
  </conditionalFormatting>
  <conditionalFormatting sqref="L58">
    <cfRule type="expression" dxfId="4843" priority="4844">
      <formula>$L$58="2"</formula>
    </cfRule>
  </conditionalFormatting>
  <conditionalFormatting sqref="L58">
    <cfRule type="expression" dxfId="4842" priority="4843">
      <formula>$L$58="3"</formula>
    </cfRule>
  </conditionalFormatting>
  <conditionalFormatting sqref="L58">
    <cfRule type="expression" dxfId="4841" priority="4842">
      <formula>$L$58="4"</formula>
    </cfRule>
  </conditionalFormatting>
  <conditionalFormatting sqref="L58">
    <cfRule type="expression" dxfId="4840" priority="4841">
      <formula>$L$58="5"</formula>
    </cfRule>
  </conditionalFormatting>
  <conditionalFormatting sqref="I59:R59">
    <cfRule type="expression" dxfId="4839" priority="4840">
      <formula>$P$59="Not started"</formula>
    </cfRule>
    <cfRule type="expression" dxfId="4838" priority="4829">
      <formula>$I$59="or"</formula>
    </cfRule>
    <cfRule type="expression" dxfId="4837" priority="4827">
      <formula>$I$59="Type 2"</formula>
    </cfRule>
  </conditionalFormatting>
  <conditionalFormatting sqref="I59:R59">
    <cfRule type="expression" dxfId="4836" priority="4839">
      <formula>$P$59="In progress"</formula>
    </cfRule>
  </conditionalFormatting>
  <conditionalFormatting sqref="I59:R59">
    <cfRule type="expression" dxfId="4835" priority="4838">
      <formula>$P$59="Closed"</formula>
    </cfRule>
  </conditionalFormatting>
  <conditionalFormatting sqref="I59:R59">
    <cfRule type="expression" dxfId="4834" priority="4837">
      <formula>$P$59="Canceled"</formula>
    </cfRule>
  </conditionalFormatting>
  <conditionalFormatting sqref="I59:R59">
    <cfRule type="expression" dxfId="4833" priority="4836">
      <formula>$P$59="Suspended"</formula>
    </cfRule>
  </conditionalFormatting>
  <conditionalFormatting sqref="I59:R59">
    <cfRule type="expression" dxfId="4832" priority="4835">
      <formula>$P$59="Applied"</formula>
    </cfRule>
  </conditionalFormatting>
  <conditionalFormatting sqref="I59:R59">
    <cfRule type="expression" dxfId="4831" priority="4834">
      <formula>$P$59="N/A"</formula>
    </cfRule>
  </conditionalFormatting>
  <conditionalFormatting sqref="I59:R59">
    <cfRule type="expression" dxfId="4830" priority="4833">
      <formula>$P$59=""</formula>
    </cfRule>
  </conditionalFormatting>
  <conditionalFormatting sqref="I59:R59">
    <cfRule type="expression" dxfId="4829" priority="4832">
      <formula>$I$59="Module 1"</formula>
    </cfRule>
  </conditionalFormatting>
  <conditionalFormatting sqref="I59:R59">
    <cfRule type="expression" dxfId="4828" priority="4831">
      <formula>$I$59="Module 2"</formula>
    </cfRule>
  </conditionalFormatting>
  <conditionalFormatting sqref="I59:R59">
    <cfRule type="expression" dxfId="4827" priority="4830">
      <formula>$I$59="Module 3"</formula>
    </cfRule>
    <cfRule type="expression" dxfId="4826" priority="4828">
      <formula>$I$59="Type 1"</formula>
    </cfRule>
    <cfRule type="expression" dxfId="4825" priority="4826">
      <formula>$I$59="Type 3"</formula>
    </cfRule>
  </conditionalFormatting>
  <conditionalFormatting sqref="L59">
    <cfRule type="expression" dxfId="4824" priority="4825">
      <formula>$L$59="1"</formula>
    </cfRule>
  </conditionalFormatting>
  <conditionalFormatting sqref="L59">
    <cfRule type="expression" dxfId="4823" priority="4824">
      <formula>$L$59="2"</formula>
    </cfRule>
  </conditionalFormatting>
  <conditionalFormatting sqref="L59">
    <cfRule type="expression" dxfId="4822" priority="4823">
      <formula>$L$59="3"</formula>
    </cfRule>
  </conditionalFormatting>
  <conditionalFormatting sqref="L59">
    <cfRule type="expression" dxfId="4821" priority="4822">
      <formula>$L$59="4"</formula>
    </cfRule>
  </conditionalFormatting>
  <conditionalFormatting sqref="L59">
    <cfRule type="expression" dxfId="4820" priority="4821">
      <formula>$L$59="5"</formula>
    </cfRule>
  </conditionalFormatting>
  <conditionalFormatting sqref="I60:R60">
    <cfRule type="expression" dxfId="4819" priority="4820">
      <formula>$P$60="Not started"</formula>
    </cfRule>
    <cfRule type="expression" dxfId="4818" priority="4809">
      <formula>$I$60="or"</formula>
    </cfRule>
    <cfRule type="expression" dxfId="4817" priority="4807">
      <formula>$I$60="Type 2"</formula>
    </cfRule>
  </conditionalFormatting>
  <conditionalFormatting sqref="I60:R60">
    <cfRule type="expression" dxfId="4816" priority="4819">
      <formula>$P$60="In progress"</formula>
    </cfRule>
  </conditionalFormatting>
  <conditionalFormatting sqref="I60:R60">
    <cfRule type="expression" dxfId="4815" priority="4818">
      <formula>$P$60="Closed"</formula>
    </cfRule>
  </conditionalFormatting>
  <conditionalFormatting sqref="I60:R60">
    <cfRule type="expression" dxfId="4814" priority="4817">
      <formula>$P$60="Canceled"</formula>
    </cfRule>
  </conditionalFormatting>
  <conditionalFormatting sqref="I60:R60">
    <cfRule type="expression" dxfId="4813" priority="4816">
      <formula>$P$60="Suspended"</formula>
    </cfRule>
  </conditionalFormatting>
  <conditionalFormatting sqref="I60:R60">
    <cfRule type="expression" dxfId="4812" priority="4815">
      <formula>$P$60="Applied"</formula>
    </cfRule>
  </conditionalFormatting>
  <conditionalFormatting sqref="I60:R60">
    <cfRule type="expression" dxfId="4811" priority="4814">
      <formula>$P$60="N/A"</formula>
    </cfRule>
  </conditionalFormatting>
  <conditionalFormatting sqref="I60:R60">
    <cfRule type="expression" dxfId="4810" priority="4813">
      <formula>$P$60=""</formula>
    </cfRule>
  </conditionalFormatting>
  <conditionalFormatting sqref="I60:R60">
    <cfRule type="expression" dxfId="4809" priority="4812">
      <formula>$I$60="Module 1"</formula>
    </cfRule>
  </conditionalFormatting>
  <conditionalFormatting sqref="I60:R60">
    <cfRule type="expression" dxfId="4808" priority="4811">
      <formula>$I$60="Module 2"</formula>
    </cfRule>
  </conditionalFormatting>
  <conditionalFormatting sqref="I60:R60">
    <cfRule type="expression" dxfId="4807" priority="4810">
      <formula>$I$60="Module 3"</formula>
    </cfRule>
    <cfRule type="expression" dxfId="4806" priority="4808">
      <formula>$I$60="Type 1"</formula>
    </cfRule>
    <cfRule type="expression" dxfId="4805" priority="4806">
      <formula>$I$60="Type 3"</formula>
    </cfRule>
  </conditionalFormatting>
  <conditionalFormatting sqref="L60">
    <cfRule type="expression" dxfId="4804" priority="4805">
      <formula>$L$60="1"</formula>
    </cfRule>
  </conditionalFormatting>
  <conditionalFormatting sqref="L60">
    <cfRule type="expression" dxfId="4803" priority="4804">
      <formula>$L$60="2"</formula>
    </cfRule>
  </conditionalFormatting>
  <conditionalFormatting sqref="L60">
    <cfRule type="expression" dxfId="4802" priority="4803">
      <formula>$L$60="3"</formula>
    </cfRule>
  </conditionalFormatting>
  <conditionalFormatting sqref="L60">
    <cfRule type="expression" dxfId="4801" priority="4802">
      <formula>$L$60="4"</formula>
    </cfRule>
  </conditionalFormatting>
  <conditionalFormatting sqref="L60">
    <cfRule type="expression" dxfId="4800" priority="4801">
      <formula>$L$60="5"</formula>
    </cfRule>
  </conditionalFormatting>
  <conditionalFormatting sqref="I61:R61">
    <cfRule type="expression" dxfId="4799" priority="4800">
      <formula>$P$61="Not started"</formula>
    </cfRule>
    <cfRule type="expression" dxfId="4798" priority="4789">
      <formula>$I$61="or"</formula>
    </cfRule>
    <cfRule type="expression" dxfId="4797" priority="4787">
      <formula>$I$61="Type 2"</formula>
    </cfRule>
  </conditionalFormatting>
  <conditionalFormatting sqref="I61:R61">
    <cfRule type="expression" dxfId="4796" priority="4799">
      <formula>$P$61="In progress"</formula>
    </cfRule>
  </conditionalFormatting>
  <conditionalFormatting sqref="I61:R61">
    <cfRule type="expression" dxfId="4795" priority="4798">
      <formula>$P$61="Closed"</formula>
    </cfRule>
  </conditionalFormatting>
  <conditionalFormatting sqref="I61:R61">
    <cfRule type="expression" dxfId="4794" priority="4797">
      <formula>$P$61="Canceled"</formula>
    </cfRule>
  </conditionalFormatting>
  <conditionalFormatting sqref="I61:R61">
    <cfRule type="expression" dxfId="4793" priority="4796">
      <formula>$P$61="Suspended"</formula>
    </cfRule>
  </conditionalFormatting>
  <conditionalFormatting sqref="I61:R61">
    <cfRule type="expression" dxfId="4792" priority="4795">
      <formula>$P$61="Applied"</formula>
    </cfRule>
  </conditionalFormatting>
  <conditionalFormatting sqref="I61:R61">
    <cfRule type="expression" dxfId="4791" priority="4794">
      <formula>$P$61="N/A"</formula>
    </cfRule>
  </conditionalFormatting>
  <conditionalFormatting sqref="I61:R61">
    <cfRule type="expression" dxfId="4790" priority="4793">
      <formula>$P$61=""</formula>
    </cfRule>
  </conditionalFormatting>
  <conditionalFormatting sqref="I61:R61">
    <cfRule type="expression" dxfId="4789" priority="4792">
      <formula>$I$61="Module 1"</formula>
    </cfRule>
  </conditionalFormatting>
  <conditionalFormatting sqref="I61:R61">
    <cfRule type="expression" dxfId="4788" priority="4791">
      <formula>$I$61="Module 2"</formula>
    </cfRule>
  </conditionalFormatting>
  <conditionalFormatting sqref="I61:R61">
    <cfRule type="expression" dxfId="4787" priority="4790">
      <formula>$I$61="Module 3"</formula>
    </cfRule>
    <cfRule type="expression" dxfId="4786" priority="4788">
      <formula>$I$61="Type 1"</formula>
    </cfRule>
    <cfRule type="expression" dxfId="4785" priority="4786">
      <formula>$I$61="Type 3"</formula>
    </cfRule>
  </conditionalFormatting>
  <conditionalFormatting sqref="L61">
    <cfRule type="expression" dxfId="4784" priority="4785">
      <formula>$L$61="1"</formula>
    </cfRule>
  </conditionalFormatting>
  <conditionalFormatting sqref="L61">
    <cfRule type="expression" dxfId="4783" priority="4784">
      <formula>$L$61="2"</formula>
    </cfRule>
  </conditionalFormatting>
  <conditionalFormatting sqref="L61">
    <cfRule type="expression" dxfId="4782" priority="4783">
      <formula>$L$61="3"</formula>
    </cfRule>
  </conditionalFormatting>
  <conditionalFormatting sqref="L61">
    <cfRule type="expression" dxfId="4781" priority="4782">
      <formula>$L$61="4"</formula>
    </cfRule>
  </conditionalFormatting>
  <conditionalFormatting sqref="L61">
    <cfRule type="expression" dxfId="4780" priority="4781">
      <formula>$L$61="5"</formula>
    </cfRule>
  </conditionalFormatting>
  <conditionalFormatting sqref="I62:R62">
    <cfRule type="expression" dxfId="4779" priority="4780">
      <formula>$P$62="Not started"</formula>
    </cfRule>
    <cfRule type="expression" dxfId="4778" priority="4769">
      <formula>$I$62="or"</formula>
    </cfRule>
    <cfRule type="expression" dxfId="4777" priority="4767">
      <formula>$I$62="Type 2"</formula>
    </cfRule>
  </conditionalFormatting>
  <conditionalFormatting sqref="I62:R62">
    <cfRule type="expression" dxfId="4776" priority="4779">
      <formula>$P$62="In progress"</formula>
    </cfRule>
  </conditionalFormatting>
  <conditionalFormatting sqref="I62:R62">
    <cfRule type="expression" dxfId="4775" priority="4778">
      <formula>$P$62="Closed"</formula>
    </cfRule>
  </conditionalFormatting>
  <conditionalFormatting sqref="I62:R62">
    <cfRule type="expression" dxfId="4774" priority="4777">
      <formula>$P$62="Canceled"</formula>
    </cfRule>
  </conditionalFormatting>
  <conditionalFormatting sqref="I62:R62">
    <cfRule type="expression" dxfId="4773" priority="4776">
      <formula>$P$62="Suspended"</formula>
    </cfRule>
  </conditionalFormatting>
  <conditionalFormatting sqref="I62:R62">
    <cfRule type="expression" dxfId="4772" priority="4775">
      <formula>$P$62="Applied"</formula>
    </cfRule>
  </conditionalFormatting>
  <conditionalFormatting sqref="I62:R62">
    <cfRule type="expression" dxfId="4771" priority="4774">
      <formula>$P$62="N/A"</formula>
    </cfRule>
  </conditionalFormatting>
  <conditionalFormatting sqref="I62:R62">
    <cfRule type="expression" dxfId="4770" priority="4773">
      <formula>$P$62=""</formula>
    </cfRule>
  </conditionalFormatting>
  <conditionalFormatting sqref="I62:R62">
    <cfRule type="expression" dxfId="4769" priority="4772">
      <formula>$I$62="Module 1"</formula>
    </cfRule>
  </conditionalFormatting>
  <conditionalFormatting sqref="I62:R62">
    <cfRule type="expression" dxfId="4768" priority="4771">
      <formula>$I$62="Module 2"</formula>
    </cfRule>
  </conditionalFormatting>
  <conditionalFormatting sqref="I62:R62">
    <cfRule type="expression" dxfId="4767" priority="4770">
      <formula>$I$62="Module 3"</formula>
    </cfRule>
    <cfRule type="expression" dxfId="4766" priority="4768">
      <formula>$I$62="Type 1"</formula>
    </cfRule>
    <cfRule type="expression" dxfId="4765" priority="4766">
      <formula>$I$62="Type 3"</formula>
    </cfRule>
  </conditionalFormatting>
  <conditionalFormatting sqref="L62">
    <cfRule type="expression" dxfId="4764" priority="4765">
      <formula>$L$62="1"</formula>
    </cfRule>
  </conditionalFormatting>
  <conditionalFormatting sqref="L62">
    <cfRule type="expression" dxfId="4763" priority="4764">
      <formula>$L$62="2"</formula>
    </cfRule>
  </conditionalFormatting>
  <conditionalFormatting sqref="L62">
    <cfRule type="expression" dxfId="4762" priority="4763">
      <formula>$L$62="3"</formula>
    </cfRule>
  </conditionalFormatting>
  <conditionalFormatting sqref="L62">
    <cfRule type="expression" dxfId="4761" priority="4762">
      <formula>$L$62="4"</formula>
    </cfRule>
  </conditionalFormatting>
  <conditionalFormatting sqref="L62">
    <cfRule type="expression" dxfId="4760" priority="4761">
      <formula>$L$62="5"</formula>
    </cfRule>
  </conditionalFormatting>
  <conditionalFormatting sqref="I63:R63">
    <cfRule type="expression" dxfId="4759" priority="4760">
      <formula>$P$63="Not started"</formula>
    </cfRule>
    <cfRule type="expression" dxfId="4758" priority="4749">
      <formula>$I$63="or"</formula>
    </cfRule>
    <cfRule type="expression" dxfId="4757" priority="4747">
      <formula>$I$63="Type 2"</formula>
    </cfRule>
  </conditionalFormatting>
  <conditionalFormatting sqref="I63:R63">
    <cfRule type="expression" dxfId="4756" priority="4759">
      <formula>$P$63="In progress"</formula>
    </cfRule>
  </conditionalFormatting>
  <conditionalFormatting sqref="I63:R63">
    <cfRule type="expression" dxfId="4755" priority="4758">
      <formula>$P$63="Closed"</formula>
    </cfRule>
  </conditionalFormatting>
  <conditionalFormatting sqref="I63:R63">
    <cfRule type="expression" dxfId="4754" priority="4757">
      <formula>$P$63="Canceled"</formula>
    </cfRule>
  </conditionalFormatting>
  <conditionalFormatting sqref="I63:R63">
    <cfRule type="expression" dxfId="4753" priority="4756">
      <formula>$P$63="Suspended"</formula>
    </cfRule>
  </conditionalFormatting>
  <conditionalFormatting sqref="I63:R63">
    <cfRule type="expression" dxfId="4752" priority="4755">
      <formula>$P$63="Applied"</formula>
    </cfRule>
  </conditionalFormatting>
  <conditionalFormatting sqref="I63:R63">
    <cfRule type="expression" dxfId="4751" priority="4754">
      <formula>$P$63="N/A"</formula>
    </cfRule>
  </conditionalFormatting>
  <conditionalFormatting sqref="I63:R63">
    <cfRule type="expression" dxfId="4750" priority="4753">
      <formula>$P$63=""</formula>
    </cfRule>
  </conditionalFormatting>
  <conditionalFormatting sqref="I63:R63">
    <cfRule type="expression" dxfId="4749" priority="4752">
      <formula>$I$63="Module 1"</formula>
    </cfRule>
  </conditionalFormatting>
  <conditionalFormatting sqref="I63:R63">
    <cfRule type="expression" dxfId="4748" priority="4751">
      <formula>$I$63="Module 2"</formula>
    </cfRule>
  </conditionalFormatting>
  <conditionalFormatting sqref="I63:R63">
    <cfRule type="expression" dxfId="4747" priority="4750">
      <formula>$I$63="Module 3"</formula>
    </cfRule>
    <cfRule type="expression" dxfId="4746" priority="4748">
      <formula>$I$63="Type 1"</formula>
    </cfRule>
    <cfRule type="expression" dxfId="4745" priority="4746">
      <formula>$I$63="Type 3"</formula>
    </cfRule>
  </conditionalFormatting>
  <conditionalFormatting sqref="L63">
    <cfRule type="expression" dxfId="4744" priority="4745">
      <formula>$L$63="1"</formula>
    </cfRule>
  </conditionalFormatting>
  <conditionalFormatting sqref="L63">
    <cfRule type="expression" dxfId="4743" priority="4744">
      <formula>$L$63="2"</formula>
    </cfRule>
  </conditionalFormatting>
  <conditionalFormatting sqref="L63">
    <cfRule type="expression" dxfId="4742" priority="4743">
      <formula>$L$63="3"</formula>
    </cfRule>
  </conditionalFormatting>
  <conditionalFormatting sqref="L63">
    <cfRule type="expression" dxfId="4741" priority="4742">
      <formula>$L$63="4"</formula>
    </cfRule>
  </conditionalFormatting>
  <conditionalFormatting sqref="L63">
    <cfRule type="expression" dxfId="4740" priority="4741">
      <formula>$L$63="5"</formula>
    </cfRule>
  </conditionalFormatting>
  <conditionalFormatting sqref="I64:R64">
    <cfRule type="expression" dxfId="4739" priority="4740">
      <formula>$P$64="Not started"</formula>
    </cfRule>
    <cfRule type="expression" dxfId="4738" priority="4729">
      <formula>$I$64="or"</formula>
    </cfRule>
    <cfRule type="expression" dxfId="4737" priority="4727">
      <formula>$I$64="Type 2"</formula>
    </cfRule>
  </conditionalFormatting>
  <conditionalFormatting sqref="I64:R64">
    <cfRule type="expression" dxfId="4736" priority="4739">
      <formula>$P$64="In progress"</formula>
    </cfRule>
  </conditionalFormatting>
  <conditionalFormatting sqref="I64:R64">
    <cfRule type="expression" dxfId="4735" priority="4738">
      <formula>$P$64="Closed"</formula>
    </cfRule>
  </conditionalFormatting>
  <conditionalFormatting sqref="I64:R64">
    <cfRule type="expression" dxfId="4734" priority="4737">
      <formula>$P$64="Canceled"</formula>
    </cfRule>
  </conditionalFormatting>
  <conditionalFormatting sqref="I64:R64">
    <cfRule type="expression" dxfId="4733" priority="4736">
      <formula>$P$64="Suspended"</formula>
    </cfRule>
  </conditionalFormatting>
  <conditionalFormatting sqref="I64:R64">
    <cfRule type="expression" dxfId="4732" priority="4735">
      <formula>$P$64="Applied"</formula>
    </cfRule>
  </conditionalFormatting>
  <conditionalFormatting sqref="I64:R64">
    <cfRule type="expression" dxfId="4731" priority="4734">
      <formula>$P$64="N/A"</formula>
    </cfRule>
  </conditionalFormatting>
  <conditionalFormatting sqref="I64:R64">
    <cfRule type="expression" dxfId="4730" priority="4733">
      <formula>$P$64=""</formula>
    </cfRule>
  </conditionalFormatting>
  <conditionalFormatting sqref="I64:R64">
    <cfRule type="expression" dxfId="4729" priority="4732">
      <formula>$I$64="Module 1"</formula>
    </cfRule>
  </conditionalFormatting>
  <conditionalFormatting sqref="I64:R64">
    <cfRule type="expression" dxfId="4728" priority="4731">
      <formula>$I$64="Module 2"</formula>
    </cfRule>
  </conditionalFormatting>
  <conditionalFormatting sqref="I64:R64">
    <cfRule type="expression" dxfId="4727" priority="4730">
      <formula>$I$64="Module 3"</formula>
    </cfRule>
    <cfRule type="expression" dxfId="4726" priority="4728">
      <formula>$I$64="Type 1"</formula>
    </cfRule>
    <cfRule type="expression" dxfId="4725" priority="4726">
      <formula>$I$64="Type 3"</formula>
    </cfRule>
  </conditionalFormatting>
  <conditionalFormatting sqref="L64">
    <cfRule type="expression" dxfId="4724" priority="4725">
      <formula>$L$64="1"</formula>
    </cfRule>
  </conditionalFormatting>
  <conditionalFormatting sqref="L64">
    <cfRule type="expression" dxfId="4723" priority="4724">
      <formula>$L$64="2"</formula>
    </cfRule>
  </conditionalFormatting>
  <conditionalFormatting sqref="L64">
    <cfRule type="expression" dxfId="4722" priority="4723">
      <formula>$L$64="3"</formula>
    </cfRule>
  </conditionalFormatting>
  <conditionalFormatting sqref="L64">
    <cfRule type="expression" dxfId="4721" priority="4722">
      <formula>$L$64="4"</formula>
    </cfRule>
  </conditionalFormatting>
  <conditionalFormatting sqref="L64">
    <cfRule type="expression" dxfId="4720" priority="4721">
      <formula>$L$64="5"</formula>
    </cfRule>
  </conditionalFormatting>
  <conditionalFormatting sqref="I65:R65">
    <cfRule type="expression" dxfId="4719" priority="4720">
      <formula>$P$65="Not started"</formula>
    </cfRule>
    <cfRule type="expression" dxfId="4718" priority="4709">
      <formula>$I$65="or"</formula>
    </cfRule>
    <cfRule type="expression" dxfId="4717" priority="4707">
      <formula>$I$65="Type 2"</formula>
    </cfRule>
  </conditionalFormatting>
  <conditionalFormatting sqref="I65:R65">
    <cfRule type="expression" dxfId="4716" priority="4719">
      <formula>$P$65="In progress"</formula>
    </cfRule>
  </conditionalFormatting>
  <conditionalFormatting sqref="I65:R65">
    <cfRule type="expression" dxfId="4715" priority="4718">
      <formula>$P$65="Closed"</formula>
    </cfRule>
  </conditionalFormatting>
  <conditionalFormatting sqref="I65:R65">
    <cfRule type="expression" dxfId="4714" priority="4717">
      <formula>$P$65="Canceled"</formula>
    </cfRule>
  </conditionalFormatting>
  <conditionalFormatting sqref="I65:R65">
    <cfRule type="expression" dxfId="4713" priority="4716">
      <formula>$P$65="Suspended"</formula>
    </cfRule>
  </conditionalFormatting>
  <conditionalFormatting sqref="I65:R65">
    <cfRule type="expression" dxfId="4712" priority="4715">
      <formula>$P$65="Applied"</formula>
    </cfRule>
  </conditionalFormatting>
  <conditionalFormatting sqref="I65:R65">
    <cfRule type="expression" dxfId="4711" priority="4714">
      <formula>$P$65="N/A"</formula>
    </cfRule>
  </conditionalFormatting>
  <conditionalFormatting sqref="I65:R65">
    <cfRule type="expression" dxfId="4710" priority="4713">
      <formula>$P$65=""</formula>
    </cfRule>
  </conditionalFormatting>
  <conditionalFormatting sqref="I65:R65">
    <cfRule type="expression" dxfId="4709" priority="4712">
      <formula>$I$65="Module 1"</formula>
    </cfRule>
  </conditionalFormatting>
  <conditionalFormatting sqref="I65:R65">
    <cfRule type="expression" dxfId="4708" priority="4711">
      <formula>$I$65="Module 2"</formula>
    </cfRule>
  </conditionalFormatting>
  <conditionalFormatting sqref="I65:R65">
    <cfRule type="expression" dxfId="4707" priority="4710">
      <formula>$I$65="Module 3"</formula>
    </cfRule>
    <cfRule type="expression" dxfId="4706" priority="4708">
      <formula>$I$65="Type 1"</formula>
    </cfRule>
    <cfRule type="expression" dxfId="4705" priority="4706">
      <formula>$I$65="Type 3"</formula>
    </cfRule>
  </conditionalFormatting>
  <conditionalFormatting sqref="L65">
    <cfRule type="expression" dxfId="4704" priority="4705">
      <formula>$L$65="1"</formula>
    </cfRule>
  </conditionalFormatting>
  <conditionalFormatting sqref="L65">
    <cfRule type="expression" dxfId="4703" priority="4704">
      <formula>$L$65="2"</formula>
    </cfRule>
  </conditionalFormatting>
  <conditionalFormatting sqref="L65">
    <cfRule type="expression" dxfId="4702" priority="4703">
      <formula>$L$65="3"</formula>
    </cfRule>
  </conditionalFormatting>
  <conditionalFormatting sqref="L65">
    <cfRule type="expression" dxfId="4701" priority="4702">
      <formula>$L$65="4"</formula>
    </cfRule>
  </conditionalFormatting>
  <conditionalFormatting sqref="L65">
    <cfRule type="expression" dxfId="4700" priority="4701">
      <formula>$L$65="5"</formula>
    </cfRule>
  </conditionalFormatting>
  <conditionalFormatting sqref="I66:R66">
    <cfRule type="expression" dxfId="4699" priority="4700">
      <formula>$P$66="Not started"</formula>
    </cfRule>
    <cfRule type="expression" dxfId="4698" priority="4689">
      <formula>$I$66="or"</formula>
    </cfRule>
    <cfRule type="expression" dxfId="4697" priority="4687">
      <formula>$I$66="Type 2"</formula>
    </cfRule>
  </conditionalFormatting>
  <conditionalFormatting sqref="I66:R66">
    <cfRule type="expression" dxfId="4696" priority="4699">
      <formula>$P$66="In progress"</formula>
    </cfRule>
  </conditionalFormatting>
  <conditionalFormatting sqref="I66:R66">
    <cfRule type="expression" dxfId="4695" priority="4698">
      <formula>$P$66="Closed"</formula>
    </cfRule>
  </conditionalFormatting>
  <conditionalFormatting sqref="I66:R66">
    <cfRule type="expression" dxfId="4694" priority="4697">
      <formula>$P$66="Canceled"</formula>
    </cfRule>
  </conditionalFormatting>
  <conditionalFormatting sqref="I66:R66">
    <cfRule type="expression" dxfId="4693" priority="4696">
      <formula>$P$66="Suspended"</formula>
    </cfRule>
  </conditionalFormatting>
  <conditionalFormatting sqref="I66:R66">
    <cfRule type="expression" dxfId="4692" priority="4695">
      <formula>$P$66="Applied"</formula>
    </cfRule>
  </conditionalFormatting>
  <conditionalFormatting sqref="I66:R66">
    <cfRule type="expression" dxfId="4691" priority="4694">
      <formula>$P$66="N/A"</formula>
    </cfRule>
  </conditionalFormatting>
  <conditionalFormatting sqref="I66:R66">
    <cfRule type="expression" dxfId="4690" priority="4693">
      <formula>$P$66=""</formula>
    </cfRule>
  </conditionalFormatting>
  <conditionalFormatting sqref="I66:R66">
    <cfRule type="expression" dxfId="4689" priority="4692">
      <formula>$I$66="Module 1"</formula>
    </cfRule>
  </conditionalFormatting>
  <conditionalFormatting sqref="I66:R66">
    <cfRule type="expression" dxfId="4688" priority="4691">
      <formula>$I$66="Module 2"</formula>
    </cfRule>
  </conditionalFormatting>
  <conditionalFormatting sqref="I66:R66">
    <cfRule type="expression" dxfId="4687" priority="4690">
      <formula>$I$66="Module 3"</formula>
    </cfRule>
    <cfRule type="expression" dxfId="4686" priority="4688">
      <formula>$I$66="Type 1"</formula>
    </cfRule>
    <cfRule type="expression" dxfId="4685" priority="4686">
      <formula>$I$66="Type 3"</formula>
    </cfRule>
  </conditionalFormatting>
  <conditionalFormatting sqref="L66">
    <cfRule type="expression" dxfId="4684" priority="4685">
      <formula>$L$66="1"</formula>
    </cfRule>
  </conditionalFormatting>
  <conditionalFormatting sqref="L66">
    <cfRule type="expression" dxfId="4683" priority="4684">
      <formula>$L$66="2"</formula>
    </cfRule>
  </conditionalFormatting>
  <conditionalFormatting sqref="L66">
    <cfRule type="expression" dxfId="4682" priority="4683">
      <formula>$L$66="3"</formula>
    </cfRule>
  </conditionalFormatting>
  <conditionalFormatting sqref="L66">
    <cfRule type="expression" dxfId="4681" priority="4682">
      <formula>$L$66="4"</formula>
    </cfRule>
  </conditionalFormatting>
  <conditionalFormatting sqref="L66">
    <cfRule type="expression" dxfId="4680" priority="4681">
      <formula>$L$66="5"</formula>
    </cfRule>
  </conditionalFormatting>
  <conditionalFormatting sqref="I67:R67">
    <cfRule type="expression" dxfId="4679" priority="4680">
      <formula>$P$67="Not started"</formula>
    </cfRule>
    <cfRule type="expression" dxfId="4678" priority="4669">
      <formula>$I$67="or"</formula>
    </cfRule>
    <cfRule type="expression" dxfId="4677" priority="4667">
      <formula>$I$67="Type 2"</formula>
    </cfRule>
  </conditionalFormatting>
  <conditionalFormatting sqref="I67:R67">
    <cfRule type="expression" dxfId="4676" priority="4679">
      <formula>$P$67="In progress"</formula>
    </cfRule>
  </conditionalFormatting>
  <conditionalFormatting sqref="I67:R67">
    <cfRule type="expression" dxfId="4675" priority="4678">
      <formula>$P$67="Closed"</formula>
    </cfRule>
  </conditionalFormatting>
  <conditionalFormatting sqref="I67:R67">
    <cfRule type="expression" dxfId="4674" priority="4677">
      <formula>$P$67="Canceled"</formula>
    </cfRule>
  </conditionalFormatting>
  <conditionalFormatting sqref="I67:R67">
    <cfRule type="expression" dxfId="4673" priority="4676">
      <formula>$P$67="Suspended"</formula>
    </cfRule>
  </conditionalFormatting>
  <conditionalFormatting sqref="I67:R67">
    <cfRule type="expression" dxfId="4672" priority="4675">
      <formula>$P$67="Applied"</formula>
    </cfRule>
  </conditionalFormatting>
  <conditionalFormatting sqref="I67:R67">
    <cfRule type="expression" dxfId="4671" priority="4674">
      <formula>$P$67="N/A"</formula>
    </cfRule>
  </conditionalFormatting>
  <conditionalFormatting sqref="I67:R67">
    <cfRule type="expression" dxfId="4670" priority="4673">
      <formula>$P$67=""</formula>
    </cfRule>
  </conditionalFormatting>
  <conditionalFormatting sqref="I67:R67">
    <cfRule type="expression" dxfId="4669" priority="4672">
      <formula>$I$67="Module 1"</formula>
    </cfRule>
  </conditionalFormatting>
  <conditionalFormatting sqref="I67:R67">
    <cfRule type="expression" dxfId="4668" priority="4671">
      <formula>$I$67="Module 2"</formula>
    </cfRule>
  </conditionalFormatting>
  <conditionalFormatting sqref="I67:R67">
    <cfRule type="expression" dxfId="4667" priority="4670">
      <formula>$I$67="Module 3"</formula>
    </cfRule>
    <cfRule type="expression" dxfId="4666" priority="4668">
      <formula>$I$67="Type 1"</formula>
    </cfRule>
    <cfRule type="expression" dxfId="4665" priority="4666">
      <formula>$I$67="Type 3"</formula>
    </cfRule>
  </conditionalFormatting>
  <conditionalFormatting sqref="L67">
    <cfRule type="expression" dxfId="4664" priority="4665">
      <formula>$L$67="1"</formula>
    </cfRule>
  </conditionalFormatting>
  <conditionalFormatting sqref="L67">
    <cfRule type="expression" dxfId="4663" priority="4664">
      <formula>$L$67="2"</formula>
    </cfRule>
  </conditionalFormatting>
  <conditionalFormatting sqref="L67">
    <cfRule type="expression" dxfId="4662" priority="4663">
      <formula>$L$67="3"</formula>
    </cfRule>
  </conditionalFormatting>
  <conditionalFormatting sqref="L67">
    <cfRule type="expression" dxfId="4661" priority="4662">
      <formula>$L$67="4"</formula>
    </cfRule>
  </conditionalFormatting>
  <conditionalFormatting sqref="L67">
    <cfRule type="expression" dxfId="4660" priority="4661">
      <formula>$L$67="5"</formula>
    </cfRule>
  </conditionalFormatting>
  <conditionalFormatting sqref="I68:R68">
    <cfRule type="expression" dxfId="4659" priority="4660">
      <formula>$P$68="Not started"</formula>
    </cfRule>
  </conditionalFormatting>
  <conditionalFormatting sqref="I68:R68">
    <cfRule type="expression" dxfId="4658" priority="4659">
      <formula>$P$68="In progress"</formula>
    </cfRule>
  </conditionalFormatting>
  <conditionalFormatting sqref="I68:R68">
    <cfRule type="expression" dxfId="4657" priority="4658">
      <formula>$P$68="Closed"</formula>
    </cfRule>
  </conditionalFormatting>
  <conditionalFormatting sqref="I68:R68">
    <cfRule type="expression" dxfId="4656" priority="4657">
      <formula>$P$68="Canceled"</formula>
    </cfRule>
  </conditionalFormatting>
  <conditionalFormatting sqref="I68:R68">
    <cfRule type="expression" dxfId="4655" priority="4656">
      <formula>$P$68="Suspended"</formula>
    </cfRule>
  </conditionalFormatting>
  <conditionalFormatting sqref="I68:R68">
    <cfRule type="expression" dxfId="4654" priority="4655">
      <formula>$P$68="Applied"</formula>
    </cfRule>
  </conditionalFormatting>
  <conditionalFormatting sqref="I68:R68">
    <cfRule type="expression" dxfId="4653" priority="4654">
      <formula>$P$68="N/A"</formula>
    </cfRule>
  </conditionalFormatting>
  <conditionalFormatting sqref="I68:R68">
    <cfRule type="expression" dxfId="4652" priority="4653">
      <formula>$P$68=""</formula>
    </cfRule>
  </conditionalFormatting>
  <conditionalFormatting sqref="I68:R68">
    <cfRule type="expression" dxfId="4651" priority="4652">
      <formula>$I$68="Module 1"</formula>
    </cfRule>
  </conditionalFormatting>
  <conditionalFormatting sqref="I68:R68">
    <cfRule type="expression" dxfId="4650" priority="4651">
      <formula>$I$68="Module 2"</formula>
    </cfRule>
  </conditionalFormatting>
  <conditionalFormatting sqref="I68:R68">
    <cfRule type="expression" dxfId="4649" priority="4650">
      <formula>$I$68="Module 3"</formula>
    </cfRule>
  </conditionalFormatting>
  <conditionalFormatting sqref="I68:R68">
    <cfRule type="expression" dxfId="4648" priority="4649">
      <formula>$I$68="or"</formula>
    </cfRule>
  </conditionalFormatting>
  <conditionalFormatting sqref="I68:R68">
    <cfRule type="expression" dxfId="4647" priority="4648">
      <formula>$I$68="Type 1"</formula>
    </cfRule>
  </conditionalFormatting>
  <conditionalFormatting sqref="I68:R68">
    <cfRule type="expression" dxfId="4646" priority="4647">
      <formula>$I$68="Type 2"</formula>
    </cfRule>
  </conditionalFormatting>
  <conditionalFormatting sqref="I68:R68">
    <cfRule type="expression" dxfId="4645" priority="4646">
      <formula>$I$68="Type 3"</formula>
    </cfRule>
  </conditionalFormatting>
  <conditionalFormatting sqref="L68">
    <cfRule type="expression" dxfId="4644" priority="4645">
      <formula>$L$68="1"</formula>
    </cfRule>
  </conditionalFormatting>
  <conditionalFormatting sqref="L68">
    <cfRule type="expression" dxfId="4643" priority="4644">
      <formula>$L$68="2"</formula>
    </cfRule>
  </conditionalFormatting>
  <conditionalFormatting sqref="L68">
    <cfRule type="expression" dxfId="4642" priority="4643">
      <formula>$L$68="3"</formula>
    </cfRule>
  </conditionalFormatting>
  <conditionalFormatting sqref="L68">
    <cfRule type="expression" dxfId="4641" priority="4642">
      <formula>$L$68="4"</formula>
    </cfRule>
  </conditionalFormatting>
  <conditionalFormatting sqref="L68">
    <cfRule type="expression" dxfId="4640" priority="4641">
      <formula>$L$68="5"</formula>
    </cfRule>
  </conditionalFormatting>
  <conditionalFormatting sqref="I69:R69">
    <cfRule type="expression" dxfId="4639" priority="4640">
      <formula>$P$69="Not started"</formula>
    </cfRule>
    <cfRule type="expression" dxfId="4638" priority="4629">
      <formula>$I$69="or"</formula>
    </cfRule>
    <cfRule type="expression" dxfId="4637" priority="4627">
      <formula>$I$69="Type 2"</formula>
    </cfRule>
  </conditionalFormatting>
  <conditionalFormatting sqref="I69:R69">
    <cfRule type="expression" dxfId="4636" priority="4639">
      <formula>$P$69="In progress"</formula>
    </cfRule>
  </conditionalFormatting>
  <conditionalFormatting sqref="I69:R69">
    <cfRule type="expression" dxfId="4635" priority="4638">
      <formula>$P$69="Closed"</formula>
    </cfRule>
  </conditionalFormatting>
  <conditionalFormatting sqref="I69:R69">
    <cfRule type="expression" dxfId="4634" priority="4637">
      <formula>$P$69="Canceled"</formula>
    </cfRule>
  </conditionalFormatting>
  <conditionalFormatting sqref="I69:R69">
    <cfRule type="expression" dxfId="4633" priority="4636">
      <formula>$P$69="Suspended"</formula>
    </cfRule>
  </conditionalFormatting>
  <conditionalFormatting sqref="I69:R69">
    <cfRule type="expression" dxfId="4632" priority="4635">
      <formula>$P$69="Applied"</formula>
    </cfRule>
  </conditionalFormatting>
  <conditionalFormatting sqref="I69:R69">
    <cfRule type="expression" dxfId="4631" priority="4634">
      <formula>$P$69="N/A"</formula>
    </cfRule>
  </conditionalFormatting>
  <conditionalFormatting sqref="I69:R69">
    <cfRule type="expression" dxfId="4630" priority="4633">
      <formula>$P$69=""</formula>
    </cfRule>
  </conditionalFormatting>
  <conditionalFormatting sqref="I69:R69">
    <cfRule type="expression" dxfId="4629" priority="4632">
      <formula>$I$69="Module 1"</formula>
    </cfRule>
  </conditionalFormatting>
  <conditionalFormatting sqref="I69:R69">
    <cfRule type="expression" dxfId="4628" priority="4631">
      <formula>$I$69="Module 2"</formula>
    </cfRule>
  </conditionalFormatting>
  <conditionalFormatting sqref="I69:R69">
    <cfRule type="expression" dxfId="4627" priority="4630">
      <formula>$I$69="Module 3"</formula>
    </cfRule>
    <cfRule type="expression" dxfId="4626" priority="4628">
      <formula>$I$69="Type 1"</formula>
    </cfRule>
    <cfRule type="expression" dxfId="4625" priority="4626">
      <formula>$I$69="Type 3"</formula>
    </cfRule>
  </conditionalFormatting>
  <conditionalFormatting sqref="L69">
    <cfRule type="expression" dxfId="4624" priority="4625">
      <formula>$L$69="1"</formula>
    </cfRule>
  </conditionalFormatting>
  <conditionalFormatting sqref="L69">
    <cfRule type="expression" dxfId="4623" priority="4624">
      <formula>$L$69="2"</formula>
    </cfRule>
  </conditionalFormatting>
  <conditionalFormatting sqref="L69">
    <cfRule type="expression" dxfId="4622" priority="4623">
      <formula>$L$69="3"</formula>
    </cfRule>
  </conditionalFormatting>
  <conditionalFormatting sqref="L69">
    <cfRule type="expression" dxfId="4621" priority="4622">
      <formula>$L$69="4"</formula>
    </cfRule>
  </conditionalFormatting>
  <conditionalFormatting sqref="L69">
    <cfRule type="expression" dxfId="4620" priority="4621">
      <formula>$L$69="5"</formula>
    </cfRule>
  </conditionalFormatting>
  <conditionalFormatting sqref="I70:R70">
    <cfRule type="expression" dxfId="4619" priority="4620">
      <formula>$P$70="Not started"</formula>
    </cfRule>
    <cfRule type="expression" dxfId="4618" priority="4609">
      <formula>$I$70="or"</formula>
    </cfRule>
    <cfRule type="expression" dxfId="4617" priority="4607">
      <formula>$I$70="Type 2"</formula>
    </cfRule>
  </conditionalFormatting>
  <conditionalFormatting sqref="I70:R70">
    <cfRule type="expression" dxfId="4616" priority="4619">
      <formula>$P$70="In progress"</formula>
    </cfRule>
  </conditionalFormatting>
  <conditionalFormatting sqref="I70:R70">
    <cfRule type="expression" dxfId="4615" priority="4618">
      <formula>$P$70="Closed"</formula>
    </cfRule>
  </conditionalFormatting>
  <conditionalFormatting sqref="I70:R70">
    <cfRule type="expression" dxfId="4614" priority="4617">
      <formula>$P$70="Canceled"</formula>
    </cfRule>
  </conditionalFormatting>
  <conditionalFormatting sqref="I70:R70">
    <cfRule type="expression" dxfId="4613" priority="4616">
      <formula>$P$70="Suspended"</formula>
    </cfRule>
  </conditionalFormatting>
  <conditionalFormatting sqref="I70:R70">
    <cfRule type="expression" dxfId="4612" priority="4615">
      <formula>$P$70="Applied"</formula>
    </cfRule>
  </conditionalFormatting>
  <conditionalFormatting sqref="I70:R70">
    <cfRule type="expression" dxfId="4611" priority="4614">
      <formula>$P$70="N/A"</formula>
    </cfRule>
  </conditionalFormatting>
  <conditionalFormatting sqref="I70:R70">
    <cfRule type="expression" dxfId="4610" priority="4613">
      <formula>$P$70=""</formula>
    </cfRule>
  </conditionalFormatting>
  <conditionalFormatting sqref="I70:R70">
    <cfRule type="expression" dxfId="4609" priority="4612">
      <formula>$I$70="Module 1"</formula>
    </cfRule>
  </conditionalFormatting>
  <conditionalFormatting sqref="I70:R70">
    <cfRule type="expression" dxfId="4608" priority="4611">
      <formula>$I$70="Module 2"</formula>
    </cfRule>
  </conditionalFormatting>
  <conditionalFormatting sqref="I70:R70">
    <cfRule type="expression" dxfId="4607" priority="4610">
      <formula>$I$70="Module 3"</formula>
    </cfRule>
    <cfRule type="expression" dxfId="4606" priority="4608">
      <formula>$I$70="Type 1"</formula>
    </cfRule>
    <cfRule type="expression" dxfId="4605" priority="4606">
      <formula>$I$70="Type 3"</formula>
    </cfRule>
  </conditionalFormatting>
  <conditionalFormatting sqref="L70">
    <cfRule type="expression" dxfId="4604" priority="4605">
      <formula>$L$70="1"</formula>
    </cfRule>
  </conditionalFormatting>
  <conditionalFormatting sqref="L70">
    <cfRule type="expression" dxfId="4603" priority="4604">
      <formula>$L$70="2"</formula>
    </cfRule>
  </conditionalFormatting>
  <conditionalFormatting sqref="L70">
    <cfRule type="expression" dxfId="4602" priority="4603">
      <formula>$L$70="3"</formula>
    </cfRule>
  </conditionalFormatting>
  <conditionalFormatting sqref="L70">
    <cfRule type="expression" dxfId="4601" priority="4602">
      <formula>$L$70="4"</formula>
    </cfRule>
  </conditionalFormatting>
  <conditionalFormatting sqref="L70">
    <cfRule type="expression" dxfId="4600" priority="4601">
      <formula>$L$70="5"</formula>
    </cfRule>
  </conditionalFormatting>
  <conditionalFormatting sqref="I71:R71">
    <cfRule type="expression" dxfId="4599" priority="4600">
      <formula>$P$71="Not started"</formula>
    </cfRule>
    <cfRule type="expression" dxfId="4598" priority="4589">
      <formula>$I$71="or"</formula>
    </cfRule>
    <cfRule type="expression" dxfId="4597" priority="4587">
      <formula>$I$71="Type 2"</formula>
    </cfRule>
  </conditionalFormatting>
  <conditionalFormatting sqref="I71:R71">
    <cfRule type="expression" dxfId="4596" priority="4599">
      <formula>$P$71="In progress"</formula>
    </cfRule>
  </conditionalFormatting>
  <conditionalFormatting sqref="I71:R71">
    <cfRule type="expression" dxfId="4595" priority="4598">
      <formula>$P$71="Closed"</formula>
    </cfRule>
  </conditionalFormatting>
  <conditionalFormatting sqref="I71:R71">
    <cfRule type="expression" dxfId="4594" priority="4597">
      <formula>$P$71="Canceled"</formula>
    </cfRule>
  </conditionalFormatting>
  <conditionalFormatting sqref="I71:R71">
    <cfRule type="expression" dxfId="4593" priority="4596">
      <formula>$P$71="Suspended"</formula>
    </cfRule>
  </conditionalFormatting>
  <conditionalFormatting sqref="I71:R71">
    <cfRule type="expression" dxfId="4592" priority="4595">
      <formula>$P$71="Applied"</formula>
    </cfRule>
  </conditionalFormatting>
  <conditionalFormatting sqref="I71:R71">
    <cfRule type="expression" dxfId="4591" priority="4594">
      <formula>$P$71="N/A"</formula>
    </cfRule>
  </conditionalFormatting>
  <conditionalFormatting sqref="I71:R71">
    <cfRule type="expression" dxfId="4590" priority="4593">
      <formula>$P$71=""</formula>
    </cfRule>
  </conditionalFormatting>
  <conditionalFormatting sqref="I71:R71">
    <cfRule type="expression" dxfId="4589" priority="4592">
      <formula>$I$71="Module 1"</formula>
    </cfRule>
  </conditionalFormatting>
  <conditionalFormatting sqref="I71:R71">
    <cfRule type="expression" dxfId="4588" priority="4591">
      <formula>$I$71="Module 2"</formula>
    </cfRule>
  </conditionalFormatting>
  <conditionalFormatting sqref="I71:R71">
    <cfRule type="expression" dxfId="4587" priority="4590">
      <formula>$I$71="Module 3"</formula>
    </cfRule>
    <cfRule type="expression" dxfId="4586" priority="4588">
      <formula>$I$71="Type 1"</formula>
    </cfRule>
    <cfRule type="expression" dxfId="4585" priority="4586">
      <formula>$I$71="Type 3"</formula>
    </cfRule>
  </conditionalFormatting>
  <conditionalFormatting sqref="L71">
    <cfRule type="expression" dxfId="4584" priority="4585">
      <formula>$L$71="1"</formula>
    </cfRule>
  </conditionalFormatting>
  <conditionalFormatting sqref="L71">
    <cfRule type="expression" dxfId="4583" priority="4584">
      <formula>$L$71="2"</formula>
    </cfRule>
  </conditionalFormatting>
  <conditionalFormatting sqref="L71">
    <cfRule type="expression" dxfId="4582" priority="4583">
      <formula>$L$71="3"</formula>
    </cfRule>
  </conditionalFormatting>
  <conditionalFormatting sqref="L71">
    <cfRule type="expression" dxfId="4581" priority="4582">
      <formula>$L$71="4"</formula>
    </cfRule>
  </conditionalFormatting>
  <conditionalFormatting sqref="L71">
    <cfRule type="expression" dxfId="4580" priority="4581">
      <formula>$L$71="5"</formula>
    </cfRule>
  </conditionalFormatting>
  <conditionalFormatting sqref="I72:R72">
    <cfRule type="expression" dxfId="4579" priority="4580">
      <formula>$P$72="Not started"</formula>
    </cfRule>
    <cfRule type="expression" dxfId="4578" priority="4569">
      <formula>$I$72="or"</formula>
    </cfRule>
    <cfRule type="expression" dxfId="4577" priority="4567">
      <formula>$I$72="Type 2"</formula>
    </cfRule>
  </conditionalFormatting>
  <conditionalFormatting sqref="I72:R72">
    <cfRule type="expression" dxfId="4576" priority="4579">
      <formula>$P$72="In progress"</formula>
    </cfRule>
  </conditionalFormatting>
  <conditionalFormatting sqref="I72:R72">
    <cfRule type="expression" dxfId="4575" priority="4578">
      <formula>$P$72="Closed"</formula>
    </cfRule>
  </conditionalFormatting>
  <conditionalFormatting sqref="I72:R72">
    <cfRule type="expression" dxfId="4574" priority="4577">
      <formula>$P$72="Canceled"</formula>
    </cfRule>
  </conditionalFormatting>
  <conditionalFormatting sqref="I72:R72">
    <cfRule type="expression" dxfId="4573" priority="4576">
      <formula>$P$72="Suspended"</formula>
    </cfRule>
  </conditionalFormatting>
  <conditionalFormatting sqref="I72:R72">
    <cfRule type="expression" dxfId="4572" priority="4575">
      <formula>$P$72="Applied"</formula>
    </cfRule>
  </conditionalFormatting>
  <conditionalFormatting sqref="I72:R72">
    <cfRule type="expression" dxfId="4571" priority="4574">
      <formula>$P$72="N/A"</formula>
    </cfRule>
  </conditionalFormatting>
  <conditionalFormatting sqref="I72:R72">
    <cfRule type="expression" dxfId="4570" priority="4573">
      <formula>$P$72=""</formula>
    </cfRule>
  </conditionalFormatting>
  <conditionalFormatting sqref="I72:R72">
    <cfRule type="expression" dxfId="4569" priority="4572">
      <formula>$I$72="Module 1"</formula>
    </cfRule>
  </conditionalFormatting>
  <conditionalFormatting sqref="I72:R72">
    <cfRule type="expression" dxfId="4568" priority="4571">
      <formula>$I$72="Module 2"</formula>
    </cfRule>
  </conditionalFormatting>
  <conditionalFormatting sqref="I72:R72">
    <cfRule type="expression" dxfId="4567" priority="4570">
      <formula>$I$72="Module 3"</formula>
    </cfRule>
    <cfRule type="expression" dxfId="4566" priority="4568">
      <formula>$I$72="Type 1"</formula>
    </cfRule>
    <cfRule type="expression" dxfId="4565" priority="4566">
      <formula>$I$72="Type 3"</formula>
    </cfRule>
  </conditionalFormatting>
  <conditionalFormatting sqref="L72">
    <cfRule type="expression" dxfId="4564" priority="4565">
      <formula>$L$72="1"</formula>
    </cfRule>
  </conditionalFormatting>
  <conditionalFormatting sqref="L72">
    <cfRule type="expression" dxfId="4563" priority="4564">
      <formula>$L$72="2"</formula>
    </cfRule>
  </conditionalFormatting>
  <conditionalFormatting sqref="L72">
    <cfRule type="expression" dxfId="4562" priority="4563">
      <formula>$L$72="3"</formula>
    </cfRule>
  </conditionalFormatting>
  <conditionalFormatting sqref="L72">
    <cfRule type="expression" dxfId="4561" priority="4562">
      <formula>$L$72="4"</formula>
    </cfRule>
  </conditionalFormatting>
  <conditionalFormatting sqref="L72">
    <cfRule type="expression" dxfId="4560" priority="4561">
      <formula>$L$72="5"</formula>
    </cfRule>
  </conditionalFormatting>
  <conditionalFormatting sqref="I73:R73">
    <cfRule type="expression" dxfId="4559" priority="4560">
      <formula>$P$73="Not started"</formula>
    </cfRule>
    <cfRule type="expression" dxfId="4558" priority="4549">
      <formula>$I$73="or"</formula>
    </cfRule>
    <cfRule type="expression" dxfId="4557" priority="4547">
      <formula>$I$73="Type 2"</formula>
    </cfRule>
  </conditionalFormatting>
  <conditionalFormatting sqref="I73:R73">
    <cfRule type="expression" dxfId="4556" priority="4559">
      <formula>$P$73="In progress"</formula>
    </cfRule>
  </conditionalFormatting>
  <conditionalFormatting sqref="I73:R73">
    <cfRule type="expression" dxfId="4555" priority="4558">
      <formula>$P$73="Closed"</formula>
    </cfRule>
  </conditionalFormatting>
  <conditionalFormatting sqref="I73:R73">
    <cfRule type="expression" dxfId="4554" priority="4557">
      <formula>$P$73="Canceled"</formula>
    </cfRule>
  </conditionalFormatting>
  <conditionalFormatting sqref="I73:R73">
    <cfRule type="expression" dxfId="4553" priority="4556">
      <formula>$P$73="Suspended"</formula>
    </cfRule>
  </conditionalFormatting>
  <conditionalFormatting sqref="I73:R73">
    <cfRule type="expression" dxfId="4552" priority="4555">
      <formula>$P$73="Applied"</formula>
    </cfRule>
  </conditionalFormatting>
  <conditionalFormatting sqref="I73:R73">
    <cfRule type="expression" dxfId="4551" priority="4554">
      <formula>$P$73="N/A"</formula>
    </cfRule>
  </conditionalFormatting>
  <conditionalFormatting sqref="I73:R73">
    <cfRule type="expression" dxfId="4550" priority="4553">
      <formula>$P$73=""</formula>
    </cfRule>
  </conditionalFormatting>
  <conditionalFormatting sqref="I73:R73">
    <cfRule type="expression" dxfId="4549" priority="4552">
      <formula>$I$73="Module 1"</formula>
    </cfRule>
  </conditionalFormatting>
  <conditionalFormatting sqref="I73:R73">
    <cfRule type="expression" dxfId="4548" priority="4551">
      <formula>$I$73="Module 2"</formula>
    </cfRule>
  </conditionalFormatting>
  <conditionalFormatting sqref="I73:R73">
    <cfRule type="expression" dxfId="4547" priority="4550">
      <formula>$I$73="Module 3"</formula>
    </cfRule>
    <cfRule type="expression" dxfId="4546" priority="4548">
      <formula>$I$73="Type 1"</formula>
    </cfRule>
    <cfRule type="expression" dxfId="4545" priority="4546">
      <formula>$I$73="Type 3"</formula>
    </cfRule>
  </conditionalFormatting>
  <conditionalFormatting sqref="L73">
    <cfRule type="expression" dxfId="4544" priority="4545">
      <formula>$L$73="1"</formula>
    </cfRule>
  </conditionalFormatting>
  <conditionalFormatting sqref="L73">
    <cfRule type="expression" dxfId="4543" priority="4544">
      <formula>$L$73="2"</formula>
    </cfRule>
  </conditionalFormatting>
  <conditionalFormatting sqref="L73">
    <cfRule type="expression" dxfId="4542" priority="4543">
      <formula>$L$73="3"</formula>
    </cfRule>
  </conditionalFormatting>
  <conditionalFormatting sqref="L73">
    <cfRule type="expression" dxfId="4541" priority="4542">
      <formula>$L$73="4"</formula>
    </cfRule>
  </conditionalFormatting>
  <conditionalFormatting sqref="L73">
    <cfRule type="expression" dxfId="4540" priority="4541">
      <formula>$L$73="5"</formula>
    </cfRule>
  </conditionalFormatting>
  <conditionalFormatting sqref="I74:R74">
    <cfRule type="expression" dxfId="4539" priority="4540">
      <formula>$P$74="Not started"</formula>
    </cfRule>
    <cfRule type="expression" dxfId="4538" priority="4529">
      <formula>$I$74="or"</formula>
    </cfRule>
    <cfRule type="expression" dxfId="4537" priority="4527">
      <formula>$I$74="Type 2"</formula>
    </cfRule>
  </conditionalFormatting>
  <conditionalFormatting sqref="I74:R74">
    <cfRule type="expression" dxfId="4536" priority="4539">
      <formula>$P$74="In progress"</formula>
    </cfRule>
  </conditionalFormatting>
  <conditionalFormatting sqref="I74:R74">
    <cfRule type="expression" dxfId="4535" priority="4538">
      <formula>$P$74="Closed"</formula>
    </cfRule>
  </conditionalFormatting>
  <conditionalFormatting sqref="I74:R74">
    <cfRule type="expression" dxfId="4534" priority="4537">
      <formula>$P$74="Canceled"</formula>
    </cfRule>
  </conditionalFormatting>
  <conditionalFormatting sqref="I74:R74">
    <cfRule type="expression" dxfId="4533" priority="4536">
      <formula>$P$74="Suspended"</formula>
    </cfRule>
  </conditionalFormatting>
  <conditionalFormatting sqref="I74:R74">
    <cfRule type="expression" dxfId="4532" priority="4535">
      <formula>$P$74="Applied"</formula>
    </cfRule>
  </conditionalFormatting>
  <conditionalFormatting sqref="I74:R74">
    <cfRule type="expression" dxfId="4531" priority="4534">
      <formula>$P$74="N/A"</formula>
    </cfRule>
  </conditionalFormatting>
  <conditionalFormatting sqref="I74:R74">
    <cfRule type="expression" dxfId="4530" priority="4533">
      <formula>$P$74=""</formula>
    </cfRule>
  </conditionalFormatting>
  <conditionalFormatting sqref="I74:R74">
    <cfRule type="expression" dxfId="4529" priority="4532">
      <formula>$I$74="Module 1"</formula>
    </cfRule>
  </conditionalFormatting>
  <conditionalFormatting sqref="I74:R74">
    <cfRule type="expression" dxfId="4528" priority="4531">
      <formula>$I$74="Module 2"</formula>
    </cfRule>
  </conditionalFormatting>
  <conditionalFormatting sqref="I74:R74">
    <cfRule type="expression" dxfId="4527" priority="4530">
      <formula>$I$74="Module 3"</formula>
    </cfRule>
    <cfRule type="expression" dxfId="4526" priority="4528">
      <formula>$I$74="Type 1"</formula>
    </cfRule>
    <cfRule type="expression" dxfId="4525" priority="4526">
      <formula>$I$74="Type 3"</formula>
    </cfRule>
  </conditionalFormatting>
  <conditionalFormatting sqref="L74">
    <cfRule type="expression" dxfId="4524" priority="4525">
      <formula>$L$74="1"</formula>
    </cfRule>
  </conditionalFormatting>
  <conditionalFormatting sqref="L74">
    <cfRule type="expression" dxfId="4523" priority="4524">
      <formula>$L$74="2"</formula>
    </cfRule>
  </conditionalFormatting>
  <conditionalFormatting sqref="L74">
    <cfRule type="expression" dxfId="4522" priority="4523">
      <formula>$L$74="3"</formula>
    </cfRule>
  </conditionalFormatting>
  <conditionalFormatting sqref="L74">
    <cfRule type="expression" dxfId="4521" priority="4522">
      <formula>$L$74="4"</formula>
    </cfRule>
  </conditionalFormatting>
  <conditionalFormatting sqref="L74">
    <cfRule type="expression" dxfId="4520" priority="4521">
      <formula>$L$74="5"</formula>
    </cfRule>
  </conditionalFormatting>
  <conditionalFormatting sqref="I75:R75">
    <cfRule type="expression" dxfId="4519" priority="4520">
      <formula>$P$75="Not started"</formula>
    </cfRule>
    <cfRule type="expression" dxfId="4518" priority="4509">
      <formula>$I$75="or"</formula>
    </cfRule>
    <cfRule type="expression" dxfId="4517" priority="4507">
      <formula>$I$75="Type 2"</formula>
    </cfRule>
  </conditionalFormatting>
  <conditionalFormatting sqref="I75:R75">
    <cfRule type="expression" dxfId="4516" priority="4519">
      <formula>$P$75="In progress"</formula>
    </cfRule>
  </conditionalFormatting>
  <conditionalFormatting sqref="I75:R75">
    <cfRule type="expression" dxfId="4515" priority="4518">
      <formula>$P$75="Closed"</formula>
    </cfRule>
  </conditionalFormatting>
  <conditionalFormatting sqref="I75:R75">
    <cfRule type="expression" dxfId="4514" priority="4517">
      <formula>$P$75="Canceled"</formula>
    </cfRule>
  </conditionalFormatting>
  <conditionalFormatting sqref="I75:R75">
    <cfRule type="expression" dxfId="4513" priority="4516">
      <formula>$P$75="Suspended"</formula>
    </cfRule>
  </conditionalFormatting>
  <conditionalFormatting sqref="I75:R75">
    <cfRule type="expression" dxfId="4512" priority="4515">
      <formula>$P$75="Applied"</formula>
    </cfRule>
  </conditionalFormatting>
  <conditionalFormatting sqref="I75:R75">
    <cfRule type="expression" dxfId="4511" priority="4514">
      <formula>$P$75="N/A"</formula>
    </cfRule>
  </conditionalFormatting>
  <conditionalFormatting sqref="I75:R75">
    <cfRule type="expression" dxfId="4510" priority="4513">
      <formula>$P$75=""</formula>
    </cfRule>
  </conditionalFormatting>
  <conditionalFormatting sqref="I75:R75">
    <cfRule type="expression" dxfId="4509" priority="4512">
      <formula>$I$75="Module 1"</formula>
    </cfRule>
  </conditionalFormatting>
  <conditionalFormatting sqref="I75:R75">
    <cfRule type="expression" dxfId="4508" priority="4511">
      <formula>$I$75="Module 2"</formula>
    </cfRule>
  </conditionalFormatting>
  <conditionalFormatting sqref="I75:R75">
    <cfRule type="expression" dxfId="4507" priority="4510">
      <formula>$I$75="Module 3"</formula>
    </cfRule>
    <cfRule type="expression" dxfId="4506" priority="4508">
      <formula>$I$75="Type 1"</formula>
    </cfRule>
    <cfRule type="expression" dxfId="4505" priority="4506">
      <formula>$I$75="Type 3"</formula>
    </cfRule>
  </conditionalFormatting>
  <conditionalFormatting sqref="L75">
    <cfRule type="expression" dxfId="4504" priority="4505">
      <formula>$L$75="1"</formula>
    </cfRule>
  </conditionalFormatting>
  <conditionalFormatting sqref="L75">
    <cfRule type="expression" dxfId="4503" priority="4504">
      <formula>$L$75="2"</formula>
    </cfRule>
  </conditionalFormatting>
  <conditionalFormatting sqref="L75">
    <cfRule type="expression" dxfId="4502" priority="4503">
      <formula>$L$75="3"</formula>
    </cfRule>
  </conditionalFormatting>
  <conditionalFormatting sqref="L75">
    <cfRule type="expression" dxfId="4501" priority="4502">
      <formula>$L$75="4"</formula>
    </cfRule>
  </conditionalFormatting>
  <conditionalFormatting sqref="L75">
    <cfRule type="expression" dxfId="4500" priority="4501">
      <formula>$L$75="5"</formula>
    </cfRule>
  </conditionalFormatting>
  <conditionalFormatting sqref="I76:R76">
    <cfRule type="expression" dxfId="4499" priority="4500">
      <formula>$P$76="Not started"</formula>
    </cfRule>
    <cfRule type="expression" dxfId="4498" priority="4489">
      <formula>$I$76="or"</formula>
    </cfRule>
    <cfRule type="expression" dxfId="4497" priority="4487">
      <formula>$I$76="Type 2"</formula>
    </cfRule>
  </conditionalFormatting>
  <conditionalFormatting sqref="I76:R76">
    <cfRule type="expression" dxfId="4496" priority="4499">
      <formula>$P$76="In progress"</formula>
    </cfRule>
  </conditionalFormatting>
  <conditionalFormatting sqref="I76:R76">
    <cfRule type="expression" dxfId="4495" priority="4498">
      <formula>$P$76="Closed"</formula>
    </cfRule>
  </conditionalFormatting>
  <conditionalFormatting sqref="I76:R76">
    <cfRule type="expression" dxfId="4494" priority="4497">
      <formula>$P$76="Canceled"</formula>
    </cfRule>
  </conditionalFormatting>
  <conditionalFormatting sqref="I76:R76">
    <cfRule type="expression" dxfId="4493" priority="4496">
      <formula>$P$76="Suspended"</formula>
    </cfRule>
  </conditionalFormatting>
  <conditionalFormatting sqref="I76:R76">
    <cfRule type="expression" dxfId="4492" priority="4495">
      <formula>$P$76="Applied"</formula>
    </cfRule>
  </conditionalFormatting>
  <conditionalFormatting sqref="I76:R76">
    <cfRule type="expression" dxfId="4491" priority="4494">
      <formula>$P$76="N/A"</formula>
    </cfRule>
  </conditionalFormatting>
  <conditionalFormatting sqref="I76:R76">
    <cfRule type="expression" dxfId="4490" priority="4493">
      <formula>$P$76=""</formula>
    </cfRule>
  </conditionalFormatting>
  <conditionalFormatting sqref="I76:R76">
    <cfRule type="expression" dxfId="4489" priority="4492">
      <formula>$I$76="Module 1"</formula>
    </cfRule>
  </conditionalFormatting>
  <conditionalFormatting sqref="I76:R76">
    <cfRule type="expression" dxfId="4488" priority="4491">
      <formula>$I$76="Module 2"</formula>
    </cfRule>
  </conditionalFormatting>
  <conditionalFormatting sqref="I76:R76">
    <cfRule type="expression" dxfId="4487" priority="4490">
      <formula>$I$76="Module 3"</formula>
    </cfRule>
    <cfRule type="expression" dxfId="4486" priority="4488">
      <formula>$I$76="Type 1"</formula>
    </cfRule>
    <cfRule type="expression" dxfId="4485" priority="4486">
      <formula>$I$76="Type 3"</formula>
    </cfRule>
  </conditionalFormatting>
  <conditionalFormatting sqref="L76">
    <cfRule type="expression" dxfId="4484" priority="4485">
      <formula>$L$76="1"</formula>
    </cfRule>
  </conditionalFormatting>
  <conditionalFormatting sqref="L76">
    <cfRule type="expression" dxfId="4483" priority="4484">
      <formula>$L$76="2"</formula>
    </cfRule>
  </conditionalFormatting>
  <conditionalFormatting sqref="L76">
    <cfRule type="expression" dxfId="4482" priority="4483">
      <formula>$L$76="3"</formula>
    </cfRule>
  </conditionalFormatting>
  <conditionalFormatting sqref="L76">
    <cfRule type="expression" dxfId="4481" priority="4482">
      <formula>$L$76="4"</formula>
    </cfRule>
  </conditionalFormatting>
  <conditionalFormatting sqref="L76">
    <cfRule type="expression" dxfId="4480" priority="4481">
      <formula>$L$76="5"</formula>
    </cfRule>
  </conditionalFormatting>
  <conditionalFormatting sqref="I77:R77">
    <cfRule type="expression" dxfId="4479" priority="4480">
      <formula>$P$77="Not started"</formula>
    </cfRule>
    <cfRule type="expression" dxfId="4478" priority="4469">
      <formula>$I$77="or"</formula>
    </cfRule>
    <cfRule type="expression" dxfId="4477" priority="4467">
      <formula>$I$77="Type 2"</formula>
    </cfRule>
  </conditionalFormatting>
  <conditionalFormatting sqref="I77:R77">
    <cfRule type="expression" dxfId="4476" priority="4479">
      <formula>$P$77="In progress"</formula>
    </cfRule>
  </conditionalFormatting>
  <conditionalFormatting sqref="I77:R77">
    <cfRule type="expression" dxfId="4475" priority="4478">
      <formula>$P$77="Closed"</formula>
    </cfRule>
  </conditionalFormatting>
  <conditionalFormatting sqref="I77:R77">
    <cfRule type="expression" dxfId="4474" priority="4477">
      <formula>$P$77="Canceled"</formula>
    </cfRule>
  </conditionalFormatting>
  <conditionalFormatting sqref="I77:R77">
    <cfRule type="expression" dxfId="4473" priority="4476">
      <formula>$P$77="Suspended"</formula>
    </cfRule>
  </conditionalFormatting>
  <conditionalFormatting sqref="I77:R77">
    <cfRule type="expression" dxfId="4472" priority="4475">
      <formula>$P$77="Applied"</formula>
    </cfRule>
  </conditionalFormatting>
  <conditionalFormatting sqref="I77:R77">
    <cfRule type="expression" dxfId="4471" priority="4474">
      <formula>$P$77="N/A"</formula>
    </cfRule>
  </conditionalFormatting>
  <conditionalFormatting sqref="I77:R77">
    <cfRule type="expression" dxfId="4470" priority="4473">
      <formula>$P$77=""</formula>
    </cfRule>
  </conditionalFormatting>
  <conditionalFormatting sqref="I77:R77">
    <cfRule type="expression" dxfId="4469" priority="4472">
      <formula>$I$77="Module 1"</formula>
    </cfRule>
  </conditionalFormatting>
  <conditionalFormatting sqref="I77:R77">
    <cfRule type="expression" dxfId="4468" priority="4471">
      <formula>$I$77="Module 2"</formula>
    </cfRule>
  </conditionalFormatting>
  <conditionalFormatting sqref="I77:R77">
    <cfRule type="expression" dxfId="4467" priority="4470">
      <formula>$I$77="Module 3"</formula>
    </cfRule>
    <cfRule type="expression" dxfId="4466" priority="4468">
      <formula>$I$77="Type 1"</formula>
    </cfRule>
    <cfRule type="expression" dxfId="4465" priority="4466">
      <formula>$I$77="Type 3"</formula>
    </cfRule>
  </conditionalFormatting>
  <conditionalFormatting sqref="L77">
    <cfRule type="expression" dxfId="4464" priority="4465">
      <formula>$L$77="1"</formula>
    </cfRule>
  </conditionalFormatting>
  <conditionalFormatting sqref="L77">
    <cfRule type="expression" dxfId="4463" priority="4464">
      <formula>$L$77="2"</formula>
    </cfRule>
  </conditionalFormatting>
  <conditionalFormatting sqref="L77">
    <cfRule type="expression" dxfId="4462" priority="4463">
      <formula>$L$77="3"</formula>
    </cfRule>
  </conditionalFormatting>
  <conditionalFormatting sqref="L77">
    <cfRule type="expression" dxfId="4461" priority="4462">
      <formula>$L$77="4"</formula>
    </cfRule>
  </conditionalFormatting>
  <conditionalFormatting sqref="L77">
    <cfRule type="expression" dxfId="4460" priority="4461">
      <formula>$L$77="5"</formula>
    </cfRule>
  </conditionalFormatting>
  <conditionalFormatting sqref="I78:R78">
    <cfRule type="expression" dxfId="4459" priority="4460">
      <formula>$P$78="Not started"</formula>
    </cfRule>
  </conditionalFormatting>
  <conditionalFormatting sqref="I78:R78">
    <cfRule type="expression" dxfId="4458" priority="4459">
      <formula>$P$78="In progress"</formula>
    </cfRule>
  </conditionalFormatting>
  <conditionalFormatting sqref="I78:R78">
    <cfRule type="expression" dxfId="4457" priority="4458">
      <formula>$P$78="Closed"</formula>
    </cfRule>
  </conditionalFormatting>
  <conditionalFormatting sqref="I78:R78">
    <cfRule type="expression" dxfId="4456" priority="4457">
      <formula>$P$78="Canceled"</formula>
    </cfRule>
  </conditionalFormatting>
  <conditionalFormatting sqref="I78:R78">
    <cfRule type="expression" dxfId="4455" priority="4456">
      <formula>$P$78="Suspended"</formula>
    </cfRule>
  </conditionalFormatting>
  <conditionalFormatting sqref="I78:R78">
    <cfRule type="expression" dxfId="4454" priority="4455">
      <formula>$P$78="Applied"</formula>
    </cfRule>
  </conditionalFormatting>
  <conditionalFormatting sqref="I78:R78">
    <cfRule type="expression" dxfId="4453" priority="4454">
      <formula>$P$78="N/A"</formula>
    </cfRule>
  </conditionalFormatting>
  <conditionalFormatting sqref="I78:R78">
    <cfRule type="expression" dxfId="4452" priority="4453">
      <formula>$P$78=""</formula>
    </cfRule>
  </conditionalFormatting>
  <conditionalFormatting sqref="I78:R78">
    <cfRule type="expression" dxfId="4451" priority="4452">
      <formula>$I$78="Module 1"</formula>
    </cfRule>
  </conditionalFormatting>
  <conditionalFormatting sqref="I78:R78">
    <cfRule type="expression" dxfId="4450" priority="4451">
      <formula>$I$78="Module 2"</formula>
    </cfRule>
  </conditionalFormatting>
  <conditionalFormatting sqref="I78:R78">
    <cfRule type="expression" dxfId="4449" priority="4450">
      <formula>$I$78="Module 3"</formula>
    </cfRule>
  </conditionalFormatting>
  <conditionalFormatting sqref="I78:R78">
    <cfRule type="expression" dxfId="4448" priority="4449">
      <formula>$I$78="or"</formula>
    </cfRule>
  </conditionalFormatting>
  <conditionalFormatting sqref="I78:R78">
    <cfRule type="expression" dxfId="4447" priority="4448">
      <formula>$I$78="Type 1"</formula>
    </cfRule>
  </conditionalFormatting>
  <conditionalFormatting sqref="I78:R78">
    <cfRule type="expression" dxfId="4446" priority="4447">
      <formula>$I$78="Type 2"</formula>
    </cfRule>
  </conditionalFormatting>
  <conditionalFormatting sqref="I78:R78">
    <cfRule type="expression" dxfId="4445" priority="4446">
      <formula>$I$78="Type 3"</formula>
    </cfRule>
  </conditionalFormatting>
  <conditionalFormatting sqref="L78">
    <cfRule type="expression" dxfId="4444" priority="4445">
      <formula>$L$78="1"</formula>
    </cfRule>
  </conditionalFormatting>
  <conditionalFormatting sqref="L78">
    <cfRule type="expression" dxfId="4443" priority="4444">
      <formula>$L$78="2"</formula>
    </cfRule>
  </conditionalFormatting>
  <conditionalFormatting sqref="L78">
    <cfRule type="expression" dxfId="4442" priority="4443">
      <formula>$L$78="3"</formula>
    </cfRule>
  </conditionalFormatting>
  <conditionalFormatting sqref="L78">
    <cfRule type="expression" dxfId="4441" priority="4442">
      <formula>$L$78="4"</formula>
    </cfRule>
  </conditionalFormatting>
  <conditionalFormatting sqref="L78">
    <cfRule type="expression" dxfId="4440" priority="4441">
      <formula>$L$78="5"</formula>
    </cfRule>
  </conditionalFormatting>
  <conditionalFormatting sqref="I79:R79">
    <cfRule type="expression" dxfId="4439" priority="4440">
      <formula>$P$79="Not started"</formula>
    </cfRule>
    <cfRule type="expression" dxfId="4438" priority="4429">
      <formula>$I$79="or"</formula>
    </cfRule>
    <cfRule type="expression" dxfId="4437" priority="4427">
      <formula>$I$79="Type 2"</formula>
    </cfRule>
  </conditionalFormatting>
  <conditionalFormatting sqref="I79:R79">
    <cfRule type="expression" dxfId="4436" priority="4439">
      <formula>$P$79="In progress"</formula>
    </cfRule>
  </conditionalFormatting>
  <conditionalFormatting sqref="I79:R79">
    <cfRule type="expression" dxfId="4435" priority="4438">
      <formula>$P$79="Closed"</formula>
    </cfRule>
  </conditionalFormatting>
  <conditionalFormatting sqref="I79:R79">
    <cfRule type="expression" dxfId="4434" priority="4437">
      <formula>$P$79="Canceled"</formula>
    </cfRule>
  </conditionalFormatting>
  <conditionalFormatting sqref="I79:R79">
    <cfRule type="expression" dxfId="4433" priority="4436">
      <formula>$P$79="Suspended"</formula>
    </cfRule>
  </conditionalFormatting>
  <conditionalFormatting sqref="I79:R79">
    <cfRule type="expression" dxfId="4432" priority="4435">
      <formula>$P$79="Applied"</formula>
    </cfRule>
  </conditionalFormatting>
  <conditionalFormatting sqref="I79:R79">
    <cfRule type="expression" dxfId="4431" priority="4434">
      <formula>$P$79="N/A"</formula>
    </cfRule>
  </conditionalFormatting>
  <conditionalFormatting sqref="I79:R79">
    <cfRule type="expression" dxfId="4430" priority="4433">
      <formula>$P$79=""</formula>
    </cfRule>
  </conditionalFormatting>
  <conditionalFormatting sqref="I79:R79">
    <cfRule type="expression" dxfId="4429" priority="4432">
      <formula>$I$79="Module 1"</formula>
    </cfRule>
  </conditionalFormatting>
  <conditionalFormatting sqref="I79:R79">
    <cfRule type="expression" dxfId="4428" priority="4431">
      <formula>$I$79="Module 2"</formula>
    </cfRule>
  </conditionalFormatting>
  <conditionalFormatting sqref="I79:R79">
    <cfRule type="expression" dxfId="4427" priority="4430">
      <formula>$I$79="Module 3"</formula>
    </cfRule>
    <cfRule type="expression" dxfId="4426" priority="4428">
      <formula>$I$79="Type 1"</formula>
    </cfRule>
    <cfRule type="expression" dxfId="4425" priority="4426">
      <formula>$I$79="Type 3"</formula>
    </cfRule>
  </conditionalFormatting>
  <conditionalFormatting sqref="L79">
    <cfRule type="expression" dxfId="4424" priority="4425">
      <formula>$L$79="1"</formula>
    </cfRule>
  </conditionalFormatting>
  <conditionalFormatting sqref="L79">
    <cfRule type="expression" dxfId="4423" priority="4424">
      <formula>$L$79="2"</formula>
    </cfRule>
  </conditionalFormatting>
  <conditionalFormatting sqref="L79">
    <cfRule type="expression" dxfId="4422" priority="4423">
      <formula>$L$79="3"</formula>
    </cfRule>
  </conditionalFormatting>
  <conditionalFormatting sqref="L79">
    <cfRule type="expression" dxfId="4421" priority="4422">
      <formula>$L$79="4"</formula>
    </cfRule>
  </conditionalFormatting>
  <conditionalFormatting sqref="L79">
    <cfRule type="expression" dxfId="4420" priority="4421">
      <formula>$L$79="5"</formula>
    </cfRule>
  </conditionalFormatting>
  <conditionalFormatting sqref="I80:R80">
    <cfRule type="expression" dxfId="4419" priority="4420">
      <formula>$P$80="Not started"</formula>
    </cfRule>
    <cfRule type="expression" dxfId="4418" priority="4409">
      <formula>$I$80="or"</formula>
    </cfRule>
    <cfRule type="expression" dxfId="4417" priority="4407">
      <formula>$I$80="Type 2"</formula>
    </cfRule>
  </conditionalFormatting>
  <conditionalFormatting sqref="I80:R80">
    <cfRule type="expression" dxfId="4416" priority="4419">
      <formula>$P$80="In progress"</formula>
    </cfRule>
  </conditionalFormatting>
  <conditionalFormatting sqref="I80:R80">
    <cfRule type="expression" dxfId="4415" priority="4418">
      <formula>$P$80="Closed"</formula>
    </cfRule>
  </conditionalFormatting>
  <conditionalFormatting sqref="I80:R80">
    <cfRule type="expression" dxfId="4414" priority="4417">
      <formula>$P$80="Canceled"</formula>
    </cfRule>
  </conditionalFormatting>
  <conditionalFormatting sqref="I80:R80">
    <cfRule type="expression" dxfId="4413" priority="4416">
      <formula>$P$80="Suspended"</formula>
    </cfRule>
  </conditionalFormatting>
  <conditionalFormatting sqref="I80:R80">
    <cfRule type="expression" dxfId="4412" priority="4415">
      <formula>$P$80="Applied"</formula>
    </cfRule>
  </conditionalFormatting>
  <conditionalFormatting sqref="I80:R80">
    <cfRule type="expression" dxfId="4411" priority="4414">
      <formula>$P$80="N/A"</formula>
    </cfRule>
  </conditionalFormatting>
  <conditionalFormatting sqref="I80:R80">
    <cfRule type="expression" dxfId="4410" priority="4413">
      <formula>$P$80=""</formula>
    </cfRule>
  </conditionalFormatting>
  <conditionalFormatting sqref="I80:R80">
    <cfRule type="expression" dxfId="4409" priority="4412">
      <formula>$I$80="Module 1"</formula>
    </cfRule>
  </conditionalFormatting>
  <conditionalFormatting sqref="I80:R80">
    <cfRule type="expression" dxfId="4408" priority="4411">
      <formula>$I$80="Module 2"</formula>
    </cfRule>
  </conditionalFormatting>
  <conditionalFormatting sqref="I80:R80">
    <cfRule type="expression" dxfId="4407" priority="4410">
      <formula>$I$80="Module 3"</formula>
    </cfRule>
    <cfRule type="expression" dxfId="4406" priority="4408">
      <formula>$I$80="Type 1"</formula>
    </cfRule>
    <cfRule type="expression" dxfId="4405" priority="4406">
      <formula>$I$80="Type 3"</formula>
    </cfRule>
  </conditionalFormatting>
  <conditionalFormatting sqref="L80">
    <cfRule type="expression" dxfId="4404" priority="4405">
      <formula>$L$80="1"</formula>
    </cfRule>
  </conditionalFormatting>
  <conditionalFormatting sqref="L80">
    <cfRule type="expression" dxfId="4403" priority="4404">
      <formula>$L$80="2"</formula>
    </cfRule>
  </conditionalFormatting>
  <conditionalFormatting sqref="L80">
    <cfRule type="expression" dxfId="4402" priority="4403">
      <formula>$L$80="3"</formula>
    </cfRule>
  </conditionalFormatting>
  <conditionalFormatting sqref="L80">
    <cfRule type="expression" dxfId="4401" priority="4402">
      <formula>$L$80="4"</formula>
    </cfRule>
  </conditionalFormatting>
  <conditionalFormatting sqref="L80">
    <cfRule type="expression" dxfId="4400" priority="4401">
      <formula>$L$80="5"</formula>
    </cfRule>
  </conditionalFormatting>
  <conditionalFormatting sqref="I81:R81">
    <cfRule type="expression" dxfId="4399" priority="4400">
      <formula>$P$81="Not started"</formula>
    </cfRule>
    <cfRule type="expression" dxfId="4398" priority="4389">
      <formula>$I$81="or"</formula>
    </cfRule>
    <cfRule type="expression" dxfId="4397" priority="4387">
      <formula>$I$81="Type 2"</formula>
    </cfRule>
  </conditionalFormatting>
  <conditionalFormatting sqref="I81:R81">
    <cfRule type="expression" dxfId="4396" priority="4399">
      <formula>$P$81="In progress"</formula>
    </cfRule>
  </conditionalFormatting>
  <conditionalFormatting sqref="I81:R81">
    <cfRule type="expression" dxfId="4395" priority="4398">
      <formula>$P$81="Closed"</formula>
    </cfRule>
  </conditionalFormatting>
  <conditionalFormatting sqref="I81:R81">
    <cfRule type="expression" dxfId="4394" priority="4397">
      <formula>$P$81="Canceled"</formula>
    </cfRule>
  </conditionalFormatting>
  <conditionalFormatting sqref="I81:R81">
    <cfRule type="expression" dxfId="4393" priority="4396">
      <formula>$P$81="Suspended"</formula>
    </cfRule>
  </conditionalFormatting>
  <conditionalFormatting sqref="I81:R81">
    <cfRule type="expression" dxfId="4392" priority="4395">
      <formula>$P$81="Applied"</formula>
    </cfRule>
  </conditionalFormatting>
  <conditionalFormatting sqref="I81:R81">
    <cfRule type="expression" dxfId="4391" priority="4394">
      <formula>$P$81="N/A"</formula>
    </cfRule>
  </conditionalFormatting>
  <conditionalFormatting sqref="I81:R81">
    <cfRule type="expression" dxfId="4390" priority="4393">
      <formula>$P$81=""</formula>
    </cfRule>
  </conditionalFormatting>
  <conditionalFormatting sqref="I81:R81">
    <cfRule type="expression" dxfId="4389" priority="4392">
      <formula>$I$81="Module 1"</formula>
    </cfRule>
  </conditionalFormatting>
  <conditionalFormatting sqref="I81:R81">
    <cfRule type="expression" dxfId="4388" priority="4391">
      <formula>$I$81="Module 2"</formula>
    </cfRule>
  </conditionalFormatting>
  <conditionalFormatting sqref="I81:R81">
    <cfRule type="expression" dxfId="4387" priority="4390">
      <formula>$I$81="Module 3"</formula>
    </cfRule>
    <cfRule type="expression" dxfId="4386" priority="4388">
      <formula>$I$81="Type 1"</formula>
    </cfRule>
    <cfRule type="expression" dxfId="4385" priority="4386">
      <formula>$I$81="Type 3"</formula>
    </cfRule>
  </conditionalFormatting>
  <conditionalFormatting sqref="L81">
    <cfRule type="expression" dxfId="4384" priority="4385">
      <formula>$L$81="1"</formula>
    </cfRule>
  </conditionalFormatting>
  <conditionalFormatting sqref="L81">
    <cfRule type="expression" dxfId="4383" priority="4384">
      <formula>$L$81="2"</formula>
    </cfRule>
  </conditionalFormatting>
  <conditionalFormatting sqref="L81">
    <cfRule type="expression" dxfId="4382" priority="4383">
      <formula>$L$81="3"</formula>
    </cfRule>
  </conditionalFormatting>
  <conditionalFormatting sqref="L81">
    <cfRule type="expression" dxfId="4381" priority="4382">
      <formula>$L$81="4"</formula>
    </cfRule>
  </conditionalFormatting>
  <conditionalFormatting sqref="L81">
    <cfRule type="expression" dxfId="4380" priority="4381">
      <formula>$L$81="5"</formula>
    </cfRule>
  </conditionalFormatting>
  <conditionalFormatting sqref="I82:R82">
    <cfRule type="expression" dxfId="4379" priority="4380">
      <formula>$P$82="Not started"</formula>
    </cfRule>
    <cfRule type="expression" dxfId="4378" priority="4369">
      <formula>$I$82="or"</formula>
    </cfRule>
    <cfRule type="expression" dxfId="4377" priority="4367">
      <formula>$I$82="Type 2"</formula>
    </cfRule>
  </conditionalFormatting>
  <conditionalFormatting sqref="I82:R82">
    <cfRule type="expression" dxfId="4376" priority="4379">
      <formula>$P$82="In progress"</formula>
    </cfRule>
  </conditionalFormatting>
  <conditionalFormatting sqref="I82:R82">
    <cfRule type="expression" dxfId="4375" priority="4378">
      <formula>$P$82="Closed"</formula>
    </cfRule>
  </conditionalFormatting>
  <conditionalFormatting sqref="I82:R82">
    <cfRule type="expression" dxfId="4374" priority="4377">
      <formula>$P$82="Canceled"</formula>
    </cfRule>
  </conditionalFormatting>
  <conditionalFormatting sqref="I82:R82">
    <cfRule type="expression" dxfId="4373" priority="4376">
      <formula>$P$82="Suspended"</formula>
    </cfRule>
  </conditionalFormatting>
  <conditionalFormatting sqref="I82:R82">
    <cfRule type="expression" dxfId="4372" priority="4375">
      <formula>$P$82="Applied"</formula>
    </cfRule>
  </conditionalFormatting>
  <conditionalFormatting sqref="I82:R82">
    <cfRule type="expression" dxfId="4371" priority="4374">
      <formula>$P$82="N/A"</formula>
    </cfRule>
  </conditionalFormatting>
  <conditionalFormatting sqref="I82:R82">
    <cfRule type="expression" dxfId="4370" priority="4373">
      <formula>$P$82=""</formula>
    </cfRule>
  </conditionalFormatting>
  <conditionalFormatting sqref="I82:R82">
    <cfRule type="expression" dxfId="4369" priority="4372">
      <formula>$I$82="Module 1"</formula>
    </cfRule>
  </conditionalFormatting>
  <conditionalFormatting sqref="I82:R82">
    <cfRule type="expression" dxfId="4368" priority="4371">
      <formula>$I$82="Module 2"</formula>
    </cfRule>
  </conditionalFormatting>
  <conditionalFormatting sqref="I82:R82">
    <cfRule type="expression" dxfId="4367" priority="4370">
      <formula>$I$82="Module 3"</formula>
    </cfRule>
    <cfRule type="expression" dxfId="4366" priority="4368">
      <formula>$I$82="Type 1"</formula>
    </cfRule>
    <cfRule type="expression" dxfId="4365" priority="4366">
      <formula>$I$82="Type 3"</formula>
    </cfRule>
  </conditionalFormatting>
  <conditionalFormatting sqref="L82">
    <cfRule type="expression" dxfId="4364" priority="4365">
      <formula>$L$82="1"</formula>
    </cfRule>
  </conditionalFormatting>
  <conditionalFormatting sqref="L82">
    <cfRule type="expression" dxfId="4363" priority="4364">
      <formula>$L$82="2"</formula>
    </cfRule>
  </conditionalFormatting>
  <conditionalFormatting sqref="L82">
    <cfRule type="expression" dxfId="4362" priority="4363">
      <formula>$L$82="3"</formula>
    </cfRule>
  </conditionalFormatting>
  <conditionalFormatting sqref="L82">
    <cfRule type="expression" dxfId="4361" priority="4362">
      <formula>$L$82="4"</formula>
    </cfRule>
  </conditionalFormatting>
  <conditionalFormatting sqref="L82">
    <cfRule type="expression" dxfId="4360" priority="4361">
      <formula>$L$82="5"</formula>
    </cfRule>
  </conditionalFormatting>
  <conditionalFormatting sqref="I83:R83">
    <cfRule type="expression" dxfId="4359" priority="4360">
      <formula>$P$83="Not started"</formula>
    </cfRule>
    <cfRule type="expression" dxfId="4358" priority="4349">
      <formula>$I$83="or"</formula>
    </cfRule>
    <cfRule type="expression" dxfId="4357" priority="4347">
      <formula>$I$83="Type 2"</formula>
    </cfRule>
  </conditionalFormatting>
  <conditionalFormatting sqref="I83:R83">
    <cfRule type="expression" dxfId="4356" priority="4359">
      <formula>$P$83="In progress"</formula>
    </cfRule>
  </conditionalFormatting>
  <conditionalFormatting sqref="I83:R83">
    <cfRule type="expression" dxfId="4355" priority="4358">
      <formula>$P$83="Closed"</formula>
    </cfRule>
  </conditionalFormatting>
  <conditionalFormatting sqref="I83:R83">
    <cfRule type="expression" dxfId="4354" priority="4357">
      <formula>$P$83="Canceled"</formula>
    </cfRule>
  </conditionalFormatting>
  <conditionalFormatting sqref="I83:R83">
    <cfRule type="expression" dxfId="4353" priority="4356">
      <formula>$P$83="Suspended"</formula>
    </cfRule>
  </conditionalFormatting>
  <conditionalFormatting sqref="I83:R83">
    <cfRule type="expression" dxfId="4352" priority="4355">
      <formula>$P$83="Applied"</formula>
    </cfRule>
  </conditionalFormatting>
  <conditionalFormatting sqref="I83:R83">
    <cfRule type="expression" dxfId="4351" priority="4354">
      <formula>$P$83="N/A"</formula>
    </cfRule>
  </conditionalFormatting>
  <conditionalFormatting sqref="I83:R83">
    <cfRule type="expression" dxfId="4350" priority="4353">
      <formula>$P$83=""</formula>
    </cfRule>
  </conditionalFormatting>
  <conditionalFormatting sqref="I83:R83">
    <cfRule type="expression" dxfId="4349" priority="4352">
      <formula>$I$83="Module 1"</formula>
    </cfRule>
  </conditionalFormatting>
  <conditionalFormatting sqref="I83:R83">
    <cfRule type="expression" dxfId="4348" priority="4351">
      <formula>$I$83="Module 2"</formula>
    </cfRule>
  </conditionalFormatting>
  <conditionalFormatting sqref="I83:R83">
    <cfRule type="expression" dxfId="4347" priority="4350">
      <formula>$I$83="Module 3"</formula>
    </cfRule>
    <cfRule type="expression" dxfId="4346" priority="4348">
      <formula>$I$83="Type 1"</formula>
    </cfRule>
    <cfRule type="expression" dxfId="4345" priority="4346">
      <formula>$I$83="Type 3"</formula>
    </cfRule>
  </conditionalFormatting>
  <conditionalFormatting sqref="L83">
    <cfRule type="expression" dxfId="4344" priority="4345">
      <formula>$L$83="1"</formula>
    </cfRule>
  </conditionalFormatting>
  <conditionalFormatting sqref="L83">
    <cfRule type="expression" dxfId="4343" priority="4344">
      <formula>$L$83="2"</formula>
    </cfRule>
  </conditionalFormatting>
  <conditionalFormatting sqref="L83">
    <cfRule type="expression" dxfId="4342" priority="4343">
      <formula>$L$83="3"</formula>
    </cfRule>
  </conditionalFormatting>
  <conditionalFormatting sqref="L83">
    <cfRule type="expression" dxfId="4341" priority="4342">
      <formula>$L$83="4"</formula>
    </cfRule>
  </conditionalFormatting>
  <conditionalFormatting sqref="L83">
    <cfRule type="expression" dxfId="4340" priority="4341">
      <formula>$L$83="5"</formula>
    </cfRule>
  </conditionalFormatting>
  <conditionalFormatting sqref="I84:R84">
    <cfRule type="expression" dxfId="4339" priority="4340">
      <formula>$P$84="Not started"</formula>
    </cfRule>
    <cfRule type="expression" dxfId="4338" priority="4329">
      <formula>$I$84="or"</formula>
    </cfRule>
    <cfRule type="expression" dxfId="4337" priority="4327">
      <formula>$I$84="Type 2"</formula>
    </cfRule>
  </conditionalFormatting>
  <conditionalFormatting sqref="I84:R84">
    <cfRule type="expression" dxfId="4336" priority="4339">
      <formula>$P$84="In progress"</formula>
    </cfRule>
  </conditionalFormatting>
  <conditionalFormatting sqref="I84:R84">
    <cfRule type="expression" dxfId="4335" priority="4338">
      <formula>$P$84="Closed"</formula>
    </cfRule>
  </conditionalFormatting>
  <conditionalFormatting sqref="I84:R84">
    <cfRule type="expression" dxfId="4334" priority="4337">
      <formula>$P$84="Canceled"</formula>
    </cfRule>
  </conditionalFormatting>
  <conditionalFormatting sqref="I84:R84">
    <cfRule type="expression" dxfId="4333" priority="4336">
      <formula>$P$84="Suspended"</formula>
    </cfRule>
  </conditionalFormatting>
  <conditionalFormatting sqref="I84:R84">
    <cfRule type="expression" dxfId="4332" priority="4335">
      <formula>$P$84="Applied"</formula>
    </cfRule>
  </conditionalFormatting>
  <conditionalFormatting sqref="I84:R84">
    <cfRule type="expression" dxfId="4331" priority="4334">
      <formula>$P$84="N/A"</formula>
    </cfRule>
  </conditionalFormatting>
  <conditionalFormatting sqref="I84:R84">
    <cfRule type="expression" dxfId="4330" priority="4333">
      <formula>$P$84=""</formula>
    </cfRule>
  </conditionalFormatting>
  <conditionalFormatting sqref="I84:R84">
    <cfRule type="expression" dxfId="4329" priority="4332">
      <formula>$I$84="Module 1"</formula>
    </cfRule>
  </conditionalFormatting>
  <conditionalFormatting sqref="I84:R84">
    <cfRule type="expression" dxfId="4328" priority="4331">
      <formula>$I$84="Module 2"</formula>
    </cfRule>
  </conditionalFormatting>
  <conditionalFormatting sqref="I84:R84">
    <cfRule type="expression" dxfId="4327" priority="4330">
      <formula>$I$84="Module 3"</formula>
    </cfRule>
    <cfRule type="expression" dxfId="4326" priority="4328">
      <formula>$I$84="Type 1"</formula>
    </cfRule>
    <cfRule type="expression" dxfId="4325" priority="4326">
      <formula>$I$84="Type 3"</formula>
    </cfRule>
  </conditionalFormatting>
  <conditionalFormatting sqref="L84">
    <cfRule type="expression" dxfId="4324" priority="4325">
      <formula>$L$84="1"</formula>
    </cfRule>
  </conditionalFormatting>
  <conditionalFormatting sqref="L84">
    <cfRule type="expression" dxfId="4323" priority="4324">
      <formula>$L$84="2"</formula>
    </cfRule>
  </conditionalFormatting>
  <conditionalFormatting sqref="L84">
    <cfRule type="expression" dxfId="4322" priority="4323">
      <formula>$L$84="3"</formula>
    </cfRule>
  </conditionalFormatting>
  <conditionalFormatting sqref="L84">
    <cfRule type="expression" dxfId="4321" priority="4322">
      <formula>$L$84="4"</formula>
    </cfRule>
  </conditionalFormatting>
  <conditionalFormatting sqref="L84">
    <cfRule type="expression" dxfId="4320" priority="4321">
      <formula>$L$84="5"</formula>
    </cfRule>
  </conditionalFormatting>
  <conditionalFormatting sqref="I85:R85">
    <cfRule type="expression" dxfId="4319" priority="4320">
      <formula>$P$85="Not started"</formula>
    </cfRule>
    <cfRule type="expression" dxfId="4318" priority="4309">
      <formula>$I$85="or"</formula>
    </cfRule>
    <cfRule type="expression" dxfId="4317" priority="4307">
      <formula>$I$85="Type 2"</formula>
    </cfRule>
  </conditionalFormatting>
  <conditionalFormatting sqref="I85:R85">
    <cfRule type="expression" dxfId="4316" priority="4319">
      <formula>$P$85="In progress"</formula>
    </cfRule>
  </conditionalFormatting>
  <conditionalFormatting sqref="I85:R85">
    <cfRule type="expression" dxfId="4315" priority="4318">
      <formula>$P$85="Closed"</formula>
    </cfRule>
  </conditionalFormatting>
  <conditionalFormatting sqref="I85:R85">
    <cfRule type="expression" dxfId="4314" priority="4317">
      <formula>$P$85="Canceled"</formula>
    </cfRule>
  </conditionalFormatting>
  <conditionalFormatting sqref="I85:R85">
    <cfRule type="expression" dxfId="4313" priority="4316">
      <formula>$P$85="Suspended"</formula>
    </cfRule>
  </conditionalFormatting>
  <conditionalFormatting sqref="I85:R85">
    <cfRule type="expression" dxfId="4312" priority="4315">
      <formula>$P$85="Applied"</formula>
    </cfRule>
  </conditionalFormatting>
  <conditionalFormatting sqref="I85:R85">
    <cfRule type="expression" dxfId="4311" priority="4314">
      <formula>$P$85="N/A"</formula>
    </cfRule>
  </conditionalFormatting>
  <conditionalFormatting sqref="I85:R85">
    <cfRule type="expression" dxfId="4310" priority="4313">
      <formula>$P$85=""</formula>
    </cfRule>
  </conditionalFormatting>
  <conditionalFormatting sqref="I85:R85">
    <cfRule type="expression" dxfId="4309" priority="4312">
      <formula>$I$85="Module 1"</formula>
    </cfRule>
  </conditionalFormatting>
  <conditionalFormatting sqref="I85:R85">
    <cfRule type="expression" dxfId="4308" priority="4311">
      <formula>$I$85="Module 2"</formula>
    </cfRule>
  </conditionalFormatting>
  <conditionalFormatting sqref="I85:R85">
    <cfRule type="expression" dxfId="4307" priority="4310">
      <formula>$I$85="Module 3"</formula>
    </cfRule>
    <cfRule type="expression" dxfId="4306" priority="4308">
      <formula>$I$85="Type 1"</formula>
    </cfRule>
    <cfRule type="expression" dxfId="4305" priority="4306">
      <formula>$I$85="Type 3"</formula>
    </cfRule>
  </conditionalFormatting>
  <conditionalFormatting sqref="L85">
    <cfRule type="expression" dxfId="4304" priority="4305">
      <formula>$L$85="1"</formula>
    </cfRule>
  </conditionalFormatting>
  <conditionalFormatting sqref="L85">
    <cfRule type="expression" dxfId="4303" priority="4304">
      <formula>$L$85="2"</formula>
    </cfRule>
  </conditionalFormatting>
  <conditionalFormatting sqref="L85">
    <cfRule type="expression" dxfId="4302" priority="4303">
      <formula>$L$85="3"</formula>
    </cfRule>
  </conditionalFormatting>
  <conditionalFormatting sqref="L85">
    <cfRule type="expression" dxfId="4301" priority="4302">
      <formula>$L$85="4"</formula>
    </cfRule>
  </conditionalFormatting>
  <conditionalFormatting sqref="L85">
    <cfRule type="expression" dxfId="4300" priority="4301">
      <formula>$L$85="5"</formula>
    </cfRule>
  </conditionalFormatting>
  <conditionalFormatting sqref="I86:R86">
    <cfRule type="expression" dxfId="4299" priority="4300">
      <formula>$P$86="Not started"</formula>
    </cfRule>
    <cfRule type="expression" dxfId="4298" priority="4289">
      <formula>$I$86="or"</formula>
    </cfRule>
    <cfRule type="expression" dxfId="4297" priority="4287">
      <formula>$I$86="Type 2"</formula>
    </cfRule>
  </conditionalFormatting>
  <conditionalFormatting sqref="I86:R86">
    <cfRule type="expression" dxfId="4296" priority="4299">
      <formula>$P$86="In progress"</formula>
    </cfRule>
  </conditionalFormatting>
  <conditionalFormatting sqref="I86:R86">
    <cfRule type="expression" dxfId="4295" priority="4298">
      <formula>$P$86="Closed"</formula>
    </cfRule>
  </conditionalFormatting>
  <conditionalFormatting sqref="I86:R86">
    <cfRule type="expression" dxfId="4294" priority="4297">
      <formula>$P$86="Canceled"</formula>
    </cfRule>
  </conditionalFormatting>
  <conditionalFormatting sqref="I86:R86">
    <cfRule type="expression" dxfId="4293" priority="4296">
      <formula>$P$86="Suspended"</formula>
    </cfRule>
  </conditionalFormatting>
  <conditionalFormatting sqref="I86:R86">
    <cfRule type="expression" dxfId="4292" priority="4295">
      <formula>$P$86="Applied"</formula>
    </cfRule>
  </conditionalFormatting>
  <conditionalFormatting sqref="I86:R86">
    <cfRule type="expression" dxfId="4291" priority="4294">
      <formula>$P$86="N/A"</formula>
    </cfRule>
  </conditionalFormatting>
  <conditionalFormatting sqref="I86:R86">
    <cfRule type="expression" dxfId="4290" priority="4293">
      <formula>$P$86=""</formula>
    </cfRule>
  </conditionalFormatting>
  <conditionalFormatting sqref="I86:R86">
    <cfRule type="expression" dxfId="4289" priority="4292">
      <formula>$I$86="Module 1"</formula>
    </cfRule>
  </conditionalFormatting>
  <conditionalFormatting sqref="I86:R86">
    <cfRule type="expression" dxfId="4288" priority="4291">
      <formula>$I$86="Module 2"</formula>
    </cfRule>
  </conditionalFormatting>
  <conditionalFormatting sqref="I86:R86">
    <cfRule type="expression" dxfId="4287" priority="4290">
      <formula>$I$86="Module 3"</formula>
    </cfRule>
    <cfRule type="expression" dxfId="4286" priority="4288">
      <formula>$I$86="Type 1"</formula>
    </cfRule>
    <cfRule type="expression" dxfId="4285" priority="4286">
      <formula>$I$86="Type 3"</formula>
    </cfRule>
  </conditionalFormatting>
  <conditionalFormatting sqref="L86">
    <cfRule type="expression" dxfId="4284" priority="4285">
      <formula>$L$86="1"</formula>
    </cfRule>
  </conditionalFormatting>
  <conditionalFormatting sqref="L86">
    <cfRule type="expression" dxfId="4283" priority="4284">
      <formula>$L$86="2"</formula>
    </cfRule>
  </conditionalFormatting>
  <conditionalFormatting sqref="L86">
    <cfRule type="expression" dxfId="4282" priority="4283">
      <formula>$L$86="3"</formula>
    </cfRule>
  </conditionalFormatting>
  <conditionalFormatting sqref="L86">
    <cfRule type="expression" dxfId="4281" priority="4282">
      <formula>$L$86="4"</formula>
    </cfRule>
  </conditionalFormatting>
  <conditionalFormatting sqref="L86">
    <cfRule type="expression" dxfId="4280" priority="4281">
      <formula>$L$86="5"</formula>
    </cfRule>
  </conditionalFormatting>
  <conditionalFormatting sqref="I87:R87">
    <cfRule type="expression" dxfId="4279" priority="4280">
      <formula>$P$87="Not started"</formula>
    </cfRule>
    <cfRule type="expression" dxfId="4278" priority="4269">
      <formula>$I$87="or"</formula>
    </cfRule>
    <cfRule type="expression" dxfId="4277" priority="4267">
      <formula>$I$87="Type 2"</formula>
    </cfRule>
  </conditionalFormatting>
  <conditionalFormatting sqref="I87:R87">
    <cfRule type="expression" dxfId="4276" priority="4279">
      <formula>$P$87="In progress"</formula>
    </cfRule>
  </conditionalFormatting>
  <conditionalFormatting sqref="I87:R87">
    <cfRule type="expression" dxfId="4275" priority="4278">
      <formula>$P$87="Closed"</formula>
    </cfRule>
  </conditionalFormatting>
  <conditionalFormatting sqref="I87:R87">
    <cfRule type="expression" dxfId="4274" priority="4277">
      <formula>$P$87="Canceled"</formula>
    </cfRule>
  </conditionalFormatting>
  <conditionalFormatting sqref="I87:R87">
    <cfRule type="expression" dxfId="4273" priority="4276">
      <formula>$P$87="Suspended"</formula>
    </cfRule>
  </conditionalFormatting>
  <conditionalFormatting sqref="I87:R87">
    <cfRule type="expression" dxfId="4272" priority="4275">
      <formula>$P$87="Applied"</formula>
    </cfRule>
  </conditionalFormatting>
  <conditionalFormatting sqref="I87:R87">
    <cfRule type="expression" dxfId="4271" priority="4274">
      <formula>$P$87="N/A"</formula>
    </cfRule>
  </conditionalFormatting>
  <conditionalFormatting sqref="I87:R87">
    <cfRule type="expression" dxfId="4270" priority="4273">
      <formula>$P$87=""</formula>
    </cfRule>
  </conditionalFormatting>
  <conditionalFormatting sqref="I87:R87">
    <cfRule type="expression" dxfId="4269" priority="4272">
      <formula>$I$87="Module 1"</formula>
    </cfRule>
  </conditionalFormatting>
  <conditionalFormatting sqref="I87:R87">
    <cfRule type="expression" dxfId="4268" priority="4271">
      <formula>$I$87="Module 2"</formula>
    </cfRule>
  </conditionalFormatting>
  <conditionalFormatting sqref="I87:R87">
    <cfRule type="expression" dxfId="4267" priority="4270">
      <formula>$I$87="Module 3"</formula>
    </cfRule>
    <cfRule type="expression" dxfId="4266" priority="4268">
      <formula>$I$87="Type 1"</formula>
    </cfRule>
    <cfRule type="expression" dxfId="4265" priority="4266">
      <formula>$I$87="Type 3"</formula>
    </cfRule>
  </conditionalFormatting>
  <conditionalFormatting sqref="L87">
    <cfRule type="expression" dxfId="4264" priority="4265">
      <formula>$L$87="1"</formula>
    </cfRule>
  </conditionalFormatting>
  <conditionalFormatting sqref="L87">
    <cfRule type="expression" dxfId="4263" priority="4264">
      <formula>$L$87="2"</formula>
    </cfRule>
  </conditionalFormatting>
  <conditionalFormatting sqref="L87">
    <cfRule type="expression" dxfId="4262" priority="4263">
      <formula>$L$87="3"</formula>
    </cfRule>
  </conditionalFormatting>
  <conditionalFormatting sqref="L87">
    <cfRule type="expression" dxfId="4261" priority="4262">
      <formula>$L$87="4"</formula>
    </cfRule>
  </conditionalFormatting>
  <conditionalFormatting sqref="L87">
    <cfRule type="expression" dxfId="4260" priority="4261">
      <formula>$L$87="5"</formula>
    </cfRule>
  </conditionalFormatting>
  <conditionalFormatting sqref="I88:R88">
    <cfRule type="expression" dxfId="4259" priority="4260">
      <formula>$P$88="Not started"</formula>
    </cfRule>
  </conditionalFormatting>
  <conditionalFormatting sqref="I88:R88">
    <cfRule type="expression" dxfId="4258" priority="4259">
      <formula>$P$88="In progress"</formula>
    </cfRule>
  </conditionalFormatting>
  <conditionalFormatting sqref="I88:R88">
    <cfRule type="expression" dxfId="4257" priority="4258">
      <formula>$P$88="Closed"</formula>
    </cfRule>
  </conditionalFormatting>
  <conditionalFormatting sqref="I88:R88">
    <cfRule type="expression" dxfId="4256" priority="4257">
      <formula>$P$88="Canceled"</formula>
    </cfRule>
  </conditionalFormatting>
  <conditionalFormatting sqref="I88:R88">
    <cfRule type="expression" dxfId="4255" priority="4256">
      <formula>$P$88="Suspended"</formula>
    </cfRule>
  </conditionalFormatting>
  <conditionalFormatting sqref="I88:R88">
    <cfRule type="expression" dxfId="4254" priority="4255">
      <formula>$P$88="Applied"</formula>
    </cfRule>
  </conditionalFormatting>
  <conditionalFormatting sqref="I88:R88">
    <cfRule type="expression" dxfId="4253" priority="4254">
      <formula>$P$88="N/A"</formula>
    </cfRule>
  </conditionalFormatting>
  <conditionalFormatting sqref="I88:R88">
    <cfRule type="expression" dxfId="4252" priority="4253">
      <formula>$P$88=""</formula>
    </cfRule>
  </conditionalFormatting>
  <conditionalFormatting sqref="I88:R88">
    <cfRule type="expression" dxfId="4251" priority="4252">
      <formula>$I$88="Module 1"</formula>
    </cfRule>
  </conditionalFormatting>
  <conditionalFormatting sqref="I88:R88">
    <cfRule type="expression" dxfId="4250" priority="4251">
      <formula>$I$88="Module 2"</formula>
    </cfRule>
  </conditionalFormatting>
  <conditionalFormatting sqref="I88:R88">
    <cfRule type="expression" dxfId="4249" priority="4250">
      <formula>$I$88="Module 3"</formula>
    </cfRule>
  </conditionalFormatting>
  <conditionalFormatting sqref="I88:R88">
    <cfRule type="expression" dxfId="4248" priority="4249">
      <formula>$I$88="or"</formula>
    </cfRule>
  </conditionalFormatting>
  <conditionalFormatting sqref="I88:R88">
    <cfRule type="expression" dxfId="4247" priority="4248">
      <formula>$I$88="Type 1"</formula>
    </cfRule>
  </conditionalFormatting>
  <conditionalFormatting sqref="I88:R88">
    <cfRule type="expression" dxfId="4246" priority="4247">
      <formula>$I$88="Type 2"</formula>
    </cfRule>
  </conditionalFormatting>
  <conditionalFormatting sqref="I88:R88">
    <cfRule type="expression" dxfId="4245" priority="4246">
      <formula>$I$88="Type 3"</formula>
    </cfRule>
  </conditionalFormatting>
  <conditionalFormatting sqref="L88">
    <cfRule type="expression" dxfId="4244" priority="4245">
      <formula>$L$88="1"</formula>
    </cfRule>
  </conditionalFormatting>
  <conditionalFormatting sqref="L88">
    <cfRule type="expression" dxfId="4243" priority="4244">
      <formula>$L$88="2"</formula>
    </cfRule>
  </conditionalFormatting>
  <conditionalFormatting sqref="L88">
    <cfRule type="expression" dxfId="4242" priority="4243">
      <formula>$L$88="3"</formula>
    </cfRule>
  </conditionalFormatting>
  <conditionalFormatting sqref="L88">
    <cfRule type="expression" dxfId="4241" priority="4242">
      <formula>$L$88="4"</formula>
    </cfRule>
  </conditionalFormatting>
  <conditionalFormatting sqref="L88">
    <cfRule type="expression" dxfId="4240" priority="4241">
      <formula>$L$88="5"</formula>
    </cfRule>
  </conditionalFormatting>
  <conditionalFormatting sqref="I89:R89">
    <cfRule type="expression" dxfId="4239" priority="4240">
      <formula>$P$89="Not started"</formula>
    </cfRule>
    <cfRule type="expression" dxfId="4238" priority="4229">
      <formula>$I$89="or"</formula>
    </cfRule>
    <cfRule type="expression" dxfId="4237" priority="4227">
      <formula>$I$89="Type 2"</formula>
    </cfRule>
  </conditionalFormatting>
  <conditionalFormatting sqref="I89:R89">
    <cfRule type="expression" dxfId="4236" priority="4239">
      <formula>$P$89="In progress"</formula>
    </cfRule>
  </conditionalFormatting>
  <conditionalFormatting sqref="I89:R89">
    <cfRule type="expression" dxfId="4235" priority="4238">
      <formula>$P$89="Closed"</formula>
    </cfRule>
  </conditionalFormatting>
  <conditionalFormatting sqref="I89:R89">
    <cfRule type="expression" dxfId="4234" priority="4237">
      <formula>$P$89="Canceled"</formula>
    </cfRule>
  </conditionalFormatting>
  <conditionalFormatting sqref="I89:R89">
    <cfRule type="expression" dxfId="4233" priority="4236">
      <formula>$P$89="Suspended"</formula>
    </cfRule>
  </conditionalFormatting>
  <conditionalFormatting sqref="I89:R89">
    <cfRule type="expression" dxfId="4232" priority="4235">
      <formula>$P$89="Applied"</formula>
    </cfRule>
  </conditionalFormatting>
  <conditionalFormatting sqref="I89:R89">
    <cfRule type="expression" dxfId="4231" priority="4234">
      <formula>$P$89="N/A"</formula>
    </cfRule>
  </conditionalFormatting>
  <conditionalFormatting sqref="I89:R89">
    <cfRule type="expression" dxfId="4230" priority="4233">
      <formula>$P$89=""</formula>
    </cfRule>
  </conditionalFormatting>
  <conditionalFormatting sqref="I89:R89">
    <cfRule type="expression" dxfId="4229" priority="4232">
      <formula>$I$89="Module 1"</formula>
    </cfRule>
  </conditionalFormatting>
  <conditionalFormatting sqref="I89:R89">
    <cfRule type="expression" dxfId="4228" priority="4231">
      <formula>$I$89="Module 2"</formula>
    </cfRule>
  </conditionalFormatting>
  <conditionalFormatting sqref="I89:R89">
    <cfRule type="expression" dxfId="4227" priority="4230">
      <formula>$I$89="Module 3"</formula>
    </cfRule>
    <cfRule type="expression" dxfId="4226" priority="4228">
      <formula>$I$89="Type 1"</formula>
    </cfRule>
    <cfRule type="expression" dxfId="4225" priority="4226">
      <formula>$I$89="Type 3"</formula>
    </cfRule>
  </conditionalFormatting>
  <conditionalFormatting sqref="L89">
    <cfRule type="expression" dxfId="4224" priority="4225">
      <formula>$L$89="1"</formula>
    </cfRule>
  </conditionalFormatting>
  <conditionalFormatting sqref="L89">
    <cfRule type="expression" dxfId="4223" priority="4224">
      <formula>$L$89="2"</formula>
    </cfRule>
  </conditionalFormatting>
  <conditionalFormatting sqref="L89">
    <cfRule type="expression" dxfId="4222" priority="4223">
      <formula>$L$89="3"</formula>
    </cfRule>
  </conditionalFormatting>
  <conditionalFormatting sqref="L89">
    <cfRule type="expression" dxfId="4221" priority="4222">
      <formula>$L$89="4"</formula>
    </cfRule>
  </conditionalFormatting>
  <conditionalFormatting sqref="L89">
    <cfRule type="expression" dxfId="4220" priority="4221">
      <formula>$L$89="5"</formula>
    </cfRule>
  </conditionalFormatting>
  <conditionalFormatting sqref="I90:R90">
    <cfRule type="expression" dxfId="4219" priority="4220">
      <formula>$P$90="Not started"</formula>
    </cfRule>
    <cfRule type="expression" dxfId="4218" priority="4209">
      <formula>$I$90="or"</formula>
    </cfRule>
    <cfRule type="expression" dxfId="4217" priority="4207">
      <formula>$I$90="Type 2"</formula>
    </cfRule>
  </conditionalFormatting>
  <conditionalFormatting sqref="I90:R90">
    <cfRule type="expression" dxfId="4216" priority="4219">
      <formula>$P$90="In progress"</formula>
    </cfRule>
  </conditionalFormatting>
  <conditionalFormatting sqref="I90:R90">
    <cfRule type="expression" dxfId="4215" priority="4218">
      <formula>$P$90="Closed"</formula>
    </cfRule>
  </conditionalFormatting>
  <conditionalFormatting sqref="I90:R90">
    <cfRule type="expression" dxfId="4214" priority="4217">
      <formula>$P$90="Canceled"</formula>
    </cfRule>
  </conditionalFormatting>
  <conditionalFormatting sqref="I90:R90">
    <cfRule type="expression" dxfId="4213" priority="4216">
      <formula>$P$90="Suspended"</formula>
    </cfRule>
  </conditionalFormatting>
  <conditionalFormatting sqref="I90:R90">
    <cfRule type="expression" dxfId="4212" priority="4215">
      <formula>$P$90="Applied"</formula>
    </cfRule>
  </conditionalFormatting>
  <conditionalFormatting sqref="I90:R90">
    <cfRule type="expression" dxfId="4211" priority="4214">
      <formula>$P$90="N/A"</formula>
    </cfRule>
  </conditionalFormatting>
  <conditionalFormatting sqref="I90:R90">
    <cfRule type="expression" dxfId="4210" priority="4213">
      <formula>$P$90=""</formula>
    </cfRule>
  </conditionalFormatting>
  <conditionalFormatting sqref="I90:R90">
    <cfRule type="expression" dxfId="4209" priority="4212">
      <formula>$I$90="Module 1"</formula>
    </cfRule>
  </conditionalFormatting>
  <conditionalFormatting sqref="I90:R90">
    <cfRule type="expression" dxfId="4208" priority="4211">
      <formula>$I$90="Module 2"</formula>
    </cfRule>
  </conditionalFormatting>
  <conditionalFormatting sqref="I90:R90">
    <cfRule type="expression" dxfId="4207" priority="4210">
      <formula>$I$90="Module 3"</formula>
    </cfRule>
    <cfRule type="expression" dxfId="4206" priority="4208">
      <formula>$I$90="Type 1"</formula>
    </cfRule>
    <cfRule type="expression" dxfId="4205" priority="4206">
      <formula>$I$90="Type 3"</formula>
    </cfRule>
  </conditionalFormatting>
  <conditionalFormatting sqref="L90">
    <cfRule type="expression" dxfId="4204" priority="4205">
      <formula>$L$90="1"</formula>
    </cfRule>
  </conditionalFormatting>
  <conditionalFormatting sqref="L90">
    <cfRule type="expression" dxfId="4203" priority="4204">
      <formula>$L$90="2"</formula>
    </cfRule>
  </conditionalFormatting>
  <conditionalFormatting sqref="L90">
    <cfRule type="expression" dxfId="4202" priority="4203">
      <formula>$L$90="3"</formula>
    </cfRule>
  </conditionalFormatting>
  <conditionalFormatting sqref="L90">
    <cfRule type="expression" dxfId="4201" priority="4202">
      <formula>$L$90="4"</formula>
    </cfRule>
  </conditionalFormatting>
  <conditionalFormatting sqref="L90">
    <cfRule type="expression" dxfId="4200" priority="4201">
      <formula>$L$90="5"</formula>
    </cfRule>
  </conditionalFormatting>
  <conditionalFormatting sqref="I91:R91">
    <cfRule type="expression" dxfId="4199" priority="4200">
      <formula>$P$91="Not started"</formula>
    </cfRule>
    <cfRule type="expression" dxfId="4198" priority="4189">
      <formula>$I$91="or"</formula>
    </cfRule>
    <cfRule type="expression" dxfId="4197" priority="4187">
      <formula>$I$91="Type 2"</formula>
    </cfRule>
  </conditionalFormatting>
  <conditionalFormatting sqref="I91:R91">
    <cfRule type="expression" dxfId="4196" priority="4199">
      <formula>$P$91="In progress"</formula>
    </cfRule>
  </conditionalFormatting>
  <conditionalFormatting sqref="I91:R91">
    <cfRule type="expression" dxfId="4195" priority="4198">
      <formula>$P$91="Closed"</formula>
    </cfRule>
  </conditionalFormatting>
  <conditionalFormatting sqref="I91:R91">
    <cfRule type="expression" dxfId="4194" priority="4197">
      <formula>$P$91="Canceled"</formula>
    </cfRule>
  </conditionalFormatting>
  <conditionalFormatting sqref="I91:R91">
    <cfRule type="expression" dxfId="4193" priority="4196">
      <formula>$P$91="Suspended"</formula>
    </cfRule>
  </conditionalFormatting>
  <conditionalFormatting sqref="I91:R91">
    <cfRule type="expression" dxfId="4192" priority="4195">
      <formula>$P$91="Applied"</formula>
    </cfRule>
  </conditionalFormatting>
  <conditionalFormatting sqref="I91:R91">
    <cfRule type="expression" dxfId="4191" priority="4194">
      <formula>$P$91="N/A"</formula>
    </cfRule>
  </conditionalFormatting>
  <conditionalFormatting sqref="I91:R91">
    <cfRule type="expression" dxfId="4190" priority="4193">
      <formula>$P$91=""</formula>
    </cfRule>
  </conditionalFormatting>
  <conditionalFormatting sqref="I91:R91">
    <cfRule type="expression" dxfId="4189" priority="4192">
      <formula>$I$91="Module 1"</formula>
    </cfRule>
  </conditionalFormatting>
  <conditionalFormatting sqref="I91:R91">
    <cfRule type="expression" dxfId="4188" priority="4191">
      <formula>$I$91="Module 2"</formula>
    </cfRule>
  </conditionalFormatting>
  <conditionalFormatting sqref="I91:R91">
    <cfRule type="expression" dxfId="4187" priority="4190">
      <formula>$I$91="Module 3"</formula>
    </cfRule>
    <cfRule type="expression" dxfId="4186" priority="4188">
      <formula>$I$91="Type 1"</formula>
    </cfRule>
    <cfRule type="expression" dxfId="4185" priority="4186">
      <formula>$I$91="Type 3"</formula>
    </cfRule>
  </conditionalFormatting>
  <conditionalFormatting sqref="L91">
    <cfRule type="expression" dxfId="4184" priority="4185">
      <formula>$L$91="1"</formula>
    </cfRule>
  </conditionalFormatting>
  <conditionalFormatting sqref="L91">
    <cfRule type="expression" dxfId="4183" priority="4184">
      <formula>$L$91="2"</formula>
    </cfRule>
  </conditionalFormatting>
  <conditionalFormatting sqref="L91">
    <cfRule type="expression" dxfId="4182" priority="4183">
      <formula>$L$91="3"</formula>
    </cfRule>
  </conditionalFormatting>
  <conditionalFormatting sqref="L91">
    <cfRule type="expression" dxfId="4181" priority="4182">
      <formula>$L$91="4"</formula>
    </cfRule>
  </conditionalFormatting>
  <conditionalFormatting sqref="L91">
    <cfRule type="expression" dxfId="4180" priority="4181">
      <formula>$L$91="5"</formula>
    </cfRule>
  </conditionalFormatting>
  <conditionalFormatting sqref="I92:R92">
    <cfRule type="expression" dxfId="4179" priority="4180">
      <formula>$P$92="Not started"</formula>
    </cfRule>
    <cfRule type="expression" dxfId="4178" priority="4169">
      <formula>$I$92="or"</formula>
    </cfRule>
    <cfRule type="expression" dxfId="4177" priority="4167">
      <formula>$I$92="Type 2"</formula>
    </cfRule>
  </conditionalFormatting>
  <conditionalFormatting sqref="I92:R92">
    <cfRule type="expression" dxfId="4176" priority="4179">
      <formula>$P$92="In progress"</formula>
    </cfRule>
  </conditionalFormatting>
  <conditionalFormatting sqref="I92:R92">
    <cfRule type="expression" dxfId="4175" priority="4178">
      <formula>$P$92="Closed"</formula>
    </cfRule>
  </conditionalFormatting>
  <conditionalFormatting sqref="I92:R92">
    <cfRule type="expression" dxfId="4174" priority="4177">
      <formula>$P$92="Canceled"</formula>
    </cfRule>
  </conditionalFormatting>
  <conditionalFormatting sqref="I92:R92">
    <cfRule type="expression" dxfId="4173" priority="4176">
      <formula>$P$92="Suspended"</formula>
    </cfRule>
  </conditionalFormatting>
  <conditionalFormatting sqref="I92:R92">
    <cfRule type="expression" dxfId="4172" priority="4175">
      <formula>$P$92="Applied"</formula>
    </cfRule>
  </conditionalFormatting>
  <conditionalFormatting sqref="I92:R92">
    <cfRule type="expression" dxfId="4171" priority="4174">
      <formula>$P$92="N/A"</formula>
    </cfRule>
  </conditionalFormatting>
  <conditionalFormatting sqref="I92:R92">
    <cfRule type="expression" dxfId="4170" priority="4173">
      <formula>$P$92=""</formula>
    </cfRule>
  </conditionalFormatting>
  <conditionalFormatting sqref="I92:R92">
    <cfRule type="expression" dxfId="4169" priority="4172">
      <formula>$I$92="Module 1"</formula>
    </cfRule>
  </conditionalFormatting>
  <conditionalFormatting sqref="I92:R92">
    <cfRule type="expression" dxfId="4168" priority="4171">
      <formula>$I$92="Module 2"</formula>
    </cfRule>
  </conditionalFormatting>
  <conditionalFormatting sqref="I92:R92">
    <cfRule type="expression" dxfId="4167" priority="4170">
      <formula>$I$92="Module 3"</formula>
    </cfRule>
    <cfRule type="expression" dxfId="4166" priority="4168">
      <formula>$I$92="Type 1"</formula>
    </cfRule>
    <cfRule type="expression" dxfId="4165" priority="4166">
      <formula>$I$92="Type 3"</formula>
    </cfRule>
  </conditionalFormatting>
  <conditionalFormatting sqref="L92">
    <cfRule type="expression" dxfId="4164" priority="4165">
      <formula>$L$92="1"</formula>
    </cfRule>
  </conditionalFormatting>
  <conditionalFormatting sqref="L92">
    <cfRule type="expression" dxfId="4163" priority="4164">
      <formula>$L$92="2"</formula>
    </cfRule>
  </conditionalFormatting>
  <conditionalFormatting sqref="L92">
    <cfRule type="expression" dxfId="4162" priority="4163">
      <formula>$L$92="3"</formula>
    </cfRule>
  </conditionalFormatting>
  <conditionalFormatting sqref="L92">
    <cfRule type="expression" dxfId="4161" priority="4162">
      <formula>$L$92="4"</formula>
    </cfRule>
  </conditionalFormatting>
  <conditionalFormatting sqref="L92">
    <cfRule type="expression" dxfId="4160" priority="4161">
      <formula>$L$92="5"</formula>
    </cfRule>
  </conditionalFormatting>
  <conditionalFormatting sqref="I93:R93">
    <cfRule type="expression" dxfId="4159" priority="4160">
      <formula>$P$93="Not started"</formula>
    </cfRule>
    <cfRule type="expression" dxfId="4158" priority="4149">
      <formula>$I$93="or"</formula>
    </cfRule>
    <cfRule type="expression" dxfId="4157" priority="4147">
      <formula>$I$93="Type 2"</formula>
    </cfRule>
  </conditionalFormatting>
  <conditionalFormatting sqref="I93:R93">
    <cfRule type="expression" dxfId="4156" priority="4159">
      <formula>$P$93="In progress"</formula>
    </cfRule>
  </conditionalFormatting>
  <conditionalFormatting sqref="I93:R93">
    <cfRule type="expression" dxfId="4155" priority="4158">
      <formula>$P$93="Closed"</formula>
    </cfRule>
  </conditionalFormatting>
  <conditionalFormatting sqref="I93:R93">
    <cfRule type="expression" dxfId="4154" priority="4157">
      <formula>$P$93="Canceled"</formula>
    </cfRule>
  </conditionalFormatting>
  <conditionalFormatting sqref="I93:R93">
    <cfRule type="expression" dxfId="4153" priority="4156">
      <formula>$P$93="Suspended"</formula>
    </cfRule>
  </conditionalFormatting>
  <conditionalFormatting sqref="I93:R93">
    <cfRule type="expression" dxfId="4152" priority="4155">
      <formula>$P$93="Applied"</formula>
    </cfRule>
  </conditionalFormatting>
  <conditionalFormatting sqref="I93:R93">
    <cfRule type="expression" dxfId="4151" priority="4154">
      <formula>$P$93="N/A"</formula>
    </cfRule>
  </conditionalFormatting>
  <conditionalFormatting sqref="I93:R93">
    <cfRule type="expression" dxfId="4150" priority="4153">
      <formula>$P$93=""</formula>
    </cfRule>
  </conditionalFormatting>
  <conditionalFormatting sqref="I93:R93">
    <cfRule type="expression" dxfId="4149" priority="4152">
      <formula>$I$93="Module 1"</formula>
    </cfRule>
  </conditionalFormatting>
  <conditionalFormatting sqref="I93:R93">
    <cfRule type="expression" dxfId="4148" priority="4151">
      <formula>$I$93="Module 2"</formula>
    </cfRule>
  </conditionalFormatting>
  <conditionalFormatting sqref="I93:R93">
    <cfRule type="expression" dxfId="4147" priority="4150">
      <formula>$I$93="Module 3"</formula>
    </cfRule>
    <cfRule type="expression" dxfId="4146" priority="4148">
      <formula>$I$93="Type 1"</formula>
    </cfRule>
    <cfRule type="expression" dxfId="4145" priority="4146">
      <formula>$I$93="Type 3"</formula>
    </cfRule>
  </conditionalFormatting>
  <conditionalFormatting sqref="L93">
    <cfRule type="expression" dxfId="4144" priority="4145">
      <formula>$L$93="1"</formula>
    </cfRule>
  </conditionalFormatting>
  <conditionalFormatting sqref="L93">
    <cfRule type="expression" dxfId="4143" priority="4144">
      <formula>$L$93="2"</formula>
    </cfRule>
  </conditionalFormatting>
  <conditionalFormatting sqref="L93">
    <cfRule type="expression" dxfId="4142" priority="4143">
      <formula>$L$93="3"</formula>
    </cfRule>
  </conditionalFormatting>
  <conditionalFormatting sqref="L93">
    <cfRule type="expression" dxfId="4141" priority="4142">
      <formula>$L$93="4"</formula>
    </cfRule>
  </conditionalFormatting>
  <conditionalFormatting sqref="L93">
    <cfRule type="expression" dxfId="4140" priority="4141">
      <formula>$L$93="5"</formula>
    </cfRule>
  </conditionalFormatting>
  <conditionalFormatting sqref="I94:R94">
    <cfRule type="expression" dxfId="4139" priority="4140">
      <formula>$P$94="Not started"</formula>
    </cfRule>
    <cfRule type="expression" dxfId="4138" priority="4129">
      <formula>$I$94="or"</formula>
    </cfRule>
    <cfRule type="expression" dxfId="4137" priority="4127">
      <formula>$I$94="Type 2"</formula>
    </cfRule>
  </conditionalFormatting>
  <conditionalFormatting sqref="I94:R94">
    <cfRule type="expression" dxfId="4136" priority="4139">
      <formula>$P$94="In progress"</formula>
    </cfRule>
  </conditionalFormatting>
  <conditionalFormatting sqref="I94:R94">
    <cfRule type="expression" dxfId="4135" priority="4138">
      <formula>$P$94="Closed"</formula>
    </cfRule>
  </conditionalFormatting>
  <conditionalFormatting sqref="I94:R94">
    <cfRule type="expression" dxfId="4134" priority="4137">
      <formula>$P$94="Canceled"</formula>
    </cfRule>
  </conditionalFormatting>
  <conditionalFormatting sqref="I94:R94">
    <cfRule type="expression" dxfId="4133" priority="4136">
      <formula>$P$94="Suspended"</formula>
    </cfRule>
  </conditionalFormatting>
  <conditionalFormatting sqref="I94:R94">
    <cfRule type="expression" dxfId="4132" priority="4135">
      <formula>$P$94="Applied"</formula>
    </cfRule>
  </conditionalFormatting>
  <conditionalFormatting sqref="I94:R94">
    <cfRule type="expression" dxfId="4131" priority="4134">
      <formula>$P$94="N/A"</formula>
    </cfRule>
  </conditionalFormatting>
  <conditionalFormatting sqref="I94:R94">
    <cfRule type="expression" dxfId="4130" priority="4133">
      <formula>$P$94=""</formula>
    </cfRule>
  </conditionalFormatting>
  <conditionalFormatting sqref="I94:R94">
    <cfRule type="expression" dxfId="4129" priority="4132">
      <formula>$I$94="Module 1"</formula>
    </cfRule>
  </conditionalFormatting>
  <conditionalFormatting sqref="I94:R94">
    <cfRule type="expression" dxfId="4128" priority="4131">
      <formula>$I$94="Module 2"</formula>
    </cfRule>
  </conditionalFormatting>
  <conditionalFormatting sqref="I94:R94">
    <cfRule type="expression" dxfId="4127" priority="4130">
      <formula>$I$94="Module 3"</formula>
    </cfRule>
    <cfRule type="expression" dxfId="4126" priority="4128">
      <formula>$I$94="Type 1"</formula>
    </cfRule>
    <cfRule type="expression" dxfId="4125" priority="4126">
      <formula>$I$94="Type 3"</formula>
    </cfRule>
  </conditionalFormatting>
  <conditionalFormatting sqref="L94">
    <cfRule type="expression" dxfId="4124" priority="4125">
      <formula>$L$94="1"</formula>
    </cfRule>
  </conditionalFormatting>
  <conditionalFormatting sqref="L94">
    <cfRule type="expression" dxfId="4123" priority="4124">
      <formula>$L$94="2"</formula>
    </cfRule>
  </conditionalFormatting>
  <conditionalFormatting sqref="L94">
    <cfRule type="expression" dxfId="4122" priority="4123">
      <formula>$L$94="3"</formula>
    </cfRule>
  </conditionalFormatting>
  <conditionalFormatting sqref="L94">
    <cfRule type="expression" dxfId="4121" priority="4122">
      <formula>$L$94="4"</formula>
    </cfRule>
  </conditionalFormatting>
  <conditionalFormatting sqref="L94">
    <cfRule type="expression" dxfId="4120" priority="4121">
      <formula>$L$94="5"</formula>
    </cfRule>
  </conditionalFormatting>
  <conditionalFormatting sqref="I95:R95">
    <cfRule type="expression" dxfId="4119" priority="4120">
      <formula>$P$95="Not started"</formula>
    </cfRule>
    <cfRule type="expression" dxfId="4118" priority="4109">
      <formula>$I$95="or"</formula>
    </cfRule>
    <cfRule type="expression" dxfId="4117" priority="4107">
      <formula>$I$95="Type 2"</formula>
    </cfRule>
  </conditionalFormatting>
  <conditionalFormatting sqref="I95:R95">
    <cfRule type="expression" dxfId="4116" priority="4119">
      <formula>$P$95="In progress"</formula>
    </cfRule>
  </conditionalFormatting>
  <conditionalFormatting sqref="I95:R95">
    <cfRule type="expression" dxfId="4115" priority="4118">
      <formula>$P$95="Closed"</formula>
    </cfRule>
  </conditionalFormatting>
  <conditionalFormatting sqref="I95:R95">
    <cfRule type="expression" dxfId="4114" priority="4117">
      <formula>$P$95="Canceled"</formula>
    </cfRule>
  </conditionalFormatting>
  <conditionalFormatting sqref="I95:R95">
    <cfRule type="expression" dxfId="4113" priority="4116">
      <formula>$P$95="Suspended"</formula>
    </cfRule>
  </conditionalFormatting>
  <conditionalFormatting sqref="I95:R95">
    <cfRule type="expression" dxfId="4112" priority="4115">
      <formula>$P$95="Applied"</formula>
    </cfRule>
  </conditionalFormatting>
  <conditionalFormatting sqref="I95:R95">
    <cfRule type="expression" dxfId="4111" priority="4114">
      <formula>$P$95="N/A"</formula>
    </cfRule>
  </conditionalFormatting>
  <conditionalFormatting sqref="I95:R95">
    <cfRule type="expression" dxfId="4110" priority="4113">
      <formula>$P$95=""</formula>
    </cfRule>
  </conditionalFormatting>
  <conditionalFormatting sqref="I95:R95">
    <cfRule type="expression" dxfId="4109" priority="4112">
      <formula>$I$95="Module 1"</formula>
    </cfRule>
  </conditionalFormatting>
  <conditionalFormatting sqref="I95:R95">
    <cfRule type="expression" dxfId="4108" priority="4111">
      <formula>$I$95="Module 2"</formula>
    </cfRule>
  </conditionalFormatting>
  <conditionalFormatting sqref="I95:R95">
    <cfRule type="expression" dxfId="4107" priority="4110">
      <formula>$I$95="Module 3"</formula>
    </cfRule>
    <cfRule type="expression" dxfId="4106" priority="4108">
      <formula>$I$95="Type 1"</formula>
    </cfRule>
    <cfRule type="expression" dxfId="4105" priority="4106">
      <formula>$I$95="Type 3"</formula>
    </cfRule>
  </conditionalFormatting>
  <conditionalFormatting sqref="L95">
    <cfRule type="expression" dxfId="4104" priority="4105">
      <formula>$L$95="1"</formula>
    </cfRule>
  </conditionalFormatting>
  <conditionalFormatting sqref="L95">
    <cfRule type="expression" dxfId="4103" priority="4104">
      <formula>$L$95="2"</formula>
    </cfRule>
  </conditionalFormatting>
  <conditionalFormatting sqref="L95">
    <cfRule type="expression" dxfId="4102" priority="4103">
      <formula>$L$95="3"</formula>
    </cfRule>
  </conditionalFormatting>
  <conditionalFormatting sqref="L95">
    <cfRule type="expression" dxfId="4101" priority="4102">
      <formula>$L$95="4"</formula>
    </cfRule>
  </conditionalFormatting>
  <conditionalFormatting sqref="L95">
    <cfRule type="expression" dxfId="4100" priority="4101">
      <formula>$L$95="5"</formula>
    </cfRule>
  </conditionalFormatting>
  <conditionalFormatting sqref="I96:R96">
    <cfRule type="expression" dxfId="4099" priority="4100">
      <formula>$P$96="Not started"</formula>
    </cfRule>
    <cfRule type="expression" dxfId="4098" priority="4089">
      <formula>$I$96="or"</formula>
    </cfRule>
    <cfRule type="expression" dxfId="4097" priority="4087">
      <formula>$I$96="Type 2"</formula>
    </cfRule>
  </conditionalFormatting>
  <conditionalFormatting sqref="I96:R96">
    <cfRule type="expression" dxfId="4096" priority="4099">
      <formula>$P$96="In progress"</formula>
    </cfRule>
  </conditionalFormatting>
  <conditionalFormatting sqref="I96:R96">
    <cfRule type="expression" dxfId="4095" priority="4098">
      <formula>$P$96="Closed"</formula>
    </cfRule>
  </conditionalFormatting>
  <conditionalFormatting sqref="I96:R96">
    <cfRule type="expression" dxfId="4094" priority="4097">
      <formula>$P$96="Canceled"</formula>
    </cfRule>
  </conditionalFormatting>
  <conditionalFormatting sqref="I96:R96">
    <cfRule type="expression" dxfId="4093" priority="4096">
      <formula>$P$96="Suspended"</formula>
    </cfRule>
  </conditionalFormatting>
  <conditionalFormatting sqref="I96:R96">
    <cfRule type="expression" dxfId="4092" priority="4095">
      <formula>$P$96="Applied"</formula>
    </cfRule>
  </conditionalFormatting>
  <conditionalFormatting sqref="I96:R96">
    <cfRule type="expression" dxfId="4091" priority="4094">
      <formula>$P$96="N/A"</formula>
    </cfRule>
  </conditionalFormatting>
  <conditionalFormatting sqref="I96:R96">
    <cfRule type="expression" dxfId="4090" priority="4093">
      <formula>$P$96=""</formula>
    </cfRule>
  </conditionalFormatting>
  <conditionalFormatting sqref="I96:R96">
    <cfRule type="expression" dxfId="4089" priority="4092">
      <formula>$I$96="Module 1"</formula>
    </cfRule>
  </conditionalFormatting>
  <conditionalFormatting sqref="I96:R96">
    <cfRule type="expression" dxfId="4088" priority="4091">
      <formula>$I$96="Module 2"</formula>
    </cfRule>
  </conditionalFormatting>
  <conditionalFormatting sqref="I96:R96">
    <cfRule type="expression" dxfId="4087" priority="4090">
      <formula>$I$96="Module 3"</formula>
    </cfRule>
    <cfRule type="expression" dxfId="4086" priority="4088">
      <formula>$I$96="Type 1"</formula>
    </cfRule>
    <cfRule type="expression" dxfId="4085" priority="4086">
      <formula>$I$96="Type 3"</formula>
    </cfRule>
  </conditionalFormatting>
  <conditionalFormatting sqref="L96">
    <cfRule type="expression" dxfId="4084" priority="4085">
      <formula>$L$96="1"</formula>
    </cfRule>
  </conditionalFormatting>
  <conditionalFormatting sqref="L96">
    <cfRule type="expression" dxfId="4083" priority="4084">
      <formula>$L$96="2"</formula>
    </cfRule>
  </conditionalFormatting>
  <conditionalFormatting sqref="L96">
    <cfRule type="expression" dxfId="4082" priority="4083">
      <formula>$L$96="3"</formula>
    </cfRule>
  </conditionalFormatting>
  <conditionalFormatting sqref="L96">
    <cfRule type="expression" dxfId="4081" priority="4082">
      <formula>$L$96="4"</formula>
    </cfRule>
  </conditionalFormatting>
  <conditionalFormatting sqref="L96">
    <cfRule type="expression" dxfId="4080" priority="4081">
      <formula>$L$96="5"</formula>
    </cfRule>
  </conditionalFormatting>
  <conditionalFormatting sqref="I97:R97">
    <cfRule type="expression" dxfId="4079" priority="4080">
      <formula>$P$97="Not started"</formula>
    </cfRule>
    <cfRule type="expression" dxfId="4078" priority="4069">
      <formula>$I$97="or"</formula>
    </cfRule>
    <cfRule type="expression" dxfId="4077" priority="4067">
      <formula>$I$97="Type 2"</formula>
    </cfRule>
  </conditionalFormatting>
  <conditionalFormatting sqref="I97:R97">
    <cfRule type="expression" dxfId="4076" priority="4079">
      <formula>$P$97="In progress"</formula>
    </cfRule>
  </conditionalFormatting>
  <conditionalFormatting sqref="I97:R97">
    <cfRule type="expression" dxfId="4075" priority="4078">
      <formula>$P$97="Closed"</formula>
    </cfRule>
  </conditionalFormatting>
  <conditionalFormatting sqref="I97:R97">
    <cfRule type="expression" dxfId="4074" priority="4077">
      <formula>$P$97="Canceled"</formula>
    </cfRule>
  </conditionalFormatting>
  <conditionalFormatting sqref="I97:R97">
    <cfRule type="expression" dxfId="4073" priority="4076">
      <formula>$P$97="Suspended"</formula>
    </cfRule>
  </conditionalFormatting>
  <conditionalFormatting sqref="I97:R97">
    <cfRule type="expression" dxfId="4072" priority="4075">
      <formula>$P$97="Applied"</formula>
    </cfRule>
  </conditionalFormatting>
  <conditionalFormatting sqref="I97:R97">
    <cfRule type="expression" dxfId="4071" priority="4074">
      <formula>$P$97="N/A"</formula>
    </cfRule>
  </conditionalFormatting>
  <conditionalFormatting sqref="I97:R97">
    <cfRule type="expression" dxfId="4070" priority="4073">
      <formula>$P$97=""</formula>
    </cfRule>
  </conditionalFormatting>
  <conditionalFormatting sqref="I97:R97">
    <cfRule type="expression" dxfId="4069" priority="4072">
      <formula>$I$97="Module 1"</formula>
    </cfRule>
  </conditionalFormatting>
  <conditionalFormatting sqref="I97:R97">
    <cfRule type="expression" dxfId="4068" priority="4071">
      <formula>$I$97="Module 2"</formula>
    </cfRule>
  </conditionalFormatting>
  <conditionalFormatting sqref="I97:R97">
    <cfRule type="expression" dxfId="4067" priority="4070">
      <formula>$I$97="Module 3"</formula>
    </cfRule>
    <cfRule type="expression" dxfId="4066" priority="4068">
      <formula>$I$97="Type 1"</formula>
    </cfRule>
    <cfRule type="expression" dxfId="4065" priority="4066">
      <formula>$I$97="Type 3"</formula>
    </cfRule>
  </conditionalFormatting>
  <conditionalFormatting sqref="L97">
    <cfRule type="expression" dxfId="4064" priority="4065">
      <formula>$L$97="1"</formula>
    </cfRule>
  </conditionalFormatting>
  <conditionalFormatting sqref="L97">
    <cfRule type="expression" dxfId="4063" priority="4064">
      <formula>$L$97="2"</formula>
    </cfRule>
  </conditionalFormatting>
  <conditionalFormatting sqref="L97">
    <cfRule type="expression" dxfId="4062" priority="4063">
      <formula>$L$97="3"</formula>
    </cfRule>
  </conditionalFormatting>
  <conditionalFormatting sqref="L97">
    <cfRule type="expression" dxfId="4061" priority="4062">
      <formula>$L$97="4"</formula>
    </cfRule>
  </conditionalFormatting>
  <conditionalFormatting sqref="L97">
    <cfRule type="expression" dxfId="4060" priority="4061">
      <formula>$L$97="5"</formula>
    </cfRule>
  </conditionalFormatting>
  <conditionalFormatting sqref="I98:R98">
    <cfRule type="expression" dxfId="4059" priority="4060">
      <formula>$P$98="Not started"</formula>
    </cfRule>
  </conditionalFormatting>
  <conditionalFormatting sqref="I98:R98">
    <cfRule type="expression" dxfId="4058" priority="4059">
      <formula>$P$98="In progress"</formula>
    </cfRule>
  </conditionalFormatting>
  <conditionalFormatting sqref="I98:R98">
    <cfRule type="expression" dxfId="4057" priority="4058">
      <formula>$P$98="Closed"</formula>
    </cfRule>
  </conditionalFormatting>
  <conditionalFormatting sqref="I98:R98">
    <cfRule type="expression" dxfId="4056" priority="4057">
      <formula>$P$98="Canceled"</formula>
    </cfRule>
  </conditionalFormatting>
  <conditionalFormatting sqref="I98:R98">
    <cfRule type="expression" dxfId="4055" priority="4056">
      <formula>$P$98="Suspended"</formula>
    </cfRule>
  </conditionalFormatting>
  <conditionalFormatting sqref="I98:R98">
    <cfRule type="expression" dxfId="4054" priority="4055">
      <formula>$P$98="Applied"</formula>
    </cfRule>
  </conditionalFormatting>
  <conditionalFormatting sqref="I98:R98">
    <cfRule type="expression" dxfId="4053" priority="4054">
      <formula>$P$98="N/A"</formula>
    </cfRule>
  </conditionalFormatting>
  <conditionalFormatting sqref="I98:R98">
    <cfRule type="expression" dxfId="4052" priority="4053">
      <formula>$P$98=""</formula>
    </cfRule>
  </conditionalFormatting>
  <conditionalFormatting sqref="I98:R98">
    <cfRule type="expression" dxfId="4051" priority="4052">
      <formula>$I$98="Module 1"</formula>
    </cfRule>
  </conditionalFormatting>
  <conditionalFormatting sqref="I98:R98">
    <cfRule type="expression" dxfId="4050" priority="4051">
      <formula>$I$98="Module 2"</formula>
    </cfRule>
  </conditionalFormatting>
  <conditionalFormatting sqref="I98:R98">
    <cfRule type="expression" dxfId="4049" priority="4050">
      <formula>$I$98="Module 3"</formula>
    </cfRule>
  </conditionalFormatting>
  <conditionalFormatting sqref="I98:R98">
    <cfRule type="expression" dxfId="4048" priority="4049">
      <formula>$I$98="or"</formula>
    </cfRule>
  </conditionalFormatting>
  <conditionalFormatting sqref="I98:R98">
    <cfRule type="expression" dxfId="4047" priority="4048">
      <formula>$I$98="Type 1"</formula>
    </cfRule>
  </conditionalFormatting>
  <conditionalFormatting sqref="I98:R98">
    <cfRule type="expression" dxfId="4046" priority="4047">
      <formula>$I$98="Type 2"</formula>
    </cfRule>
  </conditionalFormatting>
  <conditionalFormatting sqref="I98:R98">
    <cfRule type="expression" dxfId="4045" priority="4046">
      <formula>$I$98="Type 3"</formula>
    </cfRule>
  </conditionalFormatting>
  <conditionalFormatting sqref="L98">
    <cfRule type="expression" dxfId="4044" priority="4045">
      <formula>$L$98="1"</formula>
    </cfRule>
  </conditionalFormatting>
  <conditionalFormatting sqref="L98">
    <cfRule type="expression" dxfId="4043" priority="4044">
      <formula>$L$98="2"</formula>
    </cfRule>
  </conditionalFormatting>
  <conditionalFormatting sqref="L98">
    <cfRule type="expression" dxfId="4042" priority="4043">
      <formula>$L$98="3"</formula>
    </cfRule>
  </conditionalFormatting>
  <conditionalFormatting sqref="L98">
    <cfRule type="expression" dxfId="4041" priority="4042">
      <formula>$L$98="4"</formula>
    </cfRule>
  </conditionalFormatting>
  <conditionalFormatting sqref="L98">
    <cfRule type="expression" dxfId="4040" priority="4041">
      <formula>$L$98="5"</formula>
    </cfRule>
  </conditionalFormatting>
  <conditionalFormatting sqref="I99:R99">
    <cfRule type="expression" dxfId="4039" priority="4040">
      <formula>$P$99="Not started"</formula>
    </cfRule>
    <cfRule type="expression" dxfId="4038" priority="4029">
      <formula>$I$99="or"</formula>
    </cfRule>
    <cfRule type="expression" dxfId="4037" priority="4027">
      <formula>$I$99="Type 2"</formula>
    </cfRule>
  </conditionalFormatting>
  <conditionalFormatting sqref="I99:R99">
    <cfRule type="expression" dxfId="4036" priority="4039">
      <formula>$P$99="In progress"</formula>
    </cfRule>
  </conditionalFormatting>
  <conditionalFormatting sqref="I99:R99">
    <cfRule type="expression" dxfId="4035" priority="4038">
      <formula>$P$99="Closed"</formula>
    </cfRule>
  </conditionalFormatting>
  <conditionalFormatting sqref="I99:R99">
    <cfRule type="expression" dxfId="4034" priority="4037">
      <formula>$P$99="Canceled"</formula>
    </cfRule>
  </conditionalFormatting>
  <conditionalFormatting sqref="I99:R99">
    <cfRule type="expression" dxfId="4033" priority="4036">
      <formula>$P$99="Suspended"</formula>
    </cfRule>
  </conditionalFormatting>
  <conditionalFormatting sqref="I99:R99">
    <cfRule type="expression" dxfId="4032" priority="4035">
      <formula>$P$99="Applied"</formula>
    </cfRule>
  </conditionalFormatting>
  <conditionalFormatting sqref="I99:R99">
    <cfRule type="expression" dxfId="4031" priority="4034">
      <formula>$P$99="N/A"</formula>
    </cfRule>
  </conditionalFormatting>
  <conditionalFormatting sqref="I99:R99">
    <cfRule type="expression" dxfId="4030" priority="4033">
      <formula>$P$99=""</formula>
    </cfRule>
  </conditionalFormatting>
  <conditionalFormatting sqref="I99:R99">
    <cfRule type="expression" dxfId="4029" priority="4032">
      <formula>$I$99="Module 1"</formula>
    </cfRule>
  </conditionalFormatting>
  <conditionalFormatting sqref="I99:R99">
    <cfRule type="expression" dxfId="4028" priority="4031">
      <formula>$I$99="Module 2"</formula>
    </cfRule>
  </conditionalFormatting>
  <conditionalFormatting sqref="I99:R99">
    <cfRule type="expression" dxfId="4027" priority="4030">
      <formula>$I$99="Module 3"</formula>
    </cfRule>
    <cfRule type="expression" dxfId="4026" priority="4028">
      <formula>$I$99="Type 1"</formula>
    </cfRule>
    <cfRule type="expression" dxfId="4025" priority="4026">
      <formula>$I$99="Type 3"</formula>
    </cfRule>
  </conditionalFormatting>
  <conditionalFormatting sqref="L99">
    <cfRule type="expression" dxfId="4024" priority="4025">
      <formula>$L$99="1"</formula>
    </cfRule>
  </conditionalFormatting>
  <conditionalFormatting sqref="L99">
    <cfRule type="expression" dxfId="4023" priority="4024">
      <formula>$L$99="2"</formula>
    </cfRule>
  </conditionalFormatting>
  <conditionalFormatting sqref="L99">
    <cfRule type="expression" dxfId="4022" priority="4023">
      <formula>$L$99="3"</formula>
    </cfRule>
  </conditionalFormatting>
  <conditionalFormatting sqref="L99">
    <cfRule type="expression" dxfId="4021" priority="4022">
      <formula>$L$99="4"</formula>
    </cfRule>
  </conditionalFormatting>
  <conditionalFormatting sqref="L99">
    <cfRule type="expression" dxfId="4020" priority="4021">
      <formula>$L$99="5"</formula>
    </cfRule>
  </conditionalFormatting>
  <conditionalFormatting sqref="I100:R100">
    <cfRule type="expression" dxfId="4019" priority="4020">
      <formula>$P$100="Not started"</formula>
    </cfRule>
    <cfRule type="expression" dxfId="4018" priority="4009">
      <formula>$I$100="or"</formula>
    </cfRule>
    <cfRule type="expression" dxfId="4017" priority="4007">
      <formula>$I$100="Type 2"</formula>
    </cfRule>
  </conditionalFormatting>
  <conditionalFormatting sqref="I100:R100">
    <cfRule type="expression" dxfId="4016" priority="4019">
      <formula>$P$100="In progress"</formula>
    </cfRule>
  </conditionalFormatting>
  <conditionalFormatting sqref="I100:R100">
    <cfRule type="expression" dxfId="4015" priority="4018">
      <formula>$P$100="Closed"</formula>
    </cfRule>
  </conditionalFormatting>
  <conditionalFormatting sqref="I100:R100">
    <cfRule type="expression" dxfId="4014" priority="4017">
      <formula>$P$100="Canceled"</formula>
    </cfRule>
  </conditionalFormatting>
  <conditionalFormatting sqref="I100:R100">
    <cfRule type="expression" dxfId="4013" priority="4016">
      <formula>$P$100="Suspended"</formula>
    </cfRule>
  </conditionalFormatting>
  <conditionalFormatting sqref="I100:R100">
    <cfRule type="expression" dxfId="4012" priority="4015">
      <formula>$P$100="Applied"</formula>
    </cfRule>
  </conditionalFormatting>
  <conditionalFormatting sqref="I100:R100">
    <cfRule type="expression" dxfId="4011" priority="4014">
      <formula>$P$100="N/A"</formula>
    </cfRule>
  </conditionalFormatting>
  <conditionalFormatting sqref="I100:R100">
    <cfRule type="expression" dxfId="4010" priority="4013">
      <formula>$P$100=""</formula>
    </cfRule>
  </conditionalFormatting>
  <conditionalFormatting sqref="I100:R100">
    <cfRule type="expression" dxfId="4009" priority="4012">
      <formula>$I$100="Module 1"</formula>
    </cfRule>
  </conditionalFormatting>
  <conditionalFormatting sqref="I100:R100">
    <cfRule type="expression" dxfId="4008" priority="4011">
      <formula>$I$100="Module 2"</formula>
    </cfRule>
  </conditionalFormatting>
  <conditionalFormatting sqref="I100:R100">
    <cfRule type="expression" dxfId="4007" priority="4010">
      <formula>$I$100="Module 3"</formula>
    </cfRule>
    <cfRule type="expression" dxfId="4006" priority="4008">
      <formula>$I$100="Type 1"</formula>
    </cfRule>
    <cfRule type="expression" dxfId="4005" priority="4006">
      <formula>$I$100="Type 3"</formula>
    </cfRule>
  </conditionalFormatting>
  <conditionalFormatting sqref="L100">
    <cfRule type="expression" dxfId="4004" priority="4005">
      <formula>$L$100="1"</formula>
    </cfRule>
  </conditionalFormatting>
  <conditionalFormatting sqref="L100">
    <cfRule type="expression" dxfId="4003" priority="4004">
      <formula>$L$100="2"</formula>
    </cfRule>
  </conditionalFormatting>
  <conditionalFormatting sqref="L100">
    <cfRule type="expression" dxfId="4002" priority="4003">
      <formula>$L$100="3"</formula>
    </cfRule>
  </conditionalFormatting>
  <conditionalFormatting sqref="L100">
    <cfRule type="expression" dxfId="4001" priority="4002">
      <formula>$L$100="4"</formula>
    </cfRule>
  </conditionalFormatting>
  <conditionalFormatting sqref="L100">
    <cfRule type="expression" dxfId="4000" priority="4001">
      <formula>$L$100="5"</formula>
    </cfRule>
  </conditionalFormatting>
  <conditionalFormatting sqref="I101:R101">
    <cfRule type="expression" dxfId="3999" priority="4000">
      <formula>$P$101="Not started"</formula>
    </cfRule>
    <cfRule type="expression" dxfId="3998" priority="3989">
      <formula>$I$101="or"</formula>
    </cfRule>
    <cfRule type="expression" dxfId="3997" priority="3987">
      <formula>$I$101="Type 2"</formula>
    </cfRule>
  </conditionalFormatting>
  <conditionalFormatting sqref="I101:R101">
    <cfRule type="expression" dxfId="3996" priority="3999">
      <formula>$P$101="In progress"</formula>
    </cfRule>
  </conditionalFormatting>
  <conditionalFormatting sqref="I101:R101">
    <cfRule type="expression" dxfId="3995" priority="3998">
      <formula>$P$101="Closed"</formula>
    </cfRule>
  </conditionalFormatting>
  <conditionalFormatting sqref="I101:R101">
    <cfRule type="expression" dxfId="3994" priority="3997">
      <formula>$P$101="Canceled"</formula>
    </cfRule>
  </conditionalFormatting>
  <conditionalFormatting sqref="I101:R101">
    <cfRule type="expression" dxfId="3993" priority="3996">
      <formula>$P$101="Suspended"</formula>
    </cfRule>
  </conditionalFormatting>
  <conditionalFormatting sqref="I101:R101">
    <cfRule type="expression" dxfId="3992" priority="3995">
      <formula>$P$101="Applied"</formula>
    </cfRule>
  </conditionalFormatting>
  <conditionalFormatting sqref="I101:R101">
    <cfRule type="expression" dxfId="3991" priority="3994">
      <formula>$P$101="N/A"</formula>
    </cfRule>
  </conditionalFormatting>
  <conditionalFormatting sqref="I101:R101">
    <cfRule type="expression" dxfId="3990" priority="3993">
      <formula>$P$101=""</formula>
    </cfRule>
  </conditionalFormatting>
  <conditionalFormatting sqref="I101:R101">
    <cfRule type="expression" dxfId="3989" priority="3992">
      <formula>$I$101="Module 1"</formula>
    </cfRule>
  </conditionalFormatting>
  <conditionalFormatting sqref="I101:R101">
    <cfRule type="expression" dxfId="3988" priority="3991">
      <formula>$I$101="Module 2"</formula>
    </cfRule>
  </conditionalFormatting>
  <conditionalFormatting sqref="I101:R101">
    <cfRule type="expression" dxfId="3987" priority="3990">
      <formula>$I$101="Module 3"</formula>
    </cfRule>
    <cfRule type="expression" dxfId="3986" priority="3988">
      <formula>$I$101="Type 1"</formula>
    </cfRule>
    <cfRule type="expression" dxfId="3985" priority="3986">
      <formula>$I$101="Type 3"</formula>
    </cfRule>
  </conditionalFormatting>
  <conditionalFormatting sqref="L101">
    <cfRule type="expression" dxfId="3984" priority="3985">
      <formula>$L$101="1"</formula>
    </cfRule>
  </conditionalFormatting>
  <conditionalFormatting sqref="L101">
    <cfRule type="expression" dxfId="3983" priority="3984">
      <formula>$L$101="2"</formula>
    </cfRule>
  </conditionalFormatting>
  <conditionalFormatting sqref="L101">
    <cfRule type="expression" dxfId="3982" priority="3983">
      <formula>$L$101="3"</formula>
    </cfRule>
  </conditionalFormatting>
  <conditionalFormatting sqref="L101">
    <cfRule type="expression" dxfId="3981" priority="3982">
      <formula>$L$101="4"</formula>
    </cfRule>
  </conditionalFormatting>
  <conditionalFormatting sqref="L101">
    <cfRule type="expression" dxfId="3980" priority="3981">
      <formula>$L$101="5"</formula>
    </cfRule>
  </conditionalFormatting>
  <conditionalFormatting sqref="I102:R102">
    <cfRule type="expression" dxfId="3979" priority="3980">
      <formula>$P$102="Not started"</formula>
    </cfRule>
    <cfRule type="expression" dxfId="3978" priority="3969">
      <formula>$I$102="or"</formula>
    </cfRule>
    <cfRule type="expression" dxfId="3977" priority="3967">
      <formula>$I$102="Type 2"</formula>
    </cfRule>
  </conditionalFormatting>
  <conditionalFormatting sqref="I102:R102">
    <cfRule type="expression" dxfId="3976" priority="3979">
      <formula>$P$102="In progress"</formula>
    </cfRule>
  </conditionalFormatting>
  <conditionalFormatting sqref="I102:R102">
    <cfRule type="expression" dxfId="3975" priority="3978">
      <formula>$P$102="Closed"</formula>
    </cfRule>
  </conditionalFormatting>
  <conditionalFormatting sqref="I102:R102">
    <cfRule type="expression" dxfId="3974" priority="3977">
      <formula>$P$102="Canceled"</formula>
    </cfRule>
  </conditionalFormatting>
  <conditionalFormatting sqref="I102:R102">
    <cfRule type="expression" dxfId="3973" priority="3976">
      <formula>$P$102="Suspended"</formula>
    </cfRule>
  </conditionalFormatting>
  <conditionalFormatting sqref="I102:R102">
    <cfRule type="expression" dxfId="3972" priority="3975">
      <formula>$P$102="Applied"</formula>
    </cfRule>
  </conditionalFormatting>
  <conditionalFormatting sqref="I102:R102">
    <cfRule type="expression" dxfId="3971" priority="3974">
      <formula>$P$102="N/A"</formula>
    </cfRule>
  </conditionalFormatting>
  <conditionalFormatting sqref="I102:R102">
    <cfRule type="expression" dxfId="3970" priority="3973">
      <formula>$P$102=""</formula>
    </cfRule>
  </conditionalFormatting>
  <conditionalFormatting sqref="I102:R102">
    <cfRule type="expression" dxfId="3969" priority="3972">
      <formula>$I$102="Module 1"</formula>
    </cfRule>
  </conditionalFormatting>
  <conditionalFormatting sqref="I102:R102">
    <cfRule type="expression" dxfId="3968" priority="3971">
      <formula>$I$102="Module 2"</formula>
    </cfRule>
  </conditionalFormatting>
  <conditionalFormatting sqref="I102:R102">
    <cfRule type="expression" dxfId="3967" priority="3970">
      <formula>$I$102="Module 3"</formula>
    </cfRule>
    <cfRule type="expression" dxfId="3966" priority="3968">
      <formula>$I$102="Type 1"</formula>
    </cfRule>
    <cfRule type="expression" dxfId="3965" priority="3966">
      <formula>$I$102="Type 3"</formula>
    </cfRule>
  </conditionalFormatting>
  <conditionalFormatting sqref="L102">
    <cfRule type="expression" dxfId="3964" priority="3965">
      <formula>$L$102="1"</formula>
    </cfRule>
  </conditionalFormatting>
  <conditionalFormatting sqref="L102">
    <cfRule type="expression" dxfId="3963" priority="3964">
      <formula>$L$102="2"</formula>
    </cfRule>
  </conditionalFormatting>
  <conditionalFormatting sqref="L102">
    <cfRule type="expression" dxfId="3962" priority="3963">
      <formula>$L$102="3"</formula>
    </cfRule>
  </conditionalFormatting>
  <conditionalFormatting sqref="L102">
    <cfRule type="expression" dxfId="3961" priority="3962">
      <formula>$L$102="4"</formula>
    </cfRule>
  </conditionalFormatting>
  <conditionalFormatting sqref="L102">
    <cfRule type="expression" dxfId="3960" priority="3961">
      <formula>$L$102="5"</formula>
    </cfRule>
  </conditionalFormatting>
  <conditionalFormatting sqref="I103:R103">
    <cfRule type="expression" dxfId="3959" priority="3960">
      <formula>$P$103="Not started"</formula>
    </cfRule>
    <cfRule type="expression" dxfId="3958" priority="3949">
      <formula>$I$103="or"</formula>
    </cfRule>
    <cfRule type="expression" dxfId="3957" priority="3947">
      <formula>$I$103="Type 2"</formula>
    </cfRule>
  </conditionalFormatting>
  <conditionalFormatting sqref="I103:R103">
    <cfRule type="expression" dxfId="3956" priority="3959">
      <formula>$P$103="In progress"</formula>
    </cfRule>
  </conditionalFormatting>
  <conditionalFormatting sqref="I103:R103">
    <cfRule type="expression" dxfId="3955" priority="3958">
      <formula>$P$103="Closed"</formula>
    </cfRule>
  </conditionalFormatting>
  <conditionalFormatting sqref="I103:R103">
    <cfRule type="expression" dxfId="3954" priority="3957">
      <formula>$P$103="Canceled"</formula>
    </cfRule>
  </conditionalFormatting>
  <conditionalFormatting sqref="I103:R103">
    <cfRule type="expression" dxfId="3953" priority="3956">
      <formula>$P$103="Suspended"</formula>
    </cfRule>
  </conditionalFormatting>
  <conditionalFormatting sqref="I103:R103">
    <cfRule type="expression" dxfId="3952" priority="3955">
      <formula>$P$103="Applied"</formula>
    </cfRule>
  </conditionalFormatting>
  <conditionalFormatting sqref="I103:R103">
    <cfRule type="expression" dxfId="3951" priority="3954">
      <formula>$P$103="N/A"</formula>
    </cfRule>
  </conditionalFormatting>
  <conditionalFormatting sqref="I103:R103">
    <cfRule type="expression" dxfId="3950" priority="3953">
      <formula>$P$103=""</formula>
    </cfRule>
  </conditionalFormatting>
  <conditionalFormatting sqref="I103:R103">
    <cfRule type="expression" dxfId="3949" priority="3952">
      <formula>$I$103="Module 1"</formula>
    </cfRule>
  </conditionalFormatting>
  <conditionalFormatting sqref="I103:R103">
    <cfRule type="expression" dxfId="3948" priority="3951">
      <formula>$I$103="Module 2"</formula>
    </cfRule>
  </conditionalFormatting>
  <conditionalFormatting sqref="I103:R103">
    <cfRule type="expression" dxfId="3947" priority="3950">
      <formula>$I$103="Module 3"</formula>
    </cfRule>
    <cfRule type="expression" dxfId="3946" priority="3948">
      <formula>$I$103="Type 1"</formula>
    </cfRule>
    <cfRule type="expression" dxfId="3945" priority="3946">
      <formula>$I$103="Type 3"</formula>
    </cfRule>
  </conditionalFormatting>
  <conditionalFormatting sqref="L103">
    <cfRule type="expression" dxfId="3944" priority="3945">
      <formula>$L$103="1"</formula>
    </cfRule>
  </conditionalFormatting>
  <conditionalFormatting sqref="L103">
    <cfRule type="expression" dxfId="3943" priority="3944">
      <formula>$L$103="2"</formula>
    </cfRule>
  </conditionalFormatting>
  <conditionalFormatting sqref="L103">
    <cfRule type="expression" dxfId="3942" priority="3943">
      <formula>$L$103="3"</formula>
    </cfRule>
  </conditionalFormatting>
  <conditionalFormatting sqref="L103">
    <cfRule type="expression" dxfId="3941" priority="3942">
      <formula>$L$103="4"</formula>
    </cfRule>
  </conditionalFormatting>
  <conditionalFormatting sqref="L103">
    <cfRule type="expression" dxfId="3940" priority="3941">
      <formula>$L$103="5"</formula>
    </cfRule>
  </conditionalFormatting>
  <conditionalFormatting sqref="I104:R104">
    <cfRule type="expression" dxfId="3939" priority="3940">
      <formula>$P$104="Not started"</formula>
    </cfRule>
    <cfRule type="expression" dxfId="3938" priority="3929">
      <formula>$I$104="or"</formula>
    </cfRule>
    <cfRule type="expression" dxfId="3937" priority="3927">
      <formula>$I$104="Type 2"</formula>
    </cfRule>
  </conditionalFormatting>
  <conditionalFormatting sqref="I104:R104">
    <cfRule type="expression" dxfId="3936" priority="3939">
      <formula>$P$104="In progress"</formula>
    </cfRule>
  </conditionalFormatting>
  <conditionalFormatting sqref="I104:R104">
    <cfRule type="expression" dxfId="3935" priority="3938">
      <formula>$P$104="Closed"</formula>
    </cfRule>
  </conditionalFormatting>
  <conditionalFormatting sqref="I104:R104">
    <cfRule type="expression" dxfId="3934" priority="3937">
      <formula>$P$104="Canceled"</formula>
    </cfRule>
  </conditionalFormatting>
  <conditionalFormatting sqref="I104:R104">
    <cfRule type="expression" dxfId="3933" priority="3936">
      <formula>$P$104="Suspended"</formula>
    </cfRule>
  </conditionalFormatting>
  <conditionalFormatting sqref="I104:R104">
    <cfRule type="expression" dxfId="3932" priority="3935">
      <formula>$P$104="Applied"</formula>
    </cfRule>
  </conditionalFormatting>
  <conditionalFormatting sqref="I104:R104">
    <cfRule type="expression" dxfId="3931" priority="3934">
      <formula>$P$104="N/A"</formula>
    </cfRule>
  </conditionalFormatting>
  <conditionalFormatting sqref="I104:R104">
    <cfRule type="expression" dxfId="3930" priority="3933">
      <formula>$P$104=""</formula>
    </cfRule>
  </conditionalFormatting>
  <conditionalFormatting sqref="I104:R104">
    <cfRule type="expression" dxfId="3929" priority="3932">
      <formula>$I$104="Module 1"</formula>
    </cfRule>
  </conditionalFormatting>
  <conditionalFormatting sqref="I104:R104">
    <cfRule type="expression" dxfId="3928" priority="3931">
      <formula>$I$104="Module 2"</formula>
    </cfRule>
  </conditionalFormatting>
  <conditionalFormatting sqref="I104:R104">
    <cfRule type="expression" dxfId="3927" priority="3930">
      <formula>$I$104="Module 3"</formula>
    </cfRule>
    <cfRule type="expression" dxfId="3926" priority="3928">
      <formula>$I$104="Type 1"</formula>
    </cfRule>
    <cfRule type="expression" dxfId="3925" priority="3926">
      <formula>$I$104="Type 3"</formula>
    </cfRule>
  </conditionalFormatting>
  <conditionalFormatting sqref="L104">
    <cfRule type="expression" dxfId="3924" priority="3925">
      <formula>$L$104="1"</formula>
    </cfRule>
  </conditionalFormatting>
  <conditionalFormatting sqref="L104">
    <cfRule type="expression" dxfId="3923" priority="3924">
      <formula>$L$104="2"</formula>
    </cfRule>
  </conditionalFormatting>
  <conditionalFormatting sqref="L104">
    <cfRule type="expression" dxfId="3922" priority="3923">
      <formula>$L$104="3"</formula>
    </cfRule>
  </conditionalFormatting>
  <conditionalFormatting sqref="L104">
    <cfRule type="expression" dxfId="3921" priority="3922">
      <formula>$L$104="4"</formula>
    </cfRule>
  </conditionalFormatting>
  <conditionalFormatting sqref="L104">
    <cfRule type="expression" dxfId="3920" priority="3921">
      <formula>$L$104="5"</formula>
    </cfRule>
  </conditionalFormatting>
  <conditionalFormatting sqref="I105:R105">
    <cfRule type="expression" dxfId="3919" priority="3920">
      <formula>$P$105="Not started"</formula>
    </cfRule>
    <cfRule type="expression" dxfId="3918" priority="3909">
      <formula>$I$105="or"</formula>
    </cfRule>
    <cfRule type="expression" dxfId="3917" priority="3907">
      <formula>$I$105="Type 2"</formula>
    </cfRule>
  </conditionalFormatting>
  <conditionalFormatting sqref="I105:R105">
    <cfRule type="expression" dxfId="3916" priority="3919">
      <formula>$P$105="In progress"</formula>
    </cfRule>
  </conditionalFormatting>
  <conditionalFormatting sqref="I105:R105">
    <cfRule type="expression" dxfId="3915" priority="3918">
      <formula>$P$105="Closed"</formula>
    </cfRule>
  </conditionalFormatting>
  <conditionalFormatting sqref="I105:R105">
    <cfRule type="expression" dxfId="3914" priority="3917">
      <formula>$P$105="Canceled"</formula>
    </cfRule>
  </conditionalFormatting>
  <conditionalFormatting sqref="I105:R105">
    <cfRule type="expression" dxfId="3913" priority="3916">
      <formula>$P$105="Suspended"</formula>
    </cfRule>
  </conditionalFormatting>
  <conditionalFormatting sqref="I105:R105">
    <cfRule type="expression" dxfId="3912" priority="3915">
      <formula>$P$105="Applied"</formula>
    </cfRule>
  </conditionalFormatting>
  <conditionalFormatting sqref="I105:R105">
    <cfRule type="expression" dxfId="3911" priority="3914">
      <formula>$P$105="N/A"</formula>
    </cfRule>
  </conditionalFormatting>
  <conditionalFormatting sqref="I105:R105">
    <cfRule type="expression" dxfId="3910" priority="3913">
      <formula>$P$105=""</formula>
    </cfRule>
  </conditionalFormatting>
  <conditionalFormatting sqref="I105:R105">
    <cfRule type="expression" dxfId="3909" priority="3912">
      <formula>$I$105="Module 1"</formula>
    </cfRule>
  </conditionalFormatting>
  <conditionalFormatting sqref="I105:R105">
    <cfRule type="expression" dxfId="3908" priority="3911">
      <formula>$I$105="Module 2"</formula>
    </cfRule>
  </conditionalFormatting>
  <conditionalFormatting sqref="I105:R105">
    <cfRule type="expression" dxfId="3907" priority="3910">
      <formula>$I$105="Module 3"</formula>
    </cfRule>
    <cfRule type="expression" dxfId="3906" priority="3908">
      <formula>$I$105="Type 1"</formula>
    </cfRule>
    <cfRule type="expression" dxfId="3905" priority="3906">
      <formula>$I$105="Type 3"</formula>
    </cfRule>
  </conditionalFormatting>
  <conditionalFormatting sqref="L105">
    <cfRule type="expression" dxfId="3904" priority="3905">
      <formula>$L$105="1"</formula>
    </cfRule>
  </conditionalFormatting>
  <conditionalFormatting sqref="L105">
    <cfRule type="expression" dxfId="3903" priority="3904">
      <formula>$L$105="2"</formula>
    </cfRule>
  </conditionalFormatting>
  <conditionalFormatting sqref="L105">
    <cfRule type="expression" dxfId="3902" priority="3903">
      <formula>$L$105="3"</formula>
    </cfRule>
  </conditionalFormatting>
  <conditionalFormatting sqref="L105">
    <cfRule type="expression" dxfId="3901" priority="3902">
      <formula>$L$105="4"</formula>
    </cfRule>
  </conditionalFormatting>
  <conditionalFormatting sqref="L105">
    <cfRule type="expression" dxfId="3900" priority="3901">
      <formula>$L$105="5"</formula>
    </cfRule>
  </conditionalFormatting>
  <conditionalFormatting sqref="I106:R106">
    <cfRule type="expression" dxfId="3899" priority="3900">
      <formula>$P$106="Not started"</formula>
    </cfRule>
    <cfRule type="expression" dxfId="3898" priority="3889">
      <formula>$I$106="or"</formula>
    </cfRule>
    <cfRule type="expression" dxfId="3897" priority="3887">
      <formula>$I$106="Type 2"</formula>
    </cfRule>
  </conditionalFormatting>
  <conditionalFormatting sqref="I106:R106">
    <cfRule type="expression" dxfId="3896" priority="3899">
      <formula>$P$106="In progress"</formula>
    </cfRule>
  </conditionalFormatting>
  <conditionalFormatting sqref="I106:R106">
    <cfRule type="expression" dxfId="3895" priority="3898">
      <formula>$P$106="Closed"</formula>
    </cfRule>
  </conditionalFormatting>
  <conditionalFormatting sqref="I106:R106">
    <cfRule type="expression" dxfId="3894" priority="3897">
      <formula>$P$106="Canceled"</formula>
    </cfRule>
  </conditionalFormatting>
  <conditionalFormatting sqref="I106:R106">
    <cfRule type="expression" dxfId="3893" priority="3896">
      <formula>$P$106="Suspended"</formula>
    </cfRule>
  </conditionalFormatting>
  <conditionalFormatting sqref="I106:R106">
    <cfRule type="expression" dxfId="3892" priority="3895">
      <formula>$P$106="Applied"</formula>
    </cfRule>
  </conditionalFormatting>
  <conditionalFormatting sqref="I106:R106">
    <cfRule type="expression" dxfId="3891" priority="3894">
      <formula>$P$106="N/A"</formula>
    </cfRule>
  </conditionalFormatting>
  <conditionalFormatting sqref="I106:R106">
    <cfRule type="expression" dxfId="3890" priority="3893">
      <formula>$P$106=""</formula>
    </cfRule>
  </conditionalFormatting>
  <conditionalFormatting sqref="I106:R106">
    <cfRule type="expression" dxfId="3889" priority="3892">
      <formula>$I$106="Module 1"</formula>
    </cfRule>
  </conditionalFormatting>
  <conditionalFormatting sqref="I106:R106">
    <cfRule type="expression" dxfId="3888" priority="3891">
      <formula>$I$106="Module 2"</formula>
    </cfRule>
  </conditionalFormatting>
  <conditionalFormatting sqref="I106:R106">
    <cfRule type="expression" dxfId="3887" priority="3890">
      <formula>$I$106="Module 3"</formula>
    </cfRule>
    <cfRule type="expression" dxfId="3886" priority="3888">
      <formula>$I$106="Type 1"</formula>
    </cfRule>
    <cfRule type="expression" dxfId="3885" priority="3886">
      <formula>$I$106="Type 3"</formula>
    </cfRule>
  </conditionalFormatting>
  <conditionalFormatting sqref="L106">
    <cfRule type="expression" dxfId="3884" priority="3885">
      <formula>$L$106="1"</formula>
    </cfRule>
  </conditionalFormatting>
  <conditionalFormatting sqref="L106">
    <cfRule type="expression" dxfId="3883" priority="3884">
      <formula>$L$106="2"</formula>
    </cfRule>
  </conditionalFormatting>
  <conditionalFormatting sqref="L106">
    <cfRule type="expression" dxfId="3882" priority="3883">
      <formula>$L$106="3"</formula>
    </cfRule>
  </conditionalFormatting>
  <conditionalFormatting sqref="L106">
    <cfRule type="expression" dxfId="3881" priority="3882">
      <formula>$L$106="4"</formula>
    </cfRule>
  </conditionalFormatting>
  <conditionalFormatting sqref="L106">
    <cfRule type="expression" dxfId="3880" priority="3881">
      <formula>$L$106="5"</formula>
    </cfRule>
  </conditionalFormatting>
  <conditionalFormatting sqref="I107:R107">
    <cfRule type="expression" dxfId="3879" priority="3880">
      <formula>$P$107="Not started"</formula>
    </cfRule>
    <cfRule type="expression" dxfId="3878" priority="3869">
      <formula>$I$107="or"</formula>
    </cfRule>
    <cfRule type="expression" dxfId="3877" priority="3867">
      <formula>$I$107="Type 2"</formula>
    </cfRule>
  </conditionalFormatting>
  <conditionalFormatting sqref="I107:R107">
    <cfRule type="expression" dxfId="3876" priority="3879">
      <formula>$P$107="In progress"</formula>
    </cfRule>
  </conditionalFormatting>
  <conditionalFormatting sqref="I107:R107">
    <cfRule type="expression" dxfId="3875" priority="3878">
      <formula>$P$107="Closed"</formula>
    </cfRule>
  </conditionalFormatting>
  <conditionalFormatting sqref="I107:R107">
    <cfRule type="expression" dxfId="3874" priority="3877">
      <formula>$P$107="Canceled"</formula>
    </cfRule>
  </conditionalFormatting>
  <conditionalFormatting sqref="I107:R107">
    <cfRule type="expression" dxfId="3873" priority="3876">
      <formula>$P$107="Suspended"</formula>
    </cfRule>
  </conditionalFormatting>
  <conditionalFormatting sqref="I107:R107">
    <cfRule type="expression" dxfId="3872" priority="3875">
      <formula>$P$107="Applied"</formula>
    </cfRule>
  </conditionalFormatting>
  <conditionalFormatting sqref="I107:R107">
    <cfRule type="expression" dxfId="3871" priority="3874">
      <formula>$P$107="N/A"</formula>
    </cfRule>
  </conditionalFormatting>
  <conditionalFormatting sqref="I107:R107">
    <cfRule type="expression" dxfId="3870" priority="3873">
      <formula>$P$107=""</formula>
    </cfRule>
  </conditionalFormatting>
  <conditionalFormatting sqref="I107:R107">
    <cfRule type="expression" dxfId="3869" priority="3872">
      <formula>$I$107="Module 1"</formula>
    </cfRule>
  </conditionalFormatting>
  <conditionalFormatting sqref="I107:R107">
    <cfRule type="expression" dxfId="3868" priority="3871">
      <formula>$I$107="Module 2"</formula>
    </cfRule>
  </conditionalFormatting>
  <conditionalFormatting sqref="I107:R107">
    <cfRule type="expression" dxfId="3867" priority="3870">
      <formula>$I$107="Module 3"</formula>
    </cfRule>
    <cfRule type="expression" dxfId="3866" priority="3868">
      <formula>$I$107="Type 1"</formula>
    </cfRule>
    <cfRule type="expression" dxfId="3865" priority="3866">
      <formula>$I$107="Type 3"</formula>
    </cfRule>
  </conditionalFormatting>
  <conditionalFormatting sqref="L107">
    <cfRule type="expression" dxfId="3864" priority="3865">
      <formula>$L$107="1"</formula>
    </cfRule>
  </conditionalFormatting>
  <conditionalFormatting sqref="L107">
    <cfRule type="expression" dxfId="3863" priority="3864">
      <formula>$L$107="2"</formula>
    </cfRule>
  </conditionalFormatting>
  <conditionalFormatting sqref="L107">
    <cfRule type="expression" dxfId="3862" priority="3863">
      <formula>$L$107="3"</formula>
    </cfRule>
  </conditionalFormatting>
  <conditionalFormatting sqref="L107">
    <cfRule type="expression" dxfId="3861" priority="3862">
      <formula>$L$107="4"</formula>
    </cfRule>
  </conditionalFormatting>
  <conditionalFormatting sqref="L107">
    <cfRule type="expression" dxfId="3860" priority="3861">
      <formula>$L$107="5"</formula>
    </cfRule>
  </conditionalFormatting>
  <conditionalFormatting sqref="I108:R108">
    <cfRule type="expression" dxfId="3859" priority="3860">
      <formula>$P$108="Not started"</formula>
    </cfRule>
  </conditionalFormatting>
  <conditionalFormatting sqref="I108:R108">
    <cfRule type="expression" dxfId="3858" priority="3859">
      <formula>$P$108="In progress"</formula>
    </cfRule>
  </conditionalFormatting>
  <conditionalFormatting sqref="I108:R108">
    <cfRule type="expression" dxfId="3857" priority="3858">
      <formula>$P$108="Closed"</formula>
    </cfRule>
  </conditionalFormatting>
  <conditionalFormatting sqref="I108:R108">
    <cfRule type="expression" dxfId="3856" priority="3857">
      <formula>$P$108="Canceled"</formula>
    </cfRule>
  </conditionalFormatting>
  <conditionalFormatting sqref="I108:R108">
    <cfRule type="expression" dxfId="3855" priority="3856">
      <formula>$P$108="Suspended"</formula>
    </cfRule>
  </conditionalFormatting>
  <conditionalFormatting sqref="I108:R108">
    <cfRule type="expression" dxfId="3854" priority="3855">
      <formula>$P$108="Applied"</formula>
    </cfRule>
  </conditionalFormatting>
  <conditionalFormatting sqref="I108:R108">
    <cfRule type="expression" dxfId="3853" priority="3854">
      <formula>$P$108="N/A"</formula>
    </cfRule>
  </conditionalFormatting>
  <conditionalFormatting sqref="I108:R108">
    <cfRule type="expression" dxfId="3852" priority="3853">
      <formula>$P$108=""</formula>
    </cfRule>
  </conditionalFormatting>
  <conditionalFormatting sqref="I108:R108">
    <cfRule type="expression" dxfId="3851" priority="3852">
      <formula>$I$108="Module 1"</formula>
    </cfRule>
  </conditionalFormatting>
  <conditionalFormatting sqref="I108:R108">
    <cfRule type="expression" dxfId="3850" priority="3851">
      <formula>$I$108="Module 2"</formula>
    </cfRule>
  </conditionalFormatting>
  <conditionalFormatting sqref="I108:R108">
    <cfRule type="expression" dxfId="3849" priority="3850">
      <formula>$I$108="Module 3"</formula>
    </cfRule>
  </conditionalFormatting>
  <conditionalFormatting sqref="I108:R108">
    <cfRule type="expression" dxfId="3848" priority="3849">
      <formula>$I$108="or"</formula>
    </cfRule>
  </conditionalFormatting>
  <conditionalFormatting sqref="I108:R108">
    <cfRule type="expression" dxfId="3847" priority="3848">
      <formula>$I$108="Type 1"</formula>
    </cfRule>
  </conditionalFormatting>
  <conditionalFormatting sqref="I108:R108">
    <cfRule type="expression" dxfId="3846" priority="3847">
      <formula>$I$108="Type 2"</formula>
    </cfRule>
  </conditionalFormatting>
  <conditionalFormatting sqref="I108:R108">
    <cfRule type="expression" dxfId="3845" priority="3846">
      <formula>$I$108="Type 3"</formula>
    </cfRule>
  </conditionalFormatting>
  <conditionalFormatting sqref="L108">
    <cfRule type="expression" dxfId="3844" priority="3845">
      <formula>$L$108="1"</formula>
    </cfRule>
  </conditionalFormatting>
  <conditionalFormatting sqref="L108">
    <cfRule type="expression" dxfId="3843" priority="3844">
      <formula>$L$108="2"</formula>
    </cfRule>
  </conditionalFormatting>
  <conditionalFormatting sqref="L108">
    <cfRule type="expression" dxfId="3842" priority="3843">
      <formula>$L$108="3"</formula>
    </cfRule>
  </conditionalFormatting>
  <conditionalFormatting sqref="L108">
    <cfRule type="expression" dxfId="3841" priority="3842">
      <formula>$L$108="4"</formula>
    </cfRule>
  </conditionalFormatting>
  <conditionalFormatting sqref="L108">
    <cfRule type="expression" dxfId="3840" priority="3841">
      <formula>$L$108="5"</formula>
    </cfRule>
  </conditionalFormatting>
  <conditionalFormatting sqref="I109:R109">
    <cfRule type="expression" dxfId="3839" priority="3840">
      <formula>$P$109="Not started"</formula>
    </cfRule>
    <cfRule type="expression" dxfId="3838" priority="3829">
      <formula>$I$109="or"</formula>
    </cfRule>
    <cfRule type="expression" dxfId="3837" priority="3827">
      <formula>$I$109="Type 2"</formula>
    </cfRule>
  </conditionalFormatting>
  <conditionalFormatting sqref="I109:R109">
    <cfRule type="expression" dxfId="3836" priority="3839">
      <formula>$P$109="In progress"</formula>
    </cfRule>
  </conditionalFormatting>
  <conditionalFormatting sqref="I109:R109">
    <cfRule type="expression" dxfId="3835" priority="3838">
      <formula>$P$109="Closed"</formula>
    </cfRule>
  </conditionalFormatting>
  <conditionalFormatting sqref="I109:R109">
    <cfRule type="expression" dxfId="3834" priority="3837">
      <formula>$P$109="Canceled"</formula>
    </cfRule>
  </conditionalFormatting>
  <conditionalFormatting sqref="I109:R109">
    <cfRule type="expression" dxfId="3833" priority="3836">
      <formula>$P$109="Suspended"</formula>
    </cfRule>
  </conditionalFormatting>
  <conditionalFormatting sqref="I109:R109">
    <cfRule type="expression" dxfId="3832" priority="3835">
      <formula>$P$109="Applied"</formula>
    </cfRule>
  </conditionalFormatting>
  <conditionalFormatting sqref="I109:R109">
    <cfRule type="expression" dxfId="3831" priority="3834">
      <formula>$P$109="N/A"</formula>
    </cfRule>
  </conditionalFormatting>
  <conditionalFormatting sqref="I109:R109">
    <cfRule type="expression" dxfId="3830" priority="3833">
      <formula>$P$109=""</formula>
    </cfRule>
  </conditionalFormatting>
  <conditionalFormatting sqref="I109:R109">
    <cfRule type="expression" dxfId="3829" priority="3832">
      <formula>$I$109="Module 1"</formula>
    </cfRule>
  </conditionalFormatting>
  <conditionalFormatting sqref="I109:R109">
    <cfRule type="expression" dxfId="3828" priority="3831">
      <formula>$I$109="Module 2"</formula>
    </cfRule>
  </conditionalFormatting>
  <conditionalFormatting sqref="I109:R109">
    <cfRule type="expression" dxfId="3827" priority="3830">
      <formula>$I$109="Module 3"</formula>
    </cfRule>
    <cfRule type="expression" dxfId="3826" priority="3828">
      <formula>$I$109="Type 1"</formula>
    </cfRule>
    <cfRule type="expression" dxfId="3825" priority="3826">
      <formula>$I$109="Type 3"</formula>
    </cfRule>
  </conditionalFormatting>
  <conditionalFormatting sqref="L109">
    <cfRule type="expression" dxfId="3824" priority="3825">
      <formula>$L$109="1"</formula>
    </cfRule>
  </conditionalFormatting>
  <conditionalFormatting sqref="L109">
    <cfRule type="expression" dxfId="3823" priority="3824">
      <formula>$L$109="2"</formula>
    </cfRule>
  </conditionalFormatting>
  <conditionalFormatting sqref="L109">
    <cfRule type="expression" dxfId="3822" priority="3823">
      <formula>$L$109="3"</formula>
    </cfRule>
  </conditionalFormatting>
  <conditionalFormatting sqref="L109">
    <cfRule type="expression" dxfId="3821" priority="3822">
      <formula>$L$109="4"</formula>
    </cfRule>
  </conditionalFormatting>
  <conditionalFormatting sqref="L109">
    <cfRule type="expression" dxfId="3820" priority="3821">
      <formula>$L$109="5"</formula>
    </cfRule>
  </conditionalFormatting>
  <conditionalFormatting sqref="I110:R110">
    <cfRule type="expression" dxfId="3819" priority="3820">
      <formula>$P$110="Not started"</formula>
    </cfRule>
    <cfRule type="expression" dxfId="3818" priority="3809">
      <formula>$I$110="or"</formula>
    </cfRule>
    <cfRule type="expression" dxfId="3817" priority="3807">
      <formula>$I$110="Type 2"</formula>
    </cfRule>
  </conditionalFormatting>
  <conditionalFormatting sqref="I110:R110">
    <cfRule type="expression" dxfId="3816" priority="3819">
      <formula>$P$110="In progress"</formula>
    </cfRule>
  </conditionalFormatting>
  <conditionalFormatting sqref="I110:R110">
    <cfRule type="expression" dxfId="3815" priority="3818">
      <formula>$P$110="Closed"</formula>
    </cfRule>
  </conditionalFormatting>
  <conditionalFormatting sqref="I110:R110">
    <cfRule type="expression" dxfId="3814" priority="3817">
      <formula>$P$110="Canceled"</formula>
    </cfRule>
  </conditionalFormatting>
  <conditionalFormatting sqref="I110:R110">
    <cfRule type="expression" dxfId="3813" priority="3816">
      <formula>$P$110="Suspended"</formula>
    </cfRule>
  </conditionalFormatting>
  <conditionalFormatting sqref="I110:R110">
    <cfRule type="expression" dxfId="3812" priority="3815">
      <formula>$P$110="Applied"</formula>
    </cfRule>
  </conditionalFormatting>
  <conditionalFormatting sqref="I110:R110">
    <cfRule type="expression" dxfId="3811" priority="3814">
      <formula>$P$110="N/A"</formula>
    </cfRule>
  </conditionalFormatting>
  <conditionalFormatting sqref="I110:R110">
    <cfRule type="expression" dxfId="3810" priority="3813">
      <formula>$P$110=""</formula>
    </cfRule>
  </conditionalFormatting>
  <conditionalFormatting sqref="I110:R110">
    <cfRule type="expression" dxfId="3809" priority="3812">
      <formula>$I$110="Module 1"</formula>
    </cfRule>
  </conditionalFormatting>
  <conditionalFormatting sqref="I110:R110">
    <cfRule type="expression" dxfId="3808" priority="3811">
      <formula>$I$110="Module 2"</formula>
    </cfRule>
  </conditionalFormatting>
  <conditionalFormatting sqref="I110:R110">
    <cfRule type="expression" dxfId="3807" priority="3810">
      <formula>$I$110="Module 3"</formula>
    </cfRule>
    <cfRule type="expression" dxfId="3806" priority="3808">
      <formula>$I$110="Type 1"</formula>
    </cfRule>
    <cfRule type="expression" dxfId="3805" priority="3806">
      <formula>$I$110="Type 3"</formula>
    </cfRule>
  </conditionalFormatting>
  <conditionalFormatting sqref="L110">
    <cfRule type="expression" dxfId="3804" priority="3805">
      <formula>$L$110="1"</formula>
    </cfRule>
  </conditionalFormatting>
  <conditionalFormatting sqref="L110">
    <cfRule type="expression" dxfId="3803" priority="3804">
      <formula>$L$110="2"</formula>
    </cfRule>
  </conditionalFormatting>
  <conditionalFormatting sqref="L110">
    <cfRule type="expression" dxfId="3802" priority="3803">
      <formula>$L$110="3"</formula>
    </cfRule>
  </conditionalFormatting>
  <conditionalFormatting sqref="L110">
    <cfRule type="expression" dxfId="3801" priority="3802">
      <formula>$L$110="4"</formula>
    </cfRule>
  </conditionalFormatting>
  <conditionalFormatting sqref="L110">
    <cfRule type="expression" dxfId="3800" priority="3801">
      <formula>$L$110="5"</formula>
    </cfRule>
  </conditionalFormatting>
  <conditionalFormatting sqref="I111:R111">
    <cfRule type="expression" dxfId="3799" priority="3800">
      <formula>$P$111="Not started"</formula>
    </cfRule>
    <cfRule type="expression" dxfId="3798" priority="3789">
      <formula>$I$111="or"</formula>
    </cfRule>
    <cfRule type="expression" dxfId="3797" priority="3787">
      <formula>$I$111="Type 2"</formula>
    </cfRule>
  </conditionalFormatting>
  <conditionalFormatting sqref="I111:R111">
    <cfRule type="expression" dxfId="3796" priority="3799">
      <formula>$P$111="In progress"</formula>
    </cfRule>
  </conditionalFormatting>
  <conditionalFormatting sqref="I111:R111">
    <cfRule type="expression" dxfId="3795" priority="3798">
      <formula>$P$111="Closed"</formula>
    </cfRule>
  </conditionalFormatting>
  <conditionalFormatting sqref="I111:R111">
    <cfRule type="expression" dxfId="3794" priority="3797">
      <formula>$P$111="Canceled"</formula>
    </cfRule>
  </conditionalFormatting>
  <conditionalFormatting sqref="I111:R111">
    <cfRule type="expression" dxfId="3793" priority="3796">
      <formula>$P$111="Suspended"</formula>
    </cfRule>
  </conditionalFormatting>
  <conditionalFormatting sqref="I111:R111">
    <cfRule type="expression" dxfId="3792" priority="3795">
      <formula>$P$111="Applied"</formula>
    </cfRule>
  </conditionalFormatting>
  <conditionalFormatting sqref="I111:R111">
    <cfRule type="expression" dxfId="3791" priority="3794">
      <formula>$P$111="N/A"</formula>
    </cfRule>
  </conditionalFormatting>
  <conditionalFormatting sqref="I111:R111">
    <cfRule type="expression" dxfId="3790" priority="3793">
      <formula>$P$111=""</formula>
    </cfRule>
  </conditionalFormatting>
  <conditionalFormatting sqref="I111:R111">
    <cfRule type="expression" dxfId="3789" priority="3792">
      <formula>$I$111="Module 1"</formula>
    </cfRule>
  </conditionalFormatting>
  <conditionalFormatting sqref="I111:R111">
    <cfRule type="expression" dxfId="3788" priority="3791">
      <formula>$I$111="Module 2"</formula>
    </cfRule>
  </conditionalFormatting>
  <conditionalFormatting sqref="I111:R111">
    <cfRule type="expression" dxfId="3787" priority="3790">
      <formula>$I$111="Module 3"</formula>
    </cfRule>
    <cfRule type="expression" dxfId="3786" priority="3788">
      <formula>$I$111="Type 1"</formula>
    </cfRule>
    <cfRule type="expression" dxfId="3785" priority="3786">
      <formula>$I$111="Type 3"</formula>
    </cfRule>
  </conditionalFormatting>
  <conditionalFormatting sqref="L111">
    <cfRule type="expression" dxfId="3784" priority="3785">
      <formula>$L$111="1"</formula>
    </cfRule>
  </conditionalFormatting>
  <conditionalFormatting sqref="L111">
    <cfRule type="expression" dxfId="3783" priority="3784">
      <formula>$L$111="2"</formula>
    </cfRule>
  </conditionalFormatting>
  <conditionalFormatting sqref="L111">
    <cfRule type="expression" dxfId="3782" priority="3783">
      <formula>$L$111="3"</formula>
    </cfRule>
  </conditionalFormatting>
  <conditionalFormatting sqref="L111">
    <cfRule type="expression" dxfId="3781" priority="3782">
      <formula>$L$111="4"</formula>
    </cfRule>
  </conditionalFormatting>
  <conditionalFormatting sqref="L111">
    <cfRule type="expression" dxfId="3780" priority="3781">
      <formula>$L$111="5"</formula>
    </cfRule>
  </conditionalFormatting>
  <conditionalFormatting sqref="I112:R112">
    <cfRule type="expression" dxfId="3779" priority="3780">
      <formula>$P$112="Not started"</formula>
    </cfRule>
    <cfRule type="expression" dxfId="3778" priority="3769">
      <formula>$I$112="or"</formula>
    </cfRule>
    <cfRule type="expression" dxfId="3777" priority="3767">
      <formula>$I$112="Type 2"</formula>
    </cfRule>
  </conditionalFormatting>
  <conditionalFormatting sqref="I112:R112">
    <cfRule type="expression" dxfId="3776" priority="3779">
      <formula>$P$112="In progress"</formula>
    </cfRule>
  </conditionalFormatting>
  <conditionalFormatting sqref="I112:R112">
    <cfRule type="expression" dxfId="3775" priority="3778">
      <formula>$P$112="Closed"</formula>
    </cfRule>
  </conditionalFormatting>
  <conditionalFormatting sqref="I112:R112">
    <cfRule type="expression" dxfId="3774" priority="3777">
      <formula>$P$112="Canceled"</formula>
    </cfRule>
  </conditionalFormatting>
  <conditionalFormatting sqref="I112:R112">
    <cfRule type="expression" dxfId="3773" priority="3776">
      <formula>$P$112="Suspended"</formula>
    </cfRule>
  </conditionalFormatting>
  <conditionalFormatting sqref="I112:R112">
    <cfRule type="expression" dxfId="3772" priority="3775">
      <formula>$P$112="Applied"</formula>
    </cfRule>
  </conditionalFormatting>
  <conditionalFormatting sqref="I112:R112">
    <cfRule type="expression" dxfId="3771" priority="3774">
      <formula>$P$112="N/A"</formula>
    </cfRule>
  </conditionalFormatting>
  <conditionalFormatting sqref="I112:R112">
    <cfRule type="expression" dxfId="3770" priority="3773">
      <formula>$P$112=""</formula>
    </cfRule>
  </conditionalFormatting>
  <conditionalFormatting sqref="I112:R112">
    <cfRule type="expression" dxfId="3769" priority="3772">
      <formula>$I$112="Module 1"</formula>
    </cfRule>
  </conditionalFormatting>
  <conditionalFormatting sqref="I112:R112">
    <cfRule type="expression" dxfId="3768" priority="3771">
      <formula>$I$112="Module 2"</formula>
    </cfRule>
  </conditionalFormatting>
  <conditionalFormatting sqref="I112:R112">
    <cfRule type="expression" dxfId="3767" priority="3770">
      <formula>$I$112="Module 3"</formula>
    </cfRule>
    <cfRule type="expression" dxfId="3766" priority="3768">
      <formula>$I$112="Type 1"</formula>
    </cfRule>
    <cfRule type="expression" dxfId="3765" priority="3766">
      <formula>$I$112="Type 3"</formula>
    </cfRule>
  </conditionalFormatting>
  <conditionalFormatting sqref="L112">
    <cfRule type="expression" dxfId="3764" priority="3765">
      <formula>$L$112="1"</formula>
    </cfRule>
  </conditionalFormatting>
  <conditionalFormatting sqref="L112">
    <cfRule type="expression" dxfId="3763" priority="3764">
      <formula>$L$112="2"</formula>
    </cfRule>
  </conditionalFormatting>
  <conditionalFormatting sqref="L112">
    <cfRule type="expression" dxfId="3762" priority="3763">
      <formula>$L$112="3"</formula>
    </cfRule>
  </conditionalFormatting>
  <conditionalFormatting sqref="L112">
    <cfRule type="expression" dxfId="3761" priority="3762">
      <formula>$L$112="4"</formula>
    </cfRule>
  </conditionalFormatting>
  <conditionalFormatting sqref="L112">
    <cfRule type="expression" dxfId="3760" priority="3761">
      <formula>$L$112="5"</formula>
    </cfRule>
  </conditionalFormatting>
  <conditionalFormatting sqref="I113:R113">
    <cfRule type="expression" dxfId="3759" priority="3760">
      <formula>$P$113="Not started"</formula>
    </cfRule>
    <cfRule type="expression" dxfId="3758" priority="3749">
      <formula>$I$113="or"</formula>
    </cfRule>
    <cfRule type="expression" dxfId="3757" priority="3747">
      <formula>$I$113="Type 2"</formula>
    </cfRule>
  </conditionalFormatting>
  <conditionalFormatting sqref="I113:R113">
    <cfRule type="expression" dxfId="3756" priority="3759">
      <formula>$P$113="In progress"</formula>
    </cfRule>
  </conditionalFormatting>
  <conditionalFormatting sqref="I113:R113">
    <cfRule type="expression" dxfId="3755" priority="3758">
      <formula>$P$113="Closed"</formula>
    </cfRule>
  </conditionalFormatting>
  <conditionalFormatting sqref="I113:R113">
    <cfRule type="expression" dxfId="3754" priority="3757">
      <formula>$P$113="Canceled"</formula>
    </cfRule>
  </conditionalFormatting>
  <conditionalFormatting sqref="I113:R113">
    <cfRule type="expression" dxfId="3753" priority="3756">
      <formula>$P$113="Suspended"</formula>
    </cfRule>
  </conditionalFormatting>
  <conditionalFormatting sqref="I113:R113">
    <cfRule type="expression" dxfId="3752" priority="3755">
      <formula>$P$113="Applied"</formula>
    </cfRule>
  </conditionalFormatting>
  <conditionalFormatting sqref="I113:R113">
    <cfRule type="expression" dxfId="3751" priority="3754">
      <formula>$P$113="N/A"</formula>
    </cfRule>
  </conditionalFormatting>
  <conditionalFormatting sqref="I113:R113">
    <cfRule type="expression" dxfId="3750" priority="3753">
      <formula>$P$113=""</formula>
    </cfRule>
  </conditionalFormatting>
  <conditionalFormatting sqref="I113:R113">
    <cfRule type="expression" dxfId="3749" priority="3752">
      <formula>$I$113="Module 1"</formula>
    </cfRule>
  </conditionalFormatting>
  <conditionalFormatting sqref="I113:R113">
    <cfRule type="expression" dxfId="3748" priority="3751">
      <formula>$I$113="Module 2"</formula>
    </cfRule>
  </conditionalFormatting>
  <conditionalFormatting sqref="I113:R113">
    <cfRule type="expression" dxfId="3747" priority="3750">
      <formula>$I$113="Module 3"</formula>
    </cfRule>
    <cfRule type="expression" dxfId="3746" priority="3748">
      <formula>$I$113="Type 1"</formula>
    </cfRule>
    <cfRule type="expression" dxfId="3745" priority="3746">
      <formula>$I$113="Type 3"</formula>
    </cfRule>
  </conditionalFormatting>
  <conditionalFormatting sqref="L113">
    <cfRule type="expression" dxfId="3744" priority="3745">
      <formula>$L$113="1"</formula>
    </cfRule>
  </conditionalFormatting>
  <conditionalFormatting sqref="L113">
    <cfRule type="expression" dxfId="3743" priority="3744">
      <formula>$L$113="2"</formula>
    </cfRule>
  </conditionalFormatting>
  <conditionalFormatting sqref="L113">
    <cfRule type="expression" dxfId="3742" priority="3743">
      <formula>$L$113="3"</formula>
    </cfRule>
  </conditionalFormatting>
  <conditionalFormatting sqref="L113">
    <cfRule type="expression" dxfId="3741" priority="3742">
      <formula>$L$113="4"</formula>
    </cfRule>
  </conditionalFormatting>
  <conditionalFormatting sqref="L113">
    <cfRule type="expression" dxfId="3740" priority="3741">
      <formula>$L$113="5"</formula>
    </cfRule>
  </conditionalFormatting>
  <conditionalFormatting sqref="I114:R114">
    <cfRule type="expression" dxfId="3739" priority="3740">
      <formula>$P$114="Not started"</formula>
    </cfRule>
    <cfRule type="expression" dxfId="3738" priority="3729">
      <formula>$I$114="or"</formula>
    </cfRule>
    <cfRule type="expression" dxfId="3737" priority="3727">
      <formula>$I$114="Type 2"</formula>
    </cfRule>
  </conditionalFormatting>
  <conditionalFormatting sqref="I114:R114">
    <cfRule type="expression" dxfId="3736" priority="3739">
      <formula>$P$114="In progress"</formula>
    </cfRule>
  </conditionalFormatting>
  <conditionalFormatting sqref="I114:R114">
    <cfRule type="expression" dxfId="3735" priority="3738">
      <formula>$P$114="Closed"</formula>
    </cfRule>
  </conditionalFormatting>
  <conditionalFormatting sqref="I114:R114">
    <cfRule type="expression" dxfId="3734" priority="3737">
      <formula>$P$114="Canceled"</formula>
    </cfRule>
  </conditionalFormatting>
  <conditionalFormatting sqref="I114:R114">
    <cfRule type="expression" dxfId="3733" priority="3736">
      <formula>$P$114="Suspended"</formula>
    </cfRule>
  </conditionalFormatting>
  <conditionalFormatting sqref="I114:R114">
    <cfRule type="expression" dxfId="3732" priority="3735">
      <formula>$P$114="Applied"</formula>
    </cfRule>
  </conditionalFormatting>
  <conditionalFormatting sqref="I114:R114">
    <cfRule type="expression" dxfId="3731" priority="3734">
      <formula>$P$114="N/A"</formula>
    </cfRule>
  </conditionalFormatting>
  <conditionalFormatting sqref="I114:R114">
    <cfRule type="expression" dxfId="3730" priority="3733">
      <formula>$P$114=""</formula>
    </cfRule>
  </conditionalFormatting>
  <conditionalFormatting sqref="I114:R114">
    <cfRule type="expression" dxfId="3729" priority="3732">
      <formula>$I$114="Module 1"</formula>
    </cfRule>
  </conditionalFormatting>
  <conditionalFormatting sqref="I114:R114">
    <cfRule type="expression" dxfId="3728" priority="3731">
      <formula>$I$114="Module 2"</formula>
    </cfRule>
  </conditionalFormatting>
  <conditionalFormatting sqref="I114:R114">
    <cfRule type="expression" dxfId="3727" priority="3730">
      <formula>$I$114="Module 3"</formula>
    </cfRule>
    <cfRule type="expression" dxfId="3726" priority="3728">
      <formula>$I$114="Type 1"</formula>
    </cfRule>
    <cfRule type="expression" dxfId="3725" priority="3726">
      <formula>$I$114="Type 3"</formula>
    </cfRule>
  </conditionalFormatting>
  <conditionalFormatting sqref="L114">
    <cfRule type="expression" dxfId="3724" priority="3725">
      <formula>$L$114="1"</formula>
    </cfRule>
  </conditionalFormatting>
  <conditionalFormatting sqref="L114">
    <cfRule type="expression" dxfId="3723" priority="3724">
      <formula>$L$114="2"</formula>
    </cfRule>
  </conditionalFormatting>
  <conditionalFormatting sqref="L114">
    <cfRule type="expression" dxfId="3722" priority="3723">
      <formula>$L$114="3"</formula>
    </cfRule>
  </conditionalFormatting>
  <conditionalFormatting sqref="L114">
    <cfRule type="expression" dxfId="3721" priority="3722">
      <formula>$L$114="4"</formula>
    </cfRule>
  </conditionalFormatting>
  <conditionalFormatting sqref="L114">
    <cfRule type="expression" dxfId="3720" priority="3721">
      <formula>$L$114="5"</formula>
    </cfRule>
  </conditionalFormatting>
  <conditionalFormatting sqref="I115:R115">
    <cfRule type="expression" dxfId="3719" priority="3720">
      <formula>$P$115="Not started"</formula>
    </cfRule>
    <cfRule type="expression" dxfId="3718" priority="3709">
      <formula>$I$115="or"</formula>
    </cfRule>
    <cfRule type="expression" dxfId="3717" priority="3707">
      <formula>$I$115="Type 2"</formula>
    </cfRule>
  </conditionalFormatting>
  <conditionalFormatting sqref="I115:R115">
    <cfRule type="expression" dxfId="3716" priority="3719">
      <formula>$P$115="In progress"</formula>
    </cfRule>
  </conditionalFormatting>
  <conditionalFormatting sqref="I115:R115">
    <cfRule type="expression" dxfId="3715" priority="3718">
      <formula>$P$115="Closed"</formula>
    </cfRule>
  </conditionalFormatting>
  <conditionalFormatting sqref="I115:R115">
    <cfRule type="expression" dxfId="3714" priority="3717">
      <formula>$P$115="Canceled"</formula>
    </cfRule>
  </conditionalFormatting>
  <conditionalFormatting sqref="I115:R115">
    <cfRule type="expression" dxfId="3713" priority="3716">
      <formula>$P$115="Suspended"</formula>
    </cfRule>
  </conditionalFormatting>
  <conditionalFormatting sqref="I115:R115">
    <cfRule type="expression" dxfId="3712" priority="3715">
      <formula>$P$115="Applied"</formula>
    </cfRule>
  </conditionalFormatting>
  <conditionalFormatting sqref="I115:R115">
    <cfRule type="expression" dxfId="3711" priority="3714">
      <formula>$P$115="N/A"</formula>
    </cfRule>
  </conditionalFormatting>
  <conditionalFormatting sqref="I115:R115">
    <cfRule type="expression" dxfId="3710" priority="3713">
      <formula>$P$115=""</formula>
    </cfRule>
  </conditionalFormatting>
  <conditionalFormatting sqref="I115:R115">
    <cfRule type="expression" dxfId="3709" priority="3712">
      <formula>$I$115="Module 1"</formula>
    </cfRule>
  </conditionalFormatting>
  <conditionalFormatting sqref="I115:R115">
    <cfRule type="expression" dxfId="3708" priority="3711">
      <formula>$I$115="Module 2"</formula>
    </cfRule>
  </conditionalFormatting>
  <conditionalFormatting sqref="I115:R115">
    <cfRule type="expression" dxfId="3707" priority="3710">
      <formula>$I$115="Module 3"</formula>
    </cfRule>
    <cfRule type="expression" dxfId="3706" priority="3708">
      <formula>$I$115="Type 1"</formula>
    </cfRule>
    <cfRule type="expression" dxfId="3705" priority="3706">
      <formula>$I$115="Type 3"</formula>
    </cfRule>
  </conditionalFormatting>
  <conditionalFormatting sqref="L115">
    <cfRule type="expression" dxfId="3704" priority="3705">
      <formula>$L$115="1"</formula>
    </cfRule>
  </conditionalFormatting>
  <conditionalFormatting sqref="L115">
    <cfRule type="expression" dxfId="3703" priority="3704">
      <formula>$L$115="2"</formula>
    </cfRule>
  </conditionalFormatting>
  <conditionalFormatting sqref="L115">
    <cfRule type="expression" dxfId="3702" priority="3703">
      <formula>$L$115="3"</formula>
    </cfRule>
  </conditionalFormatting>
  <conditionalFormatting sqref="L115">
    <cfRule type="expression" dxfId="3701" priority="3702">
      <formula>$L$115="4"</formula>
    </cfRule>
  </conditionalFormatting>
  <conditionalFormatting sqref="L115">
    <cfRule type="expression" dxfId="3700" priority="3701">
      <formula>$L$115="5"</formula>
    </cfRule>
  </conditionalFormatting>
  <conditionalFormatting sqref="I116:R116">
    <cfRule type="expression" dxfId="3699" priority="3700">
      <formula>$P$116="Not started"</formula>
    </cfRule>
    <cfRule type="expression" dxfId="3698" priority="3689">
      <formula>$I$116="or"</formula>
    </cfRule>
    <cfRule type="expression" dxfId="3697" priority="3687">
      <formula>$I$116="Type 2"</formula>
    </cfRule>
  </conditionalFormatting>
  <conditionalFormatting sqref="I116:R116">
    <cfRule type="expression" dxfId="3696" priority="3699">
      <formula>$P$116="In progress"</formula>
    </cfRule>
  </conditionalFormatting>
  <conditionalFormatting sqref="I116:R116">
    <cfRule type="expression" dxfId="3695" priority="3698">
      <formula>$P$116="Closed"</formula>
    </cfRule>
  </conditionalFormatting>
  <conditionalFormatting sqref="I116:R116">
    <cfRule type="expression" dxfId="3694" priority="3697">
      <formula>$P$116="Canceled"</formula>
    </cfRule>
  </conditionalFormatting>
  <conditionalFormatting sqref="I116:R116">
    <cfRule type="expression" dxfId="3693" priority="3696">
      <formula>$P$116="Suspended"</formula>
    </cfRule>
  </conditionalFormatting>
  <conditionalFormatting sqref="I116:R116">
    <cfRule type="expression" dxfId="3692" priority="3695">
      <formula>$P$116="Applied"</formula>
    </cfRule>
  </conditionalFormatting>
  <conditionalFormatting sqref="I116:R116">
    <cfRule type="expression" dxfId="3691" priority="3694">
      <formula>$P$116="N/A"</formula>
    </cfRule>
  </conditionalFormatting>
  <conditionalFormatting sqref="I116:R116">
    <cfRule type="expression" dxfId="3690" priority="3693">
      <formula>$P$116=""</formula>
    </cfRule>
  </conditionalFormatting>
  <conditionalFormatting sqref="I116:R116">
    <cfRule type="expression" dxfId="3689" priority="3692">
      <formula>$I$116="Module 1"</formula>
    </cfRule>
  </conditionalFormatting>
  <conditionalFormatting sqref="I116:R116">
    <cfRule type="expression" dxfId="3688" priority="3691">
      <formula>$I$116="Module 2"</formula>
    </cfRule>
  </conditionalFormatting>
  <conditionalFormatting sqref="I116:R116">
    <cfRule type="expression" dxfId="3687" priority="3690">
      <formula>$I$116="Module 3"</formula>
    </cfRule>
    <cfRule type="expression" dxfId="3686" priority="3688">
      <formula>$I$116="Type 1"</formula>
    </cfRule>
    <cfRule type="expression" dxfId="3685" priority="3686">
      <formula>$I$116="Type 3"</formula>
    </cfRule>
  </conditionalFormatting>
  <conditionalFormatting sqref="L116">
    <cfRule type="expression" dxfId="3684" priority="3685">
      <formula>$L$116="1"</formula>
    </cfRule>
  </conditionalFormatting>
  <conditionalFormatting sqref="L116">
    <cfRule type="expression" dxfId="3683" priority="3684">
      <formula>$L$116="2"</formula>
    </cfRule>
  </conditionalFormatting>
  <conditionalFormatting sqref="L116">
    <cfRule type="expression" dxfId="3682" priority="3683">
      <formula>$L$116="3"</formula>
    </cfRule>
  </conditionalFormatting>
  <conditionalFormatting sqref="L116">
    <cfRule type="expression" dxfId="3681" priority="3682">
      <formula>$L$116="4"</formula>
    </cfRule>
  </conditionalFormatting>
  <conditionalFormatting sqref="L116">
    <cfRule type="expression" dxfId="3680" priority="3681">
      <formula>$L$116="5"</formula>
    </cfRule>
  </conditionalFormatting>
  <conditionalFormatting sqref="I117:R117">
    <cfRule type="expression" dxfId="3679" priority="3680">
      <formula>$P$117="Not started"</formula>
    </cfRule>
    <cfRule type="expression" dxfId="3678" priority="3669">
      <formula>$I$117="or"</formula>
    </cfRule>
    <cfRule type="expression" dxfId="3677" priority="3667">
      <formula>$I$117="Type 2"</formula>
    </cfRule>
  </conditionalFormatting>
  <conditionalFormatting sqref="I117:R117">
    <cfRule type="expression" dxfId="3676" priority="3679">
      <formula>$P$117="In progress"</formula>
    </cfRule>
  </conditionalFormatting>
  <conditionalFormatting sqref="I117:R117">
    <cfRule type="expression" dxfId="3675" priority="3678">
      <formula>$P$117="Closed"</formula>
    </cfRule>
  </conditionalFormatting>
  <conditionalFormatting sqref="I117:R117">
    <cfRule type="expression" dxfId="3674" priority="3677">
      <formula>$P$117="Canceled"</formula>
    </cfRule>
  </conditionalFormatting>
  <conditionalFormatting sqref="I117:R117">
    <cfRule type="expression" dxfId="3673" priority="3676">
      <formula>$P$117="Suspended"</formula>
    </cfRule>
  </conditionalFormatting>
  <conditionalFormatting sqref="I117:R117">
    <cfRule type="expression" dxfId="3672" priority="3675">
      <formula>$P$117="Applied"</formula>
    </cfRule>
  </conditionalFormatting>
  <conditionalFormatting sqref="I117:R117">
    <cfRule type="expression" dxfId="3671" priority="3674">
      <formula>$P$117="N/A"</formula>
    </cfRule>
  </conditionalFormatting>
  <conditionalFormatting sqref="I117:R117">
    <cfRule type="expression" dxfId="3670" priority="3673">
      <formula>$P$117=""</formula>
    </cfRule>
  </conditionalFormatting>
  <conditionalFormatting sqref="I117:R117">
    <cfRule type="expression" dxfId="3669" priority="3672">
      <formula>$I$117="Module 1"</formula>
    </cfRule>
  </conditionalFormatting>
  <conditionalFormatting sqref="I117:R117">
    <cfRule type="expression" dxfId="3668" priority="3671">
      <formula>$I$117="Module 2"</formula>
    </cfRule>
  </conditionalFormatting>
  <conditionalFormatting sqref="I117:R117">
    <cfRule type="expression" dxfId="3667" priority="3670">
      <formula>$I$117="Module 3"</formula>
    </cfRule>
    <cfRule type="expression" dxfId="3666" priority="3668">
      <formula>$I$117="Type 1"</formula>
    </cfRule>
    <cfRule type="expression" dxfId="3665" priority="3666">
      <formula>$I$117="Type 3"</formula>
    </cfRule>
  </conditionalFormatting>
  <conditionalFormatting sqref="L117">
    <cfRule type="expression" dxfId="3664" priority="3665">
      <formula>$L$117="1"</formula>
    </cfRule>
  </conditionalFormatting>
  <conditionalFormatting sqref="L117">
    <cfRule type="expression" dxfId="3663" priority="3664">
      <formula>$L$117="2"</formula>
    </cfRule>
  </conditionalFormatting>
  <conditionalFormatting sqref="L117">
    <cfRule type="expression" dxfId="3662" priority="3663">
      <formula>$L$117="3"</formula>
    </cfRule>
  </conditionalFormatting>
  <conditionalFormatting sqref="L117">
    <cfRule type="expression" dxfId="3661" priority="3662">
      <formula>$L$117="4"</formula>
    </cfRule>
  </conditionalFormatting>
  <conditionalFormatting sqref="L117">
    <cfRule type="expression" dxfId="3660" priority="3661">
      <formula>$L$117="5"</formula>
    </cfRule>
  </conditionalFormatting>
  <conditionalFormatting sqref="I118:R118">
    <cfRule type="expression" dxfId="3659" priority="3660">
      <formula>$P$118="Not started"</formula>
    </cfRule>
  </conditionalFormatting>
  <conditionalFormatting sqref="I118:R118">
    <cfRule type="expression" dxfId="3658" priority="3659">
      <formula>$P$118="In progress"</formula>
    </cfRule>
  </conditionalFormatting>
  <conditionalFormatting sqref="I118:R118">
    <cfRule type="expression" dxfId="3657" priority="3658">
      <formula>$P$118="Closed"</formula>
    </cfRule>
  </conditionalFormatting>
  <conditionalFormatting sqref="I118:R118">
    <cfRule type="expression" dxfId="3656" priority="3657">
      <formula>$P$118="Canceled"</formula>
    </cfRule>
  </conditionalFormatting>
  <conditionalFormatting sqref="I118:R118">
    <cfRule type="expression" dxfId="3655" priority="3656">
      <formula>$P$118="Suspended"</formula>
    </cfRule>
  </conditionalFormatting>
  <conditionalFormatting sqref="I118:R118">
    <cfRule type="expression" dxfId="3654" priority="3655">
      <formula>$P$118="Applied"</formula>
    </cfRule>
  </conditionalFormatting>
  <conditionalFormatting sqref="I118:R118">
    <cfRule type="expression" dxfId="3653" priority="3654">
      <formula>$P$118="N/A"</formula>
    </cfRule>
  </conditionalFormatting>
  <conditionalFormatting sqref="I118:R118">
    <cfRule type="expression" dxfId="3652" priority="3653">
      <formula>$P$118=""</formula>
    </cfRule>
  </conditionalFormatting>
  <conditionalFormatting sqref="I118:R118">
    <cfRule type="expression" dxfId="3651" priority="3652">
      <formula>$I$118="Module 1"</formula>
    </cfRule>
  </conditionalFormatting>
  <conditionalFormatting sqref="I118:R118">
    <cfRule type="expression" dxfId="3650" priority="3651">
      <formula>$I$118="Module 2"</formula>
    </cfRule>
  </conditionalFormatting>
  <conditionalFormatting sqref="I118:R118">
    <cfRule type="expression" dxfId="3649" priority="3650">
      <formula>$I$118="Module 3"</formula>
    </cfRule>
  </conditionalFormatting>
  <conditionalFormatting sqref="I118:R118">
    <cfRule type="expression" dxfId="3648" priority="3649">
      <formula>$I$118="or"</formula>
    </cfRule>
  </conditionalFormatting>
  <conditionalFormatting sqref="I118:R118">
    <cfRule type="expression" dxfId="3647" priority="3648">
      <formula>$I$118="Type 1"</formula>
    </cfRule>
  </conditionalFormatting>
  <conditionalFormatting sqref="I118:R118">
    <cfRule type="expression" dxfId="3646" priority="3647">
      <formula>$I$118="Type 2"</formula>
    </cfRule>
  </conditionalFormatting>
  <conditionalFormatting sqref="I118:R118">
    <cfRule type="expression" dxfId="3645" priority="3646">
      <formula>$I$118="Type 3"</formula>
    </cfRule>
  </conditionalFormatting>
  <conditionalFormatting sqref="L118">
    <cfRule type="expression" dxfId="3644" priority="3645">
      <formula>$L$118="1"</formula>
    </cfRule>
  </conditionalFormatting>
  <conditionalFormatting sqref="L118">
    <cfRule type="expression" dxfId="3643" priority="3644">
      <formula>$L$118="2"</formula>
    </cfRule>
  </conditionalFormatting>
  <conditionalFormatting sqref="L118">
    <cfRule type="expression" dxfId="3642" priority="3643">
      <formula>$L$118="3"</formula>
    </cfRule>
  </conditionalFormatting>
  <conditionalFormatting sqref="L118">
    <cfRule type="expression" dxfId="3641" priority="3642">
      <formula>$L$118="4"</formula>
    </cfRule>
  </conditionalFormatting>
  <conditionalFormatting sqref="L118">
    <cfRule type="expression" dxfId="3640" priority="3641">
      <formula>$L$118="5"</formula>
    </cfRule>
  </conditionalFormatting>
  <conditionalFormatting sqref="I119:R119">
    <cfRule type="expression" dxfId="3639" priority="3640">
      <formula>$P$119="Not started"</formula>
    </cfRule>
    <cfRule type="expression" dxfId="3638" priority="3629">
      <formula>$I$119="or"</formula>
    </cfRule>
    <cfRule type="expression" dxfId="3637" priority="3627">
      <formula>$I$119="Type 2"</formula>
    </cfRule>
  </conditionalFormatting>
  <conditionalFormatting sqref="I119:R119">
    <cfRule type="expression" dxfId="3636" priority="3639">
      <formula>$P$119="In progress"</formula>
    </cfRule>
  </conditionalFormatting>
  <conditionalFormatting sqref="I119:R119">
    <cfRule type="expression" dxfId="3635" priority="3638">
      <formula>$P$119="Closed"</formula>
    </cfRule>
  </conditionalFormatting>
  <conditionalFormatting sqref="I119:R119">
    <cfRule type="expression" dxfId="3634" priority="3637">
      <formula>$P$119="Canceled"</formula>
    </cfRule>
  </conditionalFormatting>
  <conditionalFormatting sqref="I119:R119">
    <cfRule type="expression" dxfId="3633" priority="3636">
      <formula>$P$119="Suspended"</formula>
    </cfRule>
  </conditionalFormatting>
  <conditionalFormatting sqref="I119:R119">
    <cfRule type="expression" dxfId="3632" priority="3635">
      <formula>$P$119="Applied"</formula>
    </cfRule>
  </conditionalFormatting>
  <conditionalFormatting sqref="I119:R119">
    <cfRule type="expression" dxfId="3631" priority="3634">
      <formula>$P$119="N/A"</formula>
    </cfRule>
  </conditionalFormatting>
  <conditionalFormatting sqref="I119:R119">
    <cfRule type="expression" dxfId="3630" priority="3633">
      <formula>$P$119=""</formula>
    </cfRule>
  </conditionalFormatting>
  <conditionalFormatting sqref="I119:R119">
    <cfRule type="expression" dxfId="3629" priority="3632">
      <formula>$I$119="Module 1"</formula>
    </cfRule>
  </conditionalFormatting>
  <conditionalFormatting sqref="I119:R119">
    <cfRule type="expression" dxfId="3628" priority="3631">
      <formula>$I$119="Module 2"</formula>
    </cfRule>
  </conditionalFormatting>
  <conditionalFormatting sqref="I119:R119">
    <cfRule type="expression" dxfId="3627" priority="3630">
      <formula>$I$119="Module 3"</formula>
    </cfRule>
    <cfRule type="expression" dxfId="3626" priority="3628">
      <formula>$I$119="Type 1"</formula>
    </cfRule>
    <cfRule type="expression" dxfId="3625" priority="3626">
      <formula>$I$119="Type 3"</formula>
    </cfRule>
  </conditionalFormatting>
  <conditionalFormatting sqref="L119">
    <cfRule type="expression" dxfId="3624" priority="3625">
      <formula>$L$119="1"</formula>
    </cfRule>
  </conditionalFormatting>
  <conditionalFormatting sqref="L119">
    <cfRule type="expression" dxfId="3623" priority="3624">
      <formula>$L$119="2"</formula>
    </cfRule>
  </conditionalFormatting>
  <conditionalFormatting sqref="L119">
    <cfRule type="expression" dxfId="3622" priority="3623">
      <formula>$L$119="3"</formula>
    </cfRule>
  </conditionalFormatting>
  <conditionalFormatting sqref="L119">
    <cfRule type="expression" dxfId="3621" priority="3622">
      <formula>$L$119="4"</formula>
    </cfRule>
  </conditionalFormatting>
  <conditionalFormatting sqref="L119">
    <cfRule type="expression" dxfId="3620" priority="3621">
      <formula>$L$119="5"</formula>
    </cfRule>
  </conditionalFormatting>
  <conditionalFormatting sqref="I120:R120">
    <cfRule type="expression" dxfId="3619" priority="3620">
      <formula>$P$120="Not started"</formula>
    </cfRule>
    <cfRule type="expression" dxfId="3618" priority="3609">
      <formula>$I$120="or"</formula>
    </cfRule>
    <cfRule type="expression" dxfId="3617" priority="3607">
      <formula>$I$120="Type 2"</formula>
    </cfRule>
  </conditionalFormatting>
  <conditionalFormatting sqref="I120:R120">
    <cfRule type="expression" dxfId="3616" priority="3619">
      <formula>$P$120="In progress"</formula>
    </cfRule>
  </conditionalFormatting>
  <conditionalFormatting sqref="I120:R120">
    <cfRule type="expression" dxfId="3615" priority="3618">
      <formula>$P$120="Closed"</formula>
    </cfRule>
  </conditionalFormatting>
  <conditionalFormatting sqref="I120:R120">
    <cfRule type="expression" dxfId="3614" priority="3617">
      <formula>$P$120="Canceled"</formula>
    </cfRule>
  </conditionalFormatting>
  <conditionalFormatting sqref="I120:R120">
    <cfRule type="expression" dxfId="3613" priority="3616">
      <formula>$P$120="Suspended"</formula>
    </cfRule>
  </conditionalFormatting>
  <conditionalFormatting sqref="I120:R120">
    <cfRule type="expression" dxfId="3612" priority="3615">
      <formula>$P$120="Applied"</formula>
    </cfRule>
  </conditionalFormatting>
  <conditionalFormatting sqref="I120:R120">
    <cfRule type="expression" dxfId="3611" priority="3614">
      <formula>$P$120="N/A"</formula>
    </cfRule>
  </conditionalFormatting>
  <conditionalFormatting sqref="I120:R120">
    <cfRule type="expression" dxfId="3610" priority="3613">
      <formula>$P$120=""</formula>
    </cfRule>
  </conditionalFormatting>
  <conditionalFormatting sqref="I120:R120">
    <cfRule type="expression" dxfId="3609" priority="3612">
      <formula>$I$120="Module 1"</formula>
    </cfRule>
  </conditionalFormatting>
  <conditionalFormatting sqref="I120:R120">
    <cfRule type="expression" dxfId="3608" priority="3611">
      <formula>$I$120="Module 2"</formula>
    </cfRule>
  </conditionalFormatting>
  <conditionalFormatting sqref="I120:R120">
    <cfRule type="expression" dxfId="3607" priority="3610">
      <formula>$I$120="Module 3"</formula>
    </cfRule>
    <cfRule type="expression" dxfId="3606" priority="3608">
      <formula>$I$120="Type 1"</formula>
    </cfRule>
    <cfRule type="expression" dxfId="3605" priority="3606">
      <formula>$I$120="Type 3"</formula>
    </cfRule>
  </conditionalFormatting>
  <conditionalFormatting sqref="L120">
    <cfRule type="expression" dxfId="3604" priority="3605">
      <formula>$L$120="1"</formula>
    </cfRule>
  </conditionalFormatting>
  <conditionalFormatting sqref="L120">
    <cfRule type="expression" dxfId="3603" priority="3604">
      <formula>$L$120="2"</formula>
    </cfRule>
  </conditionalFormatting>
  <conditionalFormatting sqref="L120">
    <cfRule type="expression" dxfId="3602" priority="3603">
      <formula>$L$120="3"</formula>
    </cfRule>
  </conditionalFormatting>
  <conditionalFormatting sqref="L120">
    <cfRule type="expression" dxfId="3601" priority="3602">
      <formula>$L$120="4"</formula>
    </cfRule>
  </conditionalFormatting>
  <conditionalFormatting sqref="L120">
    <cfRule type="expression" dxfId="3600" priority="3601">
      <formula>$L$120="5"</formula>
    </cfRule>
  </conditionalFormatting>
  <conditionalFormatting sqref="I121:R121">
    <cfRule type="expression" dxfId="3599" priority="3600">
      <formula>$P$121="Not started"</formula>
    </cfRule>
    <cfRule type="expression" dxfId="3598" priority="3589">
      <formula>$I$121="or"</formula>
    </cfRule>
    <cfRule type="expression" dxfId="3597" priority="3587">
      <formula>$I$121="Type 2"</formula>
    </cfRule>
  </conditionalFormatting>
  <conditionalFormatting sqref="I121:R121">
    <cfRule type="expression" dxfId="3596" priority="3599">
      <formula>$P$121="In progress"</formula>
    </cfRule>
  </conditionalFormatting>
  <conditionalFormatting sqref="I121:R121">
    <cfRule type="expression" dxfId="3595" priority="3598">
      <formula>$P$121="Closed"</formula>
    </cfRule>
  </conditionalFormatting>
  <conditionalFormatting sqref="I121:R121">
    <cfRule type="expression" dxfId="3594" priority="3597">
      <formula>$P$121="Canceled"</formula>
    </cfRule>
  </conditionalFormatting>
  <conditionalFormatting sqref="I121:R121">
    <cfRule type="expression" dxfId="3593" priority="3596">
      <formula>$P$121="Suspended"</formula>
    </cfRule>
  </conditionalFormatting>
  <conditionalFormatting sqref="I121:R121">
    <cfRule type="expression" dxfId="3592" priority="3595">
      <formula>$P$121="Applied"</formula>
    </cfRule>
  </conditionalFormatting>
  <conditionalFormatting sqref="I121:R121">
    <cfRule type="expression" dxfId="3591" priority="3594">
      <formula>$P$121="N/A"</formula>
    </cfRule>
  </conditionalFormatting>
  <conditionalFormatting sqref="I121:R121">
    <cfRule type="expression" dxfId="3590" priority="3593">
      <formula>$P$121=""</formula>
    </cfRule>
  </conditionalFormatting>
  <conditionalFormatting sqref="I121:R121">
    <cfRule type="expression" dxfId="3589" priority="3592">
      <formula>$I$121="Module 1"</formula>
    </cfRule>
  </conditionalFormatting>
  <conditionalFormatting sqref="I121:R121">
    <cfRule type="expression" dxfId="3588" priority="3591">
      <formula>$I$121="Module 2"</formula>
    </cfRule>
  </conditionalFormatting>
  <conditionalFormatting sqref="I121:R121">
    <cfRule type="expression" dxfId="3587" priority="3590">
      <formula>$I$121="Module 3"</formula>
    </cfRule>
    <cfRule type="expression" dxfId="3586" priority="3588">
      <formula>$I$121="Type 1"</formula>
    </cfRule>
    <cfRule type="expression" dxfId="3585" priority="3586">
      <formula>$I$121="Type 3"</formula>
    </cfRule>
  </conditionalFormatting>
  <conditionalFormatting sqref="L121">
    <cfRule type="expression" dxfId="3584" priority="3585">
      <formula>$L$121="1"</formula>
    </cfRule>
  </conditionalFormatting>
  <conditionalFormatting sqref="L121">
    <cfRule type="expression" dxfId="3583" priority="3584">
      <formula>$L$121="2"</formula>
    </cfRule>
  </conditionalFormatting>
  <conditionalFormatting sqref="L121">
    <cfRule type="expression" dxfId="3582" priority="3583">
      <formula>$L$121="3"</formula>
    </cfRule>
  </conditionalFormatting>
  <conditionalFormatting sqref="L121">
    <cfRule type="expression" dxfId="3581" priority="3582">
      <formula>$L$121="4"</formula>
    </cfRule>
  </conditionalFormatting>
  <conditionalFormatting sqref="L121">
    <cfRule type="expression" dxfId="3580" priority="3581">
      <formula>$L$121="5"</formula>
    </cfRule>
  </conditionalFormatting>
  <conditionalFormatting sqref="I122:R122">
    <cfRule type="expression" dxfId="3579" priority="3580">
      <formula>$P$122="Not started"</formula>
    </cfRule>
    <cfRule type="expression" dxfId="3578" priority="3569">
      <formula>$I$122="or"</formula>
    </cfRule>
    <cfRule type="expression" dxfId="3577" priority="3567">
      <formula>$I$122="Type 2"</formula>
    </cfRule>
  </conditionalFormatting>
  <conditionalFormatting sqref="I122:R122">
    <cfRule type="expression" dxfId="3576" priority="3579">
      <formula>$P$122="In progress"</formula>
    </cfRule>
  </conditionalFormatting>
  <conditionalFormatting sqref="I122:R122">
    <cfRule type="expression" dxfId="3575" priority="3578">
      <formula>$P$122="Closed"</formula>
    </cfRule>
  </conditionalFormatting>
  <conditionalFormatting sqref="I122:R122">
    <cfRule type="expression" dxfId="3574" priority="3577">
      <formula>$P$122="Canceled"</formula>
    </cfRule>
  </conditionalFormatting>
  <conditionalFormatting sqref="I122:R122">
    <cfRule type="expression" dxfId="3573" priority="3576">
      <formula>$P$122="Suspended"</formula>
    </cfRule>
  </conditionalFormatting>
  <conditionalFormatting sqref="I122:R122">
    <cfRule type="expression" dxfId="3572" priority="3575">
      <formula>$P$122="Applied"</formula>
    </cfRule>
  </conditionalFormatting>
  <conditionalFormatting sqref="I122:R122">
    <cfRule type="expression" dxfId="3571" priority="3574">
      <formula>$P$122="N/A"</formula>
    </cfRule>
  </conditionalFormatting>
  <conditionalFormatting sqref="I122:R122">
    <cfRule type="expression" dxfId="3570" priority="3573">
      <formula>$P$122=""</formula>
    </cfRule>
  </conditionalFormatting>
  <conditionalFormatting sqref="I122:R122">
    <cfRule type="expression" dxfId="3569" priority="3572">
      <formula>$I$122="Module 1"</formula>
    </cfRule>
  </conditionalFormatting>
  <conditionalFormatting sqref="I122:R122">
    <cfRule type="expression" dxfId="3568" priority="3571">
      <formula>$I$122="Module 2"</formula>
    </cfRule>
  </conditionalFormatting>
  <conditionalFormatting sqref="I122:R122">
    <cfRule type="expression" dxfId="3567" priority="3570">
      <formula>$I$122="Module 3"</formula>
    </cfRule>
    <cfRule type="expression" dxfId="3566" priority="3568">
      <formula>$I$122="Type 1"</formula>
    </cfRule>
    <cfRule type="expression" dxfId="3565" priority="3566">
      <formula>$I$122="Type 3"</formula>
    </cfRule>
  </conditionalFormatting>
  <conditionalFormatting sqref="L122">
    <cfRule type="expression" dxfId="3564" priority="3565">
      <formula>$L$122="1"</formula>
    </cfRule>
  </conditionalFormatting>
  <conditionalFormatting sqref="L122">
    <cfRule type="expression" dxfId="3563" priority="3564">
      <formula>$L$122="2"</formula>
    </cfRule>
  </conditionalFormatting>
  <conditionalFormatting sqref="L122">
    <cfRule type="expression" dxfId="3562" priority="3563">
      <formula>$L$122="3"</formula>
    </cfRule>
  </conditionalFormatting>
  <conditionalFormatting sqref="L122">
    <cfRule type="expression" dxfId="3561" priority="3562">
      <formula>$L$122="4"</formula>
    </cfRule>
  </conditionalFormatting>
  <conditionalFormatting sqref="L122">
    <cfRule type="expression" dxfId="3560" priority="3561">
      <formula>$L$122="5"</formula>
    </cfRule>
  </conditionalFormatting>
  <conditionalFormatting sqref="I123:R123">
    <cfRule type="expression" dxfId="3559" priority="3560">
      <formula>$P$123="Not started"</formula>
    </cfRule>
    <cfRule type="expression" dxfId="3558" priority="3549">
      <formula>$I$123="or"</formula>
    </cfRule>
    <cfRule type="expression" dxfId="3557" priority="3547">
      <formula>$I$123="Type 2"</formula>
    </cfRule>
  </conditionalFormatting>
  <conditionalFormatting sqref="I123:R123">
    <cfRule type="expression" dxfId="3556" priority="3559">
      <formula>$P$123="In progress"</formula>
    </cfRule>
  </conditionalFormatting>
  <conditionalFormatting sqref="I123:R123">
    <cfRule type="expression" dxfId="3555" priority="3558">
      <formula>$P$123="Closed"</formula>
    </cfRule>
  </conditionalFormatting>
  <conditionalFormatting sqref="I123:R123">
    <cfRule type="expression" dxfId="3554" priority="3557">
      <formula>$P$123="Canceled"</formula>
    </cfRule>
  </conditionalFormatting>
  <conditionalFormatting sqref="I123:R123">
    <cfRule type="expression" dxfId="3553" priority="3556">
      <formula>$P$123="Suspended"</formula>
    </cfRule>
  </conditionalFormatting>
  <conditionalFormatting sqref="I123:R123">
    <cfRule type="expression" dxfId="3552" priority="3555">
      <formula>$P$123="Applied"</formula>
    </cfRule>
  </conditionalFormatting>
  <conditionalFormatting sqref="I123:R123">
    <cfRule type="expression" dxfId="3551" priority="3554">
      <formula>$P$123="N/A"</formula>
    </cfRule>
  </conditionalFormatting>
  <conditionalFormatting sqref="I123:R123">
    <cfRule type="expression" dxfId="3550" priority="3553">
      <formula>$P$123=""</formula>
    </cfRule>
  </conditionalFormatting>
  <conditionalFormatting sqref="I123:R123">
    <cfRule type="expression" dxfId="3549" priority="3552">
      <formula>$I$123="Module 1"</formula>
    </cfRule>
  </conditionalFormatting>
  <conditionalFormatting sqref="I123:R123">
    <cfRule type="expression" dxfId="3548" priority="3551">
      <formula>$I$123="Module 2"</formula>
    </cfRule>
  </conditionalFormatting>
  <conditionalFormatting sqref="I123:R123">
    <cfRule type="expression" dxfId="3547" priority="3550">
      <formula>$I$123="Module 3"</formula>
    </cfRule>
    <cfRule type="expression" dxfId="3546" priority="3548">
      <formula>$I$123="Type 1"</formula>
    </cfRule>
    <cfRule type="expression" dxfId="3545" priority="3546">
      <formula>$I$123="Type 3"</formula>
    </cfRule>
  </conditionalFormatting>
  <conditionalFormatting sqref="L123">
    <cfRule type="expression" dxfId="3544" priority="3545">
      <formula>$L$123="1"</formula>
    </cfRule>
  </conditionalFormatting>
  <conditionalFormatting sqref="L123">
    <cfRule type="expression" dxfId="3543" priority="3544">
      <formula>$L$123="2"</formula>
    </cfRule>
  </conditionalFormatting>
  <conditionalFormatting sqref="L123">
    <cfRule type="expression" dxfId="3542" priority="3543">
      <formula>$L$123="3"</formula>
    </cfRule>
  </conditionalFormatting>
  <conditionalFormatting sqref="L123">
    <cfRule type="expression" dxfId="3541" priority="3542">
      <formula>$L$123="4"</formula>
    </cfRule>
  </conditionalFormatting>
  <conditionalFormatting sqref="L123">
    <cfRule type="expression" dxfId="3540" priority="3541">
      <formula>$L$123="5"</formula>
    </cfRule>
  </conditionalFormatting>
  <conditionalFormatting sqref="I124:R124">
    <cfRule type="expression" dxfId="3539" priority="3540">
      <formula>$P$124="Not started"</formula>
    </cfRule>
    <cfRule type="expression" dxfId="3538" priority="3529">
      <formula>$I$124="or"</formula>
    </cfRule>
    <cfRule type="expression" dxfId="3537" priority="3527">
      <formula>$I$124="Type 2"</formula>
    </cfRule>
  </conditionalFormatting>
  <conditionalFormatting sqref="I124:R124">
    <cfRule type="expression" dxfId="3536" priority="3539">
      <formula>$P$124="In progress"</formula>
    </cfRule>
  </conditionalFormatting>
  <conditionalFormatting sqref="I124:R124">
    <cfRule type="expression" dxfId="3535" priority="3538">
      <formula>$P$124="Closed"</formula>
    </cfRule>
  </conditionalFormatting>
  <conditionalFormatting sqref="I124:R124">
    <cfRule type="expression" dxfId="3534" priority="3537">
      <formula>$P$124="Canceled"</formula>
    </cfRule>
  </conditionalFormatting>
  <conditionalFormatting sqref="I124:R124">
    <cfRule type="expression" dxfId="3533" priority="3536">
      <formula>$P$124="Suspended"</formula>
    </cfRule>
  </conditionalFormatting>
  <conditionalFormatting sqref="I124:R124">
    <cfRule type="expression" dxfId="3532" priority="3535">
      <formula>$P$124="Applied"</formula>
    </cfRule>
  </conditionalFormatting>
  <conditionalFormatting sqref="I124:R124">
    <cfRule type="expression" dxfId="3531" priority="3534">
      <formula>$P$124="N/A"</formula>
    </cfRule>
  </conditionalFormatting>
  <conditionalFormatting sqref="I124:R124">
    <cfRule type="expression" dxfId="3530" priority="3533">
      <formula>$P$124=""</formula>
    </cfRule>
  </conditionalFormatting>
  <conditionalFormatting sqref="I124:R124">
    <cfRule type="expression" dxfId="3529" priority="3532">
      <formula>$I$124="Module 1"</formula>
    </cfRule>
  </conditionalFormatting>
  <conditionalFormatting sqref="I124:R124">
    <cfRule type="expression" dxfId="3528" priority="3531">
      <formula>$I$124="Module 2"</formula>
    </cfRule>
  </conditionalFormatting>
  <conditionalFormatting sqref="I124:R124">
    <cfRule type="expression" dxfId="3527" priority="3530">
      <formula>$I$124="Module 3"</formula>
    </cfRule>
    <cfRule type="expression" dxfId="3526" priority="3528">
      <formula>$I$124="Type 1"</formula>
    </cfRule>
    <cfRule type="expression" dxfId="3525" priority="3526">
      <formula>$I$124="Type 3"</formula>
    </cfRule>
  </conditionalFormatting>
  <conditionalFormatting sqref="L124">
    <cfRule type="expression" dxfId="3524" priority="3525">
      <formula>$L$124="1"</formula>
    </cfRule>
  </conditionalFormatting>
  <conditionalFormatting sqref="L124">
    <cfRule type="expression" dxfId="3523" priority="3524">
      <formula>$L$124="2"</formula>
    </cfRule>
  </conditionalFormatting>
  <conditionalFormatting sqref="L124">
    <cfRule type="expression" dxfId="3522" priority="3523">
      <formula>$L$124="3"</formula>
    </cfRule>
  </conditionalFormatting>
  <conditionalFormatting sqref="L124">
    <cfRule type="expression" dxfId="3521" priority="3522">
      <formula>$L$124="4"</formula>
    </cfRule>
  </conditionalFormatting>
  <conditionalFormatting sqref="L124">
    <cfRule type="expression" dxfId="3520" priority="3521">
      <formula>$L$124="5"</formula>
    </cfRule>
  </conditionalFormatting>
  <conditionalFormatting sqref="I125:R125">
    <cfRule type="expression" dxfId="3519" priority="3520">
      <formula>$P$125="Not started"</formula>
    </cfRule>
    <cfRule type="expression" dxfId="3518" priority="3509">
      <formula>$I$125="or"</formula>
    </cfRule>
    <cfRule type="expression" dxfId="3517" priority="3507">
      <formula>$I$125="Type 2"</formula>
    </cfRule>
  </conditionalFormatting>
  <conditionalFormatting sqref="I125:R125">
    <cfRule type="expression" dxfId="3516" priority="3519">
      <formula>$P$125="In progress"</formula>
    </cfRule>
  </conditionalFormatting>
  <conditionalFormatting sqref="I125:R125">
    <cfRule type="expression" dxfId="3515" priority="3518">
      <formula>$P$125="Closed"</formula>
    </cfRule>
  </conditionalFormatting>
  <conditionalFormatting sqref="I125:R125">
    <cfRule type="expression" dxfId="3514" priority="3517">
      <formula>$P$125="Canceled"</formula>
    </cfRule>
  </conditionalFormatting>
  <conditionalFormatting sqref="I125:R125">
    <cfRule type="expression" dxfId="3513" priority="3516">
      <formula>$P$125="Suspended"</formula>
    </cfRule>
  </conditionalFormatting>
  <conditionalFormatting sqref="I125:R125">
    <cfRule type="expression" dxfId="3512" priority="3515">
      <formula>$P$125="Applied"</formula>
    </cfRule>
  </conditionalFormatting>
  <conditionalFormatting sqref="I125:R125">
    <cfRule type="expression" dxfId="3511" priority="3514">
      <formula>$P$125="N/A"</formula>
    </cfRule>
  </conditionalFormatting>
  <conditionalFormatting sqref="I125:R125">
    <cfRule type="expression" dxfId="3510" priority="3513">
      <formula>$P$125=""</formula>
    </cfRule>
  </conditionalFormatting>
  <conditionalFormatting sqref="I125:R125">
    <cfRule type="expression" dxfId="3509" priority="3512">
      <formula>$I$125="Module 1"</formula>
    </cfRule>
  </conditionalFormatting>
  <conditionalFormatting sqref="I125:R125">
    <cfRule type="expression" dxfId="3508" priority="3511">
      <formula>$I$125="Module 2"</formula>
    </cfRule>
  </conditionalFormatting>
  <conditionalFormatting sqref="I125:R125">
    <cfRule type="expression" dxfId="3507" priority="3510">
      <formula>$I$125="Module 3"</formula>
    </cfRule>
    <cfRule type="expression" dxfId="3506" priority="3508">
      <formula>$I$125="Type 1"</formula>
    </cfRule>
    <cfRule type="expression" dxfId="3505" priority="3506">
      <formula>$I$125="Type 3"</formula>
    </cfRule>
  </conditionalFormatting>
  <conditionalFormatting sqref="L125">
    <cfRule type="expression" dxfId="3504" priority="3505">
      <formula>$L$125="1"</formula>
    </cfRule>
  </conditionalFormatting>
  <conditionalFormatting sqref="L125">
    <cfRule type="expression" dxfId="3503" priority="3504">
      <formula>$L$125="2"</formula>
    </cfRule>
  </conditionalFormatting>
  <conditionalFormatting sqref="L125">
    <cfRule type="expression" dxfId="3502" priority="3503">
      <formula>$L$125="3"</formula>
    </cfRule>
  </conditionalFormatting>
  <conditionalFormatting sqref="L125">
    <cfRule type="expression" dxfId="3501" priority="3502">
      <formula>$L$125="4"</formula>
    </cfRule>
  </conditionalFormatting>
  <conditionalFormatting sqref="L125">
    <cfRule type="expression" dxfId="3500" priority="3501">
      <formula>$L$125="5"</formula>
    </cfRule>
  </conditionalFormatting>
  <conditionalFormatting sqref="I126:R126">
    <cfRule type="expression" dxfId="3499" priority="3500">
      <formula>$P$126="Not started"</formula>
    </cfRule>
    <cfRule type="expression" dxfId="3498" priority="3489">
      <formula>$I$126="or"</formula>
    </cfRule>
    <cfRule type="expression" dxfId="3497" priority="3487">
      <formula>$I$126="Type 2"</formula>
    </cfRule>
  </conditionalFormatting>
  <conditionalFormatting sqref="I126:R126">
    <cfRule type="expression" dxfId="3496" priority="3499">
      <formula>$P$126="In progress"</formula>
    </cfRule>
  </conditionalFormatting>
  <conditionalFormatting sqref="I126:R126">
    <cfRule type="expression" dxfId="3495" priority="3498">
      <formula>$P$126="Closed"</formula>
    </cfRule>
  </conditionalFormatting>
  <conditionalFormatting sqref="I126:R126">
    <cfRule type="expression" dxfId="3494" priority="3497">
      <formula>$P$126="Canceled"</formula>
    </cfRule>
  </conditionalFormatting>
  <conditionalFormatting sqref="I126:R126">
    <cfRule type="expression" dxfId="3493" priority="3496">
      <formula>$P$126="Suspended"</formula>
    </cfRule>
  </conditionalFormatting>
  <conditionalFormatting sqref="I126:R126">
    <cfRule type="expression" dxfId="3492" priority="3495">
      <formula>$P$126="Applied"</formula>
    </cfRule>
  </conditionalFormatting>
  <conditionalFormatting sqref="I126:R126">
    <cfRule type="expression" dxfId="3491" priority="3494">
      <formula>$P$126="N/A"</formula>
    </cfRule>
  </conditionalFormatting>
  <conditionalFormatting sqref="I126:R126">
    <cfRule type="expression" dxfId="3490" priority="3493">
      <formula>$P$126=""</formula>
    </cfRule>
  </conditionalFormatting>
  <conditionalFormatting sqref="I126:R126">
    <cfRule type="expression" dxfId="3489" priority="3492">
      <formula>$I$126="Module 1"</formula>
    </cfRule>
  </conditionalFormatting>
  <conditionalFormatting sqref="I126:R126">
    <cfRule type="expression" dxfId="3488" priority="3491">
      <formula>$I$126="Module 2"</formula>
    </cfRule>
  </conditionalFormatting>
  <conditionalFormatting sqref="I126:R126">
    <cfRule type="expression" dxfId="3487" priority="3490">
      <formula>$I$126="Module 3"</formula>
    </cfRule>
    <cfRule type="expression" dxfId="3486" priority="3488">
      <formula>$I$126="Type 1"</formula>
    </cfRule>
    <cfRule type="expression" dxfId="3485" priority="3486">
      <formula>$I$126="Type 3"</formula>
    </cfRule>
  </conditionalFormatting>
  <conditionalFormatting sqref="L126">
    <cfRule type="expression" dxfId="3484" priority="3485">
      <formula>$L$126="1"</formula>
    </cfRule>
  </conditionalFormatting>
  <conditionalFormatting sqref="L126">
    <cfRule type="expression" dxfId="3483" priority="3484">
      <formula>$L$126="2"</formula>
    </cfRule>
  </conditionalFormatting>
  <conditionalFormatting sqref="L126">
    <cfRule type="expression" dxfId="3482" priority="3483">
      <formula>$L$126="3"</formula>
    </cfRule>
  </conditionalFormatting>
  <conditionalFormatting sqref="L126">
    <cfRule type="expression" dxfId="3481" priority="3482">
      <formula>$L$126="4"</formula>
    </cfRule>
  </conditionalFormatting>
  <conditionalFormatting sqref="L126">
    <cfRule type="expression" dxfId="3480" priority="3481">
      <formula>$L$126="5"</formula>
    </cfRule>
  </conditionalFormatting>
  <conditionalFormatting sqref="I127:R127">
    <cfRule type="expression" dxfId="3479" priority="3480">
      <formula>$P$127="Not started"</formula>
    </cfRule>
    <cfRule type="expression" dxfId="3478" priority="3469">
      <formula>$I$127="or"</formula>
    </cfRule>
    <cfRule type="expression" dxfId="3477" priority="3467">
      <formula>$I$127="Type 2"</formula>
    </cfRule>
  </conditionalFormatting>
  <conditionalFormatting sqref="I127:R127">
    <cfRule type="expression" dxfId="3476" priority="3479">
      <formula>$P$127="In progress"</formula>
    </cfRule>
  </conditionalFormatting>
  <conditionalFormatting sqref="I127:R127">
    <cfRule type="expression" dxfId="3475" priority="3478">
      <formula>$P$127="Closed"</formula>
    </cfRule>
  </conditionalFormatting>
  <conditionalFormatting sqref="I127:R127">
    <cfRule type="expression" dxfId="3474" priority="3477">
      <formula>$P$127="Canceled"</formula>
    </cfRule>
  </conditionalFormatting>
  <conditionalFormatting sqref="I127:R127">
    <cfRule type="expression" dxfId="3473" priority="3476">
      <formula>$P$127="Suspended"</formula>
    </cfRule>
  </conditionalFormatting>
  <conditionalFormatting sqref="I127:R127">
    <cfRule type="expression" dxfId="3472" priority="3475">
      <formula>$P$127="Applied"</formula>
    </cfRule>
  </conditionalFormatting>
  <conditionalFormatting sqref="I127:R127">
    <cfRule type="expression" dxfId="3471" priority="3474">
      <formula>$P$127="N/A"</formula>
    </cfRule>
  </conditionalFormatting>
  <conditionalFormatting sqref="I127:R127">
    <cfRule type="expression" dxfId="3470" priority="3473">
      <formula>$P$127=""</formula>
    </cfRule>
  </conditionalFormatting>
  <conditionalFormatting sqref="I127:R127">
    <cfRule type="expression" dxfId="3469" priority="3472">
      <formula>$I$127="Module 1"</formula>
    </cfRule>
  </conditionalFormatting>
  <conditionalFormatting sqref="I127:R127">
    <cfRule type="expression" dxfId="3468" priority="3471">
      <formula>$I$127="Module 2"</formula>
    </cfRule>
  </conditionalFormatting>
  <conditionalFormatting sqref="I127:R127">
    <cfRule type="expression" dxfId="3467" priority="3470">
      <formula>$I$127="Module 3"</formula>
    </cfRule>
    <cfRule type="expression" dxfId="3466" priority="3468">
      <formula>$I$127="Type 1"</formula>
    </cfRule>
    <cfRule type="expression" dxfId="3465" priority="3466">
      <formula>$I$127="Type 3"</formula>
    </cfRule>
  </conditionalFormatting>
  <conditionalFormatting sqref="L127">
    <cfRule type="expression" dxfId="3464" priority="3465">
      <formula>$L$127="1"</formula>
    </cfRule>
  </conditionalFormatting>
  <conditionalFormatting sqref="L127">
    <cfRule type="expression" dxfId="3463" priority="3464">
      <formula>$L$127="2"</formula>
    </cfRule>
  </conditionalFormatting>
  <conditionalFormatting sqref="L127">
    <cfRule type="expression" dxfId="3462" priority="3463">
      <formula>$L$127="3"</formula>
    </cfRule>
  </conditionalFormatting>
  <conditionalFormatting sqref="L127">
    <cfRule type="expression" dxfId="3461" priority="3462">
      <formula>$L$127="4"</formula>
    </cfRule>
  </conditionalFormatting>
  <conditionalFormatting sqref="L127">
    <cfRule type="expression" dxfId="3460" priority="3461">
      <formula>$L$127="5"</formula>
    </cfRule>
  </conditionalFormatting>
  <conditionalFormatting sqref="I128:R128">
    <cfRule type="expression" dxfId="3459" priority="3460">
      <formula>$P$128="Not started"</formula>
    </cfRule>
  </conditionalFormatting>
  <conditionalFormatting sqref="I128:R128">
    <cfRule type="expression" dxfId="3458" priority="3459">
      <formula>$P$128="In progress"</formula>
    </cfRule>
  </conditionalFormatting>
  <conditionalFormatting sqref="I128:R128">
    <cfRule type="expression" dxfId="3457" priority="3458">
      <formula>$P$128="Closed"</formula>
    </cfRule>
  </conditionalFormatting>
  <conditionalFormatting sqref="I128:R128">
    <cfRule type="expression" dxfId="3456" priority="3457">
      <formula>$P$128="Canceled"</formula>
    </cfRule>
  </conditionalFormatting>
  <conditionalFormatting sqref="I128:R128">
    <cfRule type="expression" dxfId="3455" priority="3456">
      <formula>$P$128="Suspended"</formula>
    </cfRule>
  </conditionalFormatting>
  <conditionalFormatting sqref="I128:R128">
    <cfRule type="expression" dxfId="3454" priority="3455">
      <formula>$P$128="Applied"</formula>
    </cfRule>
  </conditionalFormatting>
  <conditionalFormatting sqref="I128:R128">
    <cfRule type="expression" dxfId="3453" priority="3454">
      <formula>$P$128="N/A"</formula>
    </cfRule>
  </conditionalFormatting>
  <conditionalFormatting sqref="I128:R128">
    <cfRule type="expression" dxfId="3452" priority="3453">
      <formula>$P$128=""</formula>
    </cfRule>
  </conditionalFormatting>
  <conditionalFormatting sqref="I128:R128">
    <cfRule type="expression" dxfId="3451" priority="3452">
      <formula>$I$128="Module 1"</formula>
    </cfRule>
  </conditionalFormatting>
  <conditionalFormatting sqref="I128:R128">
    <cfRule type="expression" dxfId="3450" priority="3451">
      <formula>$I$128="Module 2"</formula>
    </cfRule>
  </conditionalFormatting>
  <conditionalFormatting sqref="I128:R128">
    <cfRule type="expression" dxfId="3449" priority="3450">
      <formula>$I$128="Module 3"</formula>
    </cfRule>
  </conditionalFormatting>
  <conditionalFormatting sqref="I128:R128">
    <cfRule type="expression" dxfId="3448" priority="3449">
      <formula>$I$128="or"</formula>
    </cfRule>
  </conditionalFormatting>
  <conditionalFormatting sqref="I128:R128">
    <cfRule type="expression" dxfId="3447" priority="3448">
      <formula>$I$128="Type 1"</formula>
    </cfRule>
  </conditionalFormatting>
  <conditionalFormatting sqref="I128:R128">
    <cfRule type="expression" dxfId="3446" priority="3447">
      <formula>$I$128="Type 2"</formula>
    </cfRule>
  </conditionalFormatting>
  <conditionalFormatting sqref="I128:R128">
    <cfRule type="expression" dxfId="3445" priority="3446">
      <formula>$I$128="Type 3"</formula>
    </cfRule>
  </conditionalFormatting>
  <conditionalFormatting sqref="L128">
    <cfRule type="expression" dxfId="3444" priority="3445">
      <formula>$L$128="1"</formula>
    </cfRule>
  </conditionalFormatting>
  <conditionalFormatting sqref="L128">
    <cfRule type="expression" dxfId="3443" priority="3444">
      <formula>$L$128="2"</formula>
    </cfRule>
  </conditionalFormatting>
  <conditionalFormatting sqref="L128">
    <cfRule type="expression" dxfId="3442" priority="3443">
      <formula>$L$128="3"</formula>
    </cfRule>
  </conditionalFormatting>
  <conditionalFormatting sqref="L128">
    <cfRule type="expression" dxfId="3441" priority="3442">
      <formula>$L$128="4"</formula>
    </cfRule>
  </conditionalFormatting>
  <conditionalFormatting sqref="L128">
    <cfRule type="expression" dxfId="3440" priority="3441">
      <formula>$L$128="5"</formula>
    </cfRule>
  </conditionalFormatting>
  <conditionalFormatting sqref="I129:R129">
    <cfRule type="expression" dxfId="3439" priority="3440">
      <formula>$P$129="Not started"</formula>
    </cfRule>
    <cfRule type="expression" dxfId="3438" priority="3429">
      <formula>$I$129="or"</formula>
    </cfRule>
    <cfRule type="expression" dxfId="3437" priority="3427">
      <formula>$I$129="Type 2"</formula>
    </cfRule>
  </conditionalFormatting>
  <conditionalFormatting sqref="I129:R129">
    <cfRule type="expression" dxfId="3436" priority="3439">
      <formula>$P$129="In progress"</formula>
    </cfRule>
  </conditionalFormatting>
  <conditionalFormatting sqref="I129:R129">
    <cfRule type="expression" dxfId="3435" priority="3438">
      <formula>$P$129="Closed"</formula>
    </cfRule>
  </conditionalFormatting>
  <conditionalFormatting sqref="I129:R129">
    <cfRule type="expression" dxfId="3434" priority="3437">
      <formula>$P$129="Canceled"</formula>
    </cfRule>
  </conditionalFormatting>
  <conditionalFormatting sqref="I129:R129">
    <cfRule type="expression" dxfId="3433" priority="3436">
      <formula>$P$129="Suspended"</formula>
    </cfRule>
  </conditionalFormatting>
  <conditionalFormatting sqref="I129:R129">
    <cfRule type="expression" dxfId="3432" priority="3435">
      <formula>$P$129="Applied"</formula>
    </cfRule>
  </conditionalFormatting>
  <conditionalFormatting sqref="I129:R129">
    <cfRule type="expression" dxfId="3431" priority="3434">
      <formula>$P$129="N/A"</formula>
    </cfRule>
  </conditionalFormatting>
  <conditionalFormatting sqref="I129:R129">
    <cfRule type="expression" dxfId="3430" priority="3433">
      <formula>$P$129=""</formula>
    </cfRule>
  </conditionalFormatting>
  <conditionalFormatting sqref="I129:R129">
    <cfRule type="expression" dxfId="3429" priority="3432">
      <formula>$I$129="Module 1"</formula>
    </cfRule>
  </conditionalFormatting>
  <conditionalFormatting sqref="I129:R129">
    <cfRule type="expression" dxfId="3428" priority="3431">
      <formula>$I$129="Module 2"</formula>
    </cfRule>
  </conditionalFormatting>
  <conditionalFormatting sqref="I129:R129">
    <cfRule type="expression" dxfId="3427" priority="3430">
      <formula>$I$129="Module 3"</formula>
    </cfRule>
    <cfRule type="expression" dxfId="3426" priority="3428">
      <formula>$I$129="Type 1"</formula>
    </cfRule>
    <cfRule type="expression" dxfId="3425" priority="3426">
      <formula>$I$129="Type 3"</formula>
    </cfRule>
  </conditionalFormatting>
  <conditionalFormatting sqref="L129">
    <cfRule type="expression" dxfId="3424" priority="3425">
      <formula>$L$129="1"</formula>
    </cfRule>
  </conditionalFormatting>
  <conditionalFormatting sqref="L129">
    <cfRule type="expression" dxfId="3423" priority="3424">
      <formula>$L$129="2"</formula>
    </cfRule>
  </conditionalFormatting>
  <conditionalFormatting sqref="L129">
    <cfRule type="expression" dxfId="3422" priority="3423">
      <formula>$L$129="3"</formula>
    </cfRule>
  </conditionalFormatting>
  <conditionalFormatting sqref="L129">
    <cfRule type="expression" dxfId="3421" priority="3422">
      <formula>$L$129="4"</formula>
    </cfRule>
  </conditionalFormatting>
  <conditionalFormatting sqref="L129">
    <cfRule type="expression" dxfId="3420" priority="3421">
      <formula>$L$129="5"</formula>
    </cfRule>
  </conditionalFormatting>
  <conditionalFormatting sqref="I130:R130">
    <cfRule type="expression" dxfId="3419" priority="3420">
      <formula>$P$130="Not started"</formula>
    </cfRule>
    <cfRule type="expression" dxfId="3418" priority="3409">
      <formula>$I$130="or"</formula>
    </cfRule>
    <cfRule type="expression" dxfId="3417" priority="3407">
      <formula>$I$130="Type 2"</formula>
    </cfRule>
  </conditionalFormatting>
  <conditionalFormatting sqref="I130:R130">
    <cfRule type="expression" dxfId="3416" priority="3419">
      <formula>$P$130="In progress"</formula>
    </cfRule>
  </conditionalFormatting>
  <conditionalFormatting sqref="I130:R130">
    <cfRule type="expression" dxfId="3415" priority="3418">
      <formula>$P$130="Closed"</formula>
    </cfRule>
  </conditionalFormatting>
  <conditionalFormatting sqref="I130:R130">
    <cfRule type="expression" dxfId="3414" priority="3417">
      <formula>$P$130="Canceled"</formula>
    </cfRule>
  </conditionalFormatting>
  <conditionalFormatting sqref="I130:R130">
    <cfRule type="expression" dxfId="3413" priority="3416">
      <formula>$P$130="Suspended"</formula>
    </cfRule>
  </conditionalFormatting>
  <conditionalFormatting sqref="I130:R130">
    <cfRule type="expression" dxfId="3412" priority="3415">
      <formula>$P$130="Applied"</formula>
    </cfRule>
  </conditionalFormatting>
  <conditionalFormatting sqref="I130:R130">
    <cfRule type="expression" dxfId="3411" priority="3414">
      <formula>$P$130="N/A"</formula>
    </cfRule>
  </conditionalFormatting>
  <conditionalFormatting sqref="I130:R130">
    <cfRule type="expression" dxfId="3410" priority="3413">
      <formula>$P$130=""</formula>
    </cfRule>
  </conditionalFormatting>
  <conditionalFormatting sqref="I130:R130">
    <cfRule type="expression" dxfId="3409" priority="3412">
      <formula>$I$130="Module 1"</formula>
    </cfRule>
  </conditionalFormatting>
  <conditionalFormatting sqref="I130:R130">
    <cfRule type="expression" dxfId="3408" priority="3411">
      <formula>$I$130="Module 2"</formula>
    </cfRule>
  </conditionalFormatting>
  <conditionalFormatting sqref="I130:R130">
    <cfRule type="expression" dxfId="3407" priority="3410">
      <formula>$I$130="Module 3"</formula>
    </cfRule>
    <cfRule type="expression" dxfId="3406" priority="3408">
      <formula>$I$130="Type 1"</formula>
    </cfRule>
    <cfRule type="expression" dxfId="3405" priority="3406">
      <formula>$I$130="Type 3"</formula>
    </cfRule>
  </conditionalFormatting>
  <conditionalFormatting sqref="L130">
    <cfRule type="expression" dxfId="3404" priority="3405">
      <formula>$L$130="1"</formula>
    </cfRule>
  </conditionalFormatting>
  <conditionalFormatting sqref="L130">
    <cfRule type="expression" dxfId="3403" priority="3404">
      <formula>$L$130="2"</formula>
    </cfRule>
  </conditionalFormatting>
  <conditionalFormatting sqref="L130">
    <cfRule type="expression" dxfId="3402" priority="3403">
      <formula>$L$130="3"</formula>
    </cfRule>
  </conditionalFormatting>
  <conditionalFormatting sqref="L130">
    <cfRule type="expression" dxfId="3401" priority="3402">
      <formula>$L$130="4"</formula>
    </cfRule>
  </conditionalFormatting>
  <conditionalFormatting sqref="L130">
    <cfRule type="expression" dxfId="3400" priority="3401">
      <formula>$L$130="5"</formula>
    </cfRule>
  </conditionalFormatting>
  <conditionalFormatting sqref="I131:R131">
    <cfRule type="expression" dxfId="3399" priority="3400">
      <formula>$P$131="Not started"</formula>
    </cfRule>
    <cfRule type="expression" dxfId="3398" priority="3389">
      <formula>$I$131="or"</formula>
    </cfRule>
    <cfRule type="expression" dxfId="3397" priority="3387">
      <formula>$I$131="Type 2"</formula>
    </cfRule>
  </conditionalFormatting>
  <conditionalFormatting sqref="I131:R131">
    <cfRule type="expression" dxfId="3396" priority="3399">
      <formula>$P$131="In progress"</formula>
    </cfRule>
  </conditionalFormatting>
  <conditionalFormatting sqref="I131:R131">
    <cfRule type="expression" dxfId="3395" priority="3398">
      <formula>$P$131="Closed"</formula>
    </cfRule>
  </conditionalFormatting>
  <conditionalFormatting sqref="I131:R131">
    <cfRule type="expression" dxfId="3394" priority="3397">
      <formula>$P$131="Canceled"</formula>
    </cfRule>
  </conditionalFormatting>
  <conditionalFormatting sqref="I131:R131">
    <cfRule type="expression" dxfId="3393" priority="3396">
      <formula>$P$131="Suspended"</formula>
    </cfRule>
  </conditionalFormatting>
  <conditionalFormatting sqref="I131:R131">
    <cfRule type="expression" dxfId="3392" priority="3395">
      <formula>$P$131="Applied"</formula>
    </cfRule>
  </conditionalFormatting>
  <conditionalFormatting sqref="I131:R131">
    <cfRule type="expression" dxfId="3391" priority="3394">
      <formula>$P$131="N/A"</formula>
    </cfRule>
  </conditionalFormatting>
  <conditionalFormatting sqref="I131:R131">
    <cfRule type="expression" dxfId="3390" priority="3393">
      <formula>$P$131=""</formula>
    </cfRule>
  </conditionalFormatting>
  <conditionalFormatting sqref="I131:R131">
    <cfRule type="expression" dxfId="3389" priority="3392">
      <formula>$I$131="Module 1"</formula>
    </cfRule>
  </conditionalFormatting>
  <conditionalFormatting sqref="I131:R131">
    <cfRule type="expression" dxfId="3388" priority="3391">
      <formula>$I$131="Module 2"</formula>
    </cfRule>
  </conditionalFormatting>
  <conditionalFormatting sqref="I131:R131">
    <cfRule type="expression" dxfId="3387" priority="3390">
      <formula>$I$131="Module 3"</formula>
    </cfRule>
    <cfRule type="expression" dxfId="3386" priority="3388">
      <formula>$I$131="Type 1"</formula>
    </cfRule>
    <cfRule type="expression" dxfId="3385" priority="3386">
      <formula>$I$131="Type 3"</formula>
    </cfRule>
  </conditionalFormatting>
  <conditionalFormatting sqref="L131">
    <cfRule type="expression" dxfId="3384" priority="3385">
      <formula>$L$131="1"</formula>
    </cfRule>
  </conditionalFormatting>
  <conditionalFormatting sqref="L131">
    <cfRule type="expression" dxfId="3383" priority="3384">
      <formula>$L$131="2"</formula>
    </cfRule>
  </conditionalFormatting>
  <conditionalFormatting sqref="L131">
    <cfRule type="expression" dxfId="3382" priority="3383">
      <formula>$L$131="3"</formula>
    </cfRule>
  </conditionalFormatting>
  <conditionalFormatting sqref="L131">
    <cfRule type="expression" dxfId="3381" priority="3382">
      <formula>$L$131="4"</formula>
    </cfRule>
  </conditionalFormatting>
  <conditionalFormatting sqref="L131">
    <cfRule type="expression" dxfId="3380" priority="3381">
      <formula>$L$131="5"</formula>
    </cfRule>
  </conditionalFormatting>
  <conditionalFormatting sqref="I132:R132">
    <cfRule type="expression" dxfId="3379" priority="3380">
      <formula>$P$132="Not started"</formula>
    </cfRule>
    <cfRule type="expression" dxfId="3378" priority="3369">
      <formula>$I$132="or"</formula>
    </cfRule>
    <cfRule type="expression" dxfId="3377" priority="3367">
      <formula>$I$132="Type 2"</formula>
    </cfRule>
  </conditionalFormatting>
  <conditionalFormatting sqref="I132:R132">
    <cfRule type="expression" dxfId="3376" priority="3379">
      <formula>$P$132="In progress"</formula>
    </cfRule>
  </conditionalFormatting>
  <conditionalFormatting sqref="I132:R132">
    <cfRule type="expression" dxfId="3375" priority="3378">
      <formula>$P$132="Closed"</formula>
    </cfRule>
  </conditionalFormatting>
  <conditionalFormatting sqref="I132:R132">
    <cfRule type="expression" dxfId="3374" priority="3377">
      <formula>$P$132="Canceled"</formula>
    </cfRule>
  </conditionalFormatting>
  <conditionalFormatting sqref="I132:R132">
    <cfRule type="expression" dxfId="3373" priority="3376">
      <formula>$P$132="Suspended"</formula>
    </cfRule>
  </conditionalFormatting>
  <conditionalFormatting sqref="I132:R132">
    <cfRule type="expression" dxfId="3372" priority="3375">
      <formula>$P$132="Applied"</formula>
    </cfRule>
  </conditionalFormatting>
  <conditionalFormatting sqref="I132:R132">
    <cfRule type="expression" dxfId="3371" priority="3374">
      <formula>$P$132="N/A"</formula>
    </cfRule>
  </conditionalFormatting>
  <conditionalFormatting sqref="I132:R132">
    <cfRule type="expression" dxfId="3370" priority="3373">
      <formula>$P$132=""</formula>
    </cfRule>
  </conditionalFormatting>
  <conditionalFormatting sqref="I132:R132">
    <cfRule type="expression" dxfId="3369" priority="3372">
      <formula>$I$132="Module 1"</formula>
    </cfRule>
  </conditionalFormatting>
  <conditionalFormatting sqref="I132:R132">
    <cfRule type="expression" dxfId="3368" priority="3371">
      <formula>$I$132="Module 2"</formula>
    </cfRule>
  </conditionalFormatting>
  <conditionalFormatting sqref="I132:R132">
    <cfRule type="expression" dxfId="3367" priority="3370">
      <formula>$I$132="Module 3"</formula>
    </cfRule>
    <cfRule type="expression" dxfId="3366" priority="3368">
      <formula>$I$132="Type 1"</formula>
    </cfRule>
    <cfRule type="expression" dxfId="3365" priority="3366">
      <formula>$I$132="Type 3"</formula>
    </cfRule>
  </conditionalFormatting>
  <conditionalFormatting sqref="L132">
    <cfRule type="expression" dxfId="3364" priority="3365">
      <formula>$L$132="1"</formula>
    </cfRule>
  </conditionalFormatting>
  <conditionalFormatting sqref="L132">
    <cfRule type="expression" dxfId="3363" priority="3364">
      <formula>$L$132="2"</formula>
    </cfRule>
  </conditionalFormatting>
  <conditionalFormatting sqref="L132">
    <cfRule type="expression" dxfId="3362" priority="3363">
      <formula>$L$132="3"</formula>
    </cfRule>
  </conditionalFormatting>
  <conditionalFormatting sqref="L132">
    <cfRule type="expression" dxfId="3361" priority="3362">
      <formula>$L$132="4"</formula>
    </cfRule>
  </conditionalFormatting>
  <conditionalFormatting sqref="L132">
    <cfRule type="expression" dxfId="3360" priority="3361">
      <formula>$L$132="5"</formula>
    </cfRule>
  </conditionalFormatting>
  <conditionalFormatting sqref="I133:R133">
    <cfRule type="expression" dxfId="3359" priority="3360">
      <formula>$P$133="Not started"</formula>
    </cfRule>
    <cfRule type="expression" dxfId="3358" priority="3349">
      <formula>$I$133="or"</formula>
    </cfRule>
    <cfRule type="expression" dxfId="3357" priority="3347">
      <formula>$I$133="Type 2"</formula>
    </cfRule>
  </conditionalFormatting>
  <conditionalFormatting sqref="I133:R133">
    <cfRule type="expression" dxfId="3356" priority="3359">
      <formula>$P$133="In progress"</formula>
    </cfRule>
  </conditionalFormatting>
  <conditionalFormatting sqref="I133:R133">
    <cfRule type="expression" dxfId="3355" priority="3358">
      <formula>$P$133="Closed"</formula>
    </cfRule>
  </conditionalFormatting>
  <conditionalFormatting sqref="I133:R133">
    <cfRule type="expression" dxfId="3354" priority="3357">
      <formula>$P$133="Canceled"</formula>
    </cfRule>
  </conditionalFormatting>
  <conditionalFormatting sqref="I133:R133">
    <cfRule type="expression" dxfId="3353" priority="3356">
      <formula>$P$133="Suspended"</formula>
    </cfRule>
  </conditionalFormatting>
  <conditionalFormatting sqref="I133:R133">
    <cfRule type="expression" dxfId="3352" priority="3355">
      <formula>$P$133="Applied"</formula>
    </cfRule>
  </conditionalFormatting>
  <conditionalFormatting sqref="I133:R133">
    <cfRule type="expression" dxfId="3351" priority="3354">
      <formula>$P$133="N/A"</formula>
    </cfRule>
  </conditionalFormatting>
  <conditionalFormatting sqref="I133:R133">
    <cfRule type="expression" dxfId="3350" priority="3353">
      <formula>$P$133=""</formula>
    </cfRule>
  </conditionalFormatting>
  <conditionalFormatting sqref="I133:R133">
    <cfRule type="expression" dxfId="3349" priority="3352">
      <formula>$I$133="Module 1"</formula>
    </cfRule>
  </conditionalFormatting>
  <conditionalFormatting sqref="I133:R133">
    <cfRule type="expression" dxfId="3348" priority="3351">
      <formula>$I$133="Module 2"</formula>
    </cfRule>
  </conditionalFormatting>
  <conditionalFormatting sqref="I133:R133">
    <cfRule type="expression" dxfId="3347" priority="3350">
      <formula>$I$133="Module 3"</formula>
    </cfRule>
    <cfRule type="expression" dxfId="3346" priority="3348">
      <formula>$I$133="Type 1"</formula>
    </cfRule>
    <cfRule type="expression" dxfId="3345" priority="3346">
      <formula>$I$133="Type 3"</formula>
    </cfRule>
  </conditionalFormatting>
  <conditionalFormatting sqref="L133">
    <cfRule type="expression" dxfId="3344" priority="3345">
      <formula>$L$133="1"</formula>
    </cfRule>
  </conditionalFormatting>
  <conditionalFormatting sqref="L133">
    <cfRule type="expression" dxfId="3343" priority="3344">
      <formula>$L$133="2"</formula>
    </cfRule>
  </conditionalFormatting>
  <conditionalFormatting sqref="L133">
    <cfRule type="expression" dxfId="3342" priority="3343">
      <formula>$L$133="3"</formula>
    </cfRule>
  </conditionalFormatting>
  <conditionalFormatting sqref="L133">
    <cfRule type="expression" dxfId="3341" priority="3342">
      <formula>$L$133="4"</formula>
    </cfRule>
  </conditionalFormatting>
  <conditionalFormatting sqref="L133">
    <cfRule type="expression" dxfId="3340" priority="3341">
      <formula>$L$133="5"</formula>
    </cfRule>
  </conditionalFormatting>
  <conditionalFormatting sqref="I134:R134">
    <cfRule type="expression" dxfId="3339" priority="3340">
      <formula>$P$134="Not started"</formula>
    </cfRule>
    <cfRule type="expression" dxfId="3338" priority="3329">
      <formula>$I$134="or"</formula>
    </cfRule>
    <cfRule type="expression" dxfId="3337" priority="3327">
      <formula>$I$134="Type 2"</formula>
    </cfRule>
  </conditionalFormatting>
  <conditionalFormatting sqref="I134:R134">
    <cfRule type="expression" dxfId="3336" priority="3339">
      <formula>$P$134="In progress"</formula>
    </cfRule>
  </conditionalFormatting>
  <conditionalFormatting sqref="I134:R134">
    <cfRule type="expression" dxfId="3335" priority="3338">
      <formula>$P$134="Closed"</formula>
    </cfRule>
  </conditionalFormatting>
  <conditionalFormatting sqref="I134:R134">
    <cfRule type="expression" dxfId="3334" priority="3337">
      <formula>$P$134="Canceled"</formula>
    </cfRule>
  </conditionalFormatting>
  <conditionalFormatting sqref="I134:R134">
    <cfRule type="expression" dxfId="3333" priority="3336">
      <formula>$P$134="Suspended"</formula>
    </cfRule>
  </conditionalFormatting>
  <conditionalFormatting sqref="I134:R134">
    <cfRule type="expression" dxfId="3332" priority="3335">
      <formula>$P$134="Applied"</formula>
    </cfRule>
  </conditionalFormatting>
  <conditionalFormatting sqref="I134:R134">
    <cfRule type="expression" dxfId="3331" priority="3334">
      <formula>$P$134="N/A"</formula>
    </cfRule>
  </conditionalFormatting>
  <conditionalFormatting sqref="I134:R134">
    <cfRule type="expression" dxfId="3330" priority="3333">
      <formula>$P$134=""</formula>
    </cfRule>
  </conditionalFormatting>
  <conditionalFormatting sqref="I134:R134">
    <cfRule type="expression" dxfId="3329" priority="3332">
      <formula>$I$134="Module 1"</formula>
    </cfRule>
  </conditionalFormatting>
  <conditionalFormatting sqref="I134:R134">
    <cfRule type="expression" dxfId="3328" priority="3331">
      <formula>$I$134="Module 2"</formula>
    </cfRule>
  </conditionalFormatting>
  <conditionalFormatting sqref="I134:R134">
    <cfRule type="expression" dxfId="3327" priority="3330">
      <formula>$I$134="Module 3"</formula>
    </cfRule>
    <cfRule type="expression" dxfId="3326" priority="3328">
      <formula>$I$134="Type 1"</formula>
    </cfRule>
    <cfRule type="expression" dxfId="3325" priority="3326">
      <formula>$I$134="Type 3"</formula>
    </cfRule>
  </conditionalFormatting>
  <conditionalFormatting sqref="L134">
    <cfRule type="expression" dxfId="3324" priority="3325">
      <formula>$L$134="1"</formula>
    </cfRule>
  </conditionalFormatting>
  <conditionalFormatting sqref="L134">
    <cfRule type="expression" dxfId="3323" priority="3324">
      <formula>$L$134="2"</formula>
    </cfRule>
  </conditionalFormatting>
  <conditionalFormatting sqref="L134">
    <cfRule type="expression" dxfId="3322" priority="3323">
      <formula>$L$134="3"</formula>
    </cfRule>
  </conditionalFormatting>
  <conditionalFormatting sqref="L134">
    <cfRule type="expression" dxfId="3321" priority="3322">
      <formula>$L$134="4"</formula>
    </cfRule>
  </conditionalFormatting>
  <conditionalFormatting sqref="L134">
    <cfRule type="expression" dxfId="3320" priority="3321">
      <formula>$L$134="5"</formula>
    </cfRule>
  </conditionalFormatting>
  <conditionalFormatting sqref="I135:R135">
    <cfRule type="expression" dxfId="3319" priority="3320">
      <formula>$P$135="Not started"</formula>
    </cfRule>
    <cfRule type="expression" dxfId="3318" priority="3309">
      <formula>$I$135="or"</formula>
    </cfRule>
    <cfRule type="expression" dxfId="3317" priority="3307">
      <formula>$I$135="Type 2"</formula>
    </cfRule>
  </conditionalFormatting>
  <conditionalFormatting sqref="I135:R135">
    <cfRule type="expression" dxfId="3316" priority="3319">
      <formula>$P$135="In progress"</formula>
    </cfRule>
  </conditionalFormatting>
  <conditionalFormatting sqref="I135:R135">
    <cfRule type="expression" dxfId="3315" priority="3318">
      <formula>$P$135="Closed"</formula>
    </cfRule>
  </conditionalFormatting>
  <conditionalFormatting sqref="I135:R135">
    <cfRule type="expression" dxfId="3314" priority="3317">
      <formula>$P$135="Canceled"</formula>
    </cfRule>
  </conditionalFormatting>
  <conditionalFormatting sqref="I135:R135">
    <cfRule type="expression" dxfId="3313" priority="3316">
      <formula>$P$135="Suspended"</formula>
    </cfRule>
  </conditionalFormatting>
  <conditionalFormatting sqref="I135:R135">
    <cfRule type="expression" dxfId="3312" priority="3315">
      <formula>$P$135="Applied"</formula>
    </cfRule>
  </conditionalFormatting>
  <conditionalFormatting sqref="I135:R135">
    <cfRule type="expression" dxfId="3311" priority="3314">
      <formula>$P$135="N/A"</formula>
    </cfRule>
  </conditionalFormatting>
  <conditionalFormatting sqref="I135:R135">
    <cfRule type="expression" dxfId="3310" priority="3313">
      <formula>$P$135=""</formula>
    </cfRule>
  </conditionalFormatting>
  <conditionalFormatting sqref="I135:R135">
    <cfRule type="expression" dxfId="3309" priority="3312">
      <formula>$I$135="Module 1"</formula>
    </cfRule>
  </conditionalFormatting>
  <conditionalFormatting sqref="I135:R135">
    <cfRule type="expression" dxfId="3308" priority="3311">
      <formula>$I$135="Module 2"</formula>
    </cfRule>
  </conditionalFormatting>
  <conditionalFormatting sqref="I135:R135">
    <cfRule type="expression" dxfId="3307" priority="3310">
      <formula>$I$135="Module 3"</formula>
    </cfRule>
    <cfRule type="expression" dxfId="3306" priority="3308">
      <formula>$I$135="Type 1"</formula>
    </cfRule>
    <cfRule type="expression" dxfId="3305" priority="3306">
      <formula>$I$135="Type 3"</formula>
    </cfRule>
  </conditionalFormatting>
  <conditionalFormatting sqref="L135">
    <cfRule type="expression" dxfId="3304" priority="3305">
      <formula>$L$135="1"</formula>
    </cfRule>
  </conditionalFormatting>
  <conditionalFormatting sqref="L135">
    <cfRule type="expression" dxfId="3303" priority="3304">
      <formula>$L$135="2"</formula>
    </cfRule>
  </conditionalFormatting>
  <conditionalFormatting sqref="L135">
    <cfRule type="expression" dxfId="3302" priority="3303">
      <formula>$L$135="3"</formula>
    </cfRule>
  </conditionalFormatting>
  <conditionalFormatting sqref="L135">
    <cfRule type="expression" dxfId="3301" priority="3302">
      <formula>$L$135="4"</formula>
    </cfRule>
  </conditionalFormatting>
  <conditionalFormatting sqref="L135">
    <cfRule type="expression" dxfId="3300" priority="3301">
      <formula>$L$135="5"</formula>
    </cfRule>
  </conditionalFormatting>
  <conditionalFormatting sqref="I136:R136">
    <cfRule type="expression" dxfId="3299" priority="3300">
      <formula>$P$136="Not started"</formula>
    </cfRule>
    <cfRule type="expression" dxfId="3298" priority="3289">
      <formula>$I$136="or"</formula>
    </cfRule>
    <cfRule type="expression" dxfId="3297" priority="3287">
      <formula>$I$136="Type 2"</formula>
    </cfRule>
  </conditionalFormatting>
  <conditionalFormatting sqref="I136:R136">
    <cfRule type="expression" dxfId="3296" priority="3299">
      <formula>$P$136="In progress"</formula>
    </cfRule>
  </conditionalFormatting>
  <conditionalFormatting sqref="I136:R136">
    <cfRule type="expression" dxfId="3295" priority="3298">
      <formula>$P$136="Closed"</formula>
    </cfRule>
  </conditionalFormatting>
  <conditionalFormatting sqref="I136:R136">
    <cfRule type="expression" dxfId="3294" priority="3297">
      <formula>$P$136="Canceled"</formula>
    </cfRule>
  </conditionalFormatting>
  <conditionalFormatting sqref="I136:R136">
    <cfRule type="expression" dxfId="3293" priority="3296">
      <formula>$P$136="Suspended"</formula>
    </cfRule>
  </conditionalFormatting>
  <conditionalFormatting sqref="I136:R136">
    <cfRule type="expression" dxfId="3292" priority="3295">
      <formula>$P$136="Applied"</formula>
    </cfRule>
  </conditionalFormatting>
  <conditionalFormatting sqref="I136:R136">
    <cfRule type="expression" dxfId="3291" priority="3294">
      <formula>$P$136="N/A"</formula>
    </cfRule>
  </conditionalFormatting>
  <conditionalFormatting sqref="I136:R136">
    <cfRule type="expression" dxfId="3290" priority="3293">
      <formula>$P$136=""</formula>
    </cfRule>
  </conditionalFormatting>
  <conditionalFormatting sqref="I136:R136">
    <cfRule type="expression" dxfId="3289" priority="3292">
      <formula>$I$136="Module 1"</formula>
    </cfRule>
  </conditionalFormatting>
  <conditionalFormatting sqref="I136:R136">
    <cfRule type="expression" dxfId="3288" priority="3291">
      <formula>$I$136="Module 2"</formula>
    </cfRule>
  </conditionalFormatting>
  <conditionalFormatting sqref="I136:R136">
    <cfRule type="expression" dxfId="3287" priority="3290">
      <formula>$I$136="Module 3"</formula>
    </cfRule>
    <cfRule type="expression" dxfId="3286" priority="3288">
      <formula>$I$136="Type 1"</formula>
    </cfRule>
    <cfRule type="expression" dxfId="3285" priority="3286">
      <formula>$I$136="Type 3"</formula>
    </cfRule>
  </conditionalFormatting>
  <conditionalFormatting sqref="L136">
    <cfRule type="expression" dxfId="3284" priority="3285">
      <formula>$L$136="1"</formula>
    </cfRule>
  </conditionalFormatting>
  <conditionalFormatting sqref="L136">
    <cfRule type="expression" dxfId="3283" priority="3284">
      <formula>$L$136="2"</formula>
    </cfRule>
  </conditionalFormatting>
  <conditionalFormatting sqref="L136">
    <cfRule type="expression" dxfId="3282" priority="3283">
      <formula>$L$136="3"</formula>
    </cfRule>
  </conditionalFormatting>
  <conditionalFormatting sqref="L136">
    <cfRule type="expression" dxfId="3281" priority="3282">
      <formula>$L$136="4"</formula>
    </cfRule>
  </conditionalFormatting>
  <conditionalFormatting sqref="L136">
    <cfRule type="expression" dxfId="3280" priority="3281">
      <formula>$L$136="5"</formula>
    </cfRule>
  </conditionalFormatting>
  <conditionalFormatting sqref="I137:R137">
    <cfRule type="expression" dxfId="3279" priority="3280">
      <formula>$P$137="Not started"</formula>
    </cfRule>
    <cfRule type="expression" dxfId="3278" priority="3269">
      <formula>$I$137="or"</formula>
    </cfRule>
    <cfRule type="expression" dxfId="3277" priority="3267">
      <formula>$I$137="Type 2"</formula>
    </cfRule>
  </conditionalFormatting>
  <conditionalFormatting sqref="I137:R137">
    <cfRule type="expression" dxfId="3276" priority="3279">
      <formula>$P$137="In progress"</formula>
    </cfRule>
  </conditionalFormatting>
  <conditionalFormatting sqref="I137:R137">
    <cfRule type="expression" dxfId="3275" priority="3278">
      <formula>$P$137="Closed"</formula>
    </cfRule>
  </conditionalFormatting>
  <conditionalFormatting sqref="I137:R137">
    <cfRule type="expression" dxfId="3274" priority="3277">
      <formula>$P$137="Canceled"</formula>
    </cfRule>
  </conditionalFormatting>
  <conditionalFormatting sqref="I137:R137">
    <cfRule type="expression" dxfId="3273" priority="3276">
      <formula>$P$137="Suspended"</formula>
    </cfRule>
  </conditionalFormatting>
  <conditionalFormatting sqref="I137:R137">
    <cfRule type="expression" dxfId="3272" priority="3275">
      <formula>$P$137="Applied"</formula>
    </cfRule>
  </conditionalFormatting>
  <conditionalFormatting sqref="I137:R137">
    <cfRule type="expression" dxfId="3271" priority="3274">
      <formula>$P$137="N/A"</formula>
    </cfRule>
  </conditionalFormatting>
  <conditionalFormatting sqref="I137:R137">
    <cfRule type="expression" dxfId="3270" priority="3273">
      <formula>$P$137=""</formula>
    </cfRule>
  </conditionalFormatting>
  <conditionalFormatting sqref="I137:R137">
    <cfRule type="expression" dxfId="3269" priority="3272">
      <formula>$I$137="Module 1"</formula>
    </cfRule>
  </conditionalFormatting>
  <conditionalFormatting sqref="I137:R137">
    <cfRule type="expression" dxfId="3268" priority="3271">
      <formula>$I$137="Module 2"</formula>
    </cfRule>
  </conditionalFormatting>
  <conditionalFormatting sqref="I137:R137">
    <cfRule type="expression" dxfId="3267" priority="3270">
      <formula>$I$137="Module 3"</formula>
    </cfRule>
    <cfRule type="expression" dxfId="3266" priority="3268">
      <formula>$I$137="Type 1"</formula>
    </cfRule>
    <cfRule type="expression" dxfId="3265" priority="3266">
      <formula>$I$137="Type 3"</formula>
    </cfRule>
  </conditionalFormatting>
  <conditionalFormatting sqref="L137">
    <cfRule type="expression" dxfId="3264" priority="3265">
      <formula>$L$137="1"</formula>
    </cfRule>
  </conditionalFormatting>
  <conditionalFormatting sqref="L137">
    <cfRule type="expression" dxfId="3263" priority="3264">
      <formula>$L$137="2"</formula>
    </cfRule>
  </conditionalFormatting>
  <conditionalFormatting sqref="L137">
    <cfRule type="expression" dxfId="3262" priority="3263">
      <formula>$L$137="3"</formula>
    </cfRule>
  </conditionalFormatting>
  <conditionalFormatting sqref="L137">
    <cfRule type="expression" dxfId="3261" priority="3262">
      <formula>$L$137="4"</formula>
    </cfRule>
  </conditionalFormatting>
  <conditionalFormatting sqref="L137">
    <cfRule type="expression" dxfId="3260" priority="3261">
      <formula>$L$137="5"</formula>
    </cfRule>
  </conditionalFormatting>
  <conditionalFormatting sqref="I138:R138">
    <cfRule type="expression" dxfId="3259" priority="3260">
      <formula>$P$138="Not started"</formula>
    </cfRule>
  </conditionalFormatting>
  <conditionalFormatting sqref="I138:R138">
    <cfRule type="expression" dxfId="3258" priority="3259">
      <formula>$P$138="In progress"</formula>
    </cfRule>
  </conditionalFormatting>
  <conditionalFormatting sqref="I138:R138">
    <cfRule type="expression" dxfId="3257" priority="3258">
      <formula>$P$138="Closed"</formula>
    </cfRule>
  </conditionalFormatting>
  <conditionalFormatting sqref="I138:R138">
    <cfRule type="expression" dxfId="3256" priority="3257">
      <formula>$P$138="Canceled"</formula>
    </cfRule>
  </conditionalFormatting>
  <conditionalFormatting sqref="I138:R138">
    <cfRule type="expression" dxfId="3255" priority="3256">
      <formula>$P$138="Suspended"</formula>
    </cfRule>
  </conditionalFormatting>
  <conditionalFormatting sqref="I138:R138">
    <cfRule type="expression" dxfId="3254" priority="3255">
      <formula>$P$138="Applied"</formula>
    </cfRule>
  </conditionalFormatting>
  <conditionalFormatting sqref="I138:R138">
    <cfRule type="expression" dxfId="3253" priority="3254">
      <formula>$P$138="N/A"</formula>
    </cfRule>
  </conditionalFormatting>
  <conditionalFormatting sqref="I138:R138">
    <cfRule type="expression" dxfId="3252" priority="3253">
      <formula>$P$138=""</formula>
    </cfRule>
  </conditionalFormatting>
  <conditionalFormatting sqref="I138:R138">
    <cfRule type="expression" dxfId="3251" priority="3252">
      <formula>$I$138="Module 1"</formula>
    </cfRule>
  </conditionalFormatting>
  <conditionalFormatting sqref="I138:R138">
    <cfRule type="expression" dxfId="3250" priority="3251">
      <formula>$I$138="Module 2"</formula>
    </cfRule>
  </conditionalFormatting>
  <conditionalFormatting sqref="I138:R138">
    <cfRule type="expression" dxfId="3249" priority="3250">
      <formula>$I$138="Module 3"</formula>
    </cfRule>
  </conditionalFormatting>
  <conditionalFormatting sqref="I138:R138">
    <cfRule type="expression" dxfId="3248" priority="3249">
      <formula>$I$138="or"</formula>
    </cfRule>
  </conditionalFormatting>
  <conditionalFormatting sqref="I138:R138">
    <cfRule type="expression" dxfId="3247" priority="3248">
      <formula>$I$138="Type 1"</formula>
    </cfRule>
  </conditionalFormatting>
  <conditionalFormatting sqref="I138:R138">
    <cfRule type="expression" dxfId="3246" priority="3247">
      <formula>$I$138="Type 2"</formula>
    </cfRule>
  </conditionalFormatting>
  <conditionalFormatting sqref="I138:R138">
    <cfRule type="expression" dxfId="3245" priority="3246">
      <formula>$I$138="Type 3"</formula>
    </cfRule>
  </conditionalFormatting>
  <conditionalFormatting sqref="L138">
    <cfRule type="expression" dxfId="3244" priority="3245">
      <formula>$L$138="1"</formula>
    </cfRule>
  </conditionalFormatting>
  <conditionalFormatting sqref="L138">
    <cfRule type="expression" dxfId="3243" priority="3244">
      <formula>$L$138="2"</formula>
    </cfRule>
  </conditionalFormatting>
  <conditionalFormatting sqref="L138">
    <cfRule type="expression" dxfId="3242" priority="3243">
      <formula>$L$138="3"</formula>
    </cfRule>
  </conditionalFormatting>
  <conditionalFormatting sqref="L138">
    <cfRule type="expression" dxfId="3241" priority="3242">
      <formula>$L$138="4"</formula>
    </cfRule>
  </conditionalFormatting>
  <conditionalFormatting sqref="L138">
    <cfRule type="expression" dxfId="3240" priority="3241">
      <formula>$L$138="5"</formula>
    </cfRule>
  </conditionalFormatting>
  <conditionalFormatting sqref="I139:R139">
    <cfRule type="expression" dxfId="3239" priority="3240">
      <formula>$P$139="Not started"</formula>
    </cfRule>
    <cfRule type="expression" dxfId="3238" priority="3229">
      <formula>$I$139="or"</formula>
    </cfRule>
    <cfRule type="expression" dxfId="3237" priority="3227">
      <formula>$I$139="Type 2"</formula>
    </cfRule>
  </conditionalFormatting>
  <conditionalFormatting sqref="I139:R139">
    <cfRule type="expression" dxfId="3236" priority="3239">
      <formula>$P$139="In progress"</formula>
    </cfRule>
  </conditionalFormatting>
  <conditionalFormatting sqref="I139:R139">
    <cfRule type="expression" dxfId="3235" priority="3238">
      <formula>$P$139="Closed"</formula>
    </cfRule>
  </conditionalFormatting>
  <conditionalFormatting sqref="I139:R139">
    <cfRule type="expression" dxfId="3234" priority="3237">
      <formula>$P$139="Canceled"</formula>
    </cfRule>
  </conditionalFormatting>
  <conditionalFormatting sqref="I139:R139">
    <cfRule type="expression" dxfId="3233" priority="3236">
      <formula>$P$139="Suspended"</formula>
    </cfRule>
  </conditionalFormatting>
  <conditionalFormatting sqref="I139:R139">
    <cfRule type="expression" dxfId="3232" priority="3235">
      <formula>$P$139="Applied"</formula>
    </cfRule>
  </conditionalFormatting>
  <conditionalFormatting sqref="I139:R139">
    <cfRule type="expression" dxfId="3231" priority="3234">
      <formula>$P$139="N/A"</formula>
    </cfRule>
  </conditionalFormatting>
  <conditionalFormatting sqref="I139:R139">
    <cfRule type="expression" dxfId="3230" priority="3233">
      <formula>$P$139=""</formula>
    </cfRule>
  </conditionalFormatting>
  <conditionalFormatting sqref="I139:R139">
    <cfRule type="expression" dxfId="3229" priority="3232">
      <formula>$I$139="Module 1"</formula>
    </cfRule>
  </conditionalFormatting>
  <conditionalFormatting sqref="I139:R139">
    <cfRule type="expression" dxfId="3228" priority="3231">
      <formula>$I$139="Module 2"</formula>
    </cfRule>
  </conditionalFormatting>
  <conditionalFormatting sqref="I139:R139">
    <cfRule type="expression" dxfId="3227" priority="3230">
      <formula>$I$139="Module 3"</formula>
    </cfRule>
    <cfRule type="expression" dxfId="3226" priority="3228">
      <formula>$I$139="Type 1"</formula>
    </cfRule>
    <cfRule type="expression" dxfId="3225" priority="3226">
      <formula>$I$139="Type 3"</formula>
    </cfRule>
  </conditionalFormatting>
  <conditionalFormatting sqref="L139">
    <cfRule type="expression" dxfId="3224" priority="3225">
      <formula>$L$139="1"</formula>
    </cfRule>
  </conditionalFormatting>
  <conditionalFormatting sqref="L139">
    <cfRule type="expression" dxfId="3223" priority="3224">
      <formula>$L$139="2"</formula>
    </cfRule>
  </conditionalFormatting>
  <conditionalFormatting sqref="L139">
    <cfRule type="expression" dxfId="3222" priority="3223">
      <formula>$L$139="3"</formula>
    </cfRule>
  </conditionalFormatting>
  <conditionalFormatting sqref="L139">
    <cfRule type="expression" dxfId="3221" priority="3222">
      <formula>$L$139="4"</formula>
    </cfRule>
  </conditionalFormatting>
  <conditionalFormatting sqref="L139">
    <cfRule type="expression" dxfId="3220" priority="3221">
      <formula>$L$139="5"</formula>
    </cfRule>
  </conditionalFormatting>
  <conditionalFormatting sqref="I140:R140">
    <cfRule type="expression" dxfId="3219" priority="3220">
      <formula>$P$140="Not started"</formula>
    </cfRule>
    <cfRule type="expression" dxfId="3218" priority="3209">
      <formula>$I$140="or"</formula>
    </cfRule>
    <cfRule type="expression" dxfId="3217" priority="3207">
      <formula>$I$140="Type 2"</formula>
    </cfRule>
  </conditionalFormatting>
  <conditionalFormatting sqref="I140:R140">
    <cfRule type="expression" dxfId="3216" priority="3219">
      <formula>$P$140="In progress"</formula>
    </cfRule>
  </conditionalFormatting>
  <conditionalFormatting sqref="I140:R140">
    <cfRule type="expression" dxfId="3215" priority="3218">
      <formula>$P$140="Closed"</formula>
    </cfRule>
  </conditionalFormatting>
  <conditionalFormatting sqref="I140:R140">
    <cfRule type="expression" dxfId="3214" priority="3217">
      <formula>$P$140="Canceled"</formula>
    </cfRule>
  </conditionalFormatting>
  <conditionalFormatting sqref="I140:R140">
    <cfRule type="expression" dxfId="3213" priority="3216">
      <formula>$P$140="Suspended"</formula>
    </cfRule>
  </conditionalFormatting>
  <conditionalFormatting sqref="I140:R140">
    <cfRule type="expression" dxfId="3212" priority="3215">
      <formula>$P$140="Applied"</formula>
    </cfRule>
  </conditionalFormatting>
  <conditionalFormatting sqref="I140:R140">
    <cfRule type="expression" dxfId="3211" priority="3214">
      <formula>$P$140="N/A"</formula>
    </cfRule>
  </conditionalFormatting>
  <conditionalFormatting sqref="I140:R140">
    <cfRule type="expression" dxfId="3210" priority="3213">
      <formula>$P$140=""</formula>
    </cfRule>
  </conditionalFormatting>
  <conditionalFormatting sqref="I140:R140">
    <cfRule type="expression" dxfId="3209" priority="3212">
      <formula>$I$140="Module 1"</formula>
    </cfRule>
  </conditionalFormatting>
  <conditionalFormatting sqref="I140:R140">
    <cfRule type="expression" dxfId="3208" priority="3211">
      <formula>$I$140="Module 2"</formula>
    </cfRule>
  </conditionalFormatting>
  <conditionalFormatting sqref="I140:R140">
    <cfRule type="expression" dxfId="3207" priority="3210">
      <formula>$I$140="Module 3"</formula>
    </cfRule>
    <cfRule type="expression" dxfId="3206" priority="3208">
      <formula>$I$140="Type 1"</formula>
    </cfRule>
    <cfRule type="expression" dxfId="3205" priority="3206">
      <formula>$I$140="Type 3"</formula>
    </cfRule>
  </conditionalFormatting>
  <conditionalFormatting sqref="L140">
    <cfRule type="expression" dxfId="3204" priority="3205">
      <formula>$L$140="1"</formula>
    </cfRule>
  </conditionalFormatting>
  <conditionalFormatting sqref="L140">
    <cfRule type="expression" dxfId="3203" priority="3204">
      <formula>$L$140="2"</formula>
    </cfRule>
  </conditionalFormatting>
  <conditionalFormatting sqref="L140">
    <cfRule type="expression" dxfId="3202" priority="3203">
      <formula>$L$140="3"</formula>
    </cfRule>
  </conditionalFormatting>
  <conditionalFormatting sqref="L140">
    <cfRule type="expression" dxfId="3201" priority="3202">
      <formula>$L$140="4"</formula>
    </cfRule>
  </conditionalFormatting>
  <conditionalFormatting sqref="L140">
    <cfRule type="expression" dxfId="3200" priority="3201">
      <formula>$L$140="5"</formula>
    </cfRule>
  </conditionalFormatting>
  <conditionalFormatting sqref="I141:R141">
    <cfRule type="expression" dxfId="3199" priority="3200">
      <formula>$P$141="Not started"</formula>
    </cfRule>
    <cfRule type="expression" dxfId="3198" priority="3189">
      <formula>$I$141="or"</formula>
    </cfRule>
    <cfRule type="expression" dxfId="3197" priority="3187">
      <formula>$I$141="Type 2"</formula>
    </cfRule>
  </conditionalFormatting>
  <conditionalFormatting sqref="I141:R141">
    <cfRule type="expression" dxfId="3196" priority="3199">
      <formula>$P$141="In progress"</formula>
    </cfRule>
  </conditionalFormatting>
  <conditionalFormatting sqref="I141:R141">
    <cfRule type="expression" dxfId="3195" priority="3198">
      <formula>$P$141="Closed"</formula>
    </cfRule>
  </conditionalFormatting>
  <conditionalFormatting sqref="I141:R141">
    <cfRule type="expression" dxfId="3194" priority="3197">
      <formula>$P$141="Canceled"</formula>
    </cfRule>
  </conditionalFormatting>
  <conditionalFormatting sqref="I141:R141">
    <cfRule type="expression" dxfId="3193" priority="3196">
      <formula>$P$141="Suspended"</formula>
    </cfRule>
  </conditionalFormatting>
  <conditionalFormatting sqref="I141:R141">
    <cfRule type="expression" dxfId="3192" priority="3195">
      <formula>$P$141="Applied"</formula>
    </cfRule>
  </conditionalFormatting>
  <conditionalFormatting sqref="I141:R141">
    <cfRule type="expression" dxfId="3191" priority="3194">
      <formula>$P$141="N/A"</formula>
    </cfRule>
  </conditionalFormatting>
  <conditionalFormatting sqref="I141:R141">
    <cfRule type="expression" dxfId="3190" priority="3193">
      <formula>$P$141=""</formula>
    </cfRule>
  </conditionalFormatting>
  <conditionalFormatting sqref="I141:R141">
    <cfRule type="expression" dxfId="3189" priority="3192">
      <formula>$I$141="Module 1"</formula>
    </cfRule>
  </conditionalFormatting>
  <conditionalFormatting sqref="I141:R141">
    <cfRule type="expression" dxfId="3188" priority="3191">
      <formula>$I$141="Module 2"</formula>
    </cfRule>
  </conditionalFormatting>
  <conditionalFormatting sqref="I141:R141">
    <cfRule type="expression" dxfId="3187" priority="3190">
      <formula>$I$141="Module 3"</formula>
    </cfRule>
    <cfRule type="expression" dxfId="3186" priority="3188">
      <formula>$I$141="Type 1"</formula>
    </cfRule>
    <cfRule type="expression" dxfId="3185" priority="3186">
      <formula>$I$141="Type 3"</formula>
    </cfRule>
  </conditionalFormatting>
  <conditionalFormatting sqref="L141">
    <cfRule type="expression" dxfId="3184" priority="3185">
      <formula>$L$141="1"</formula>
    </cfRule>
  </conditionalFormatting>
  <conditionalFormatting sqref="L141">
    <cfRule type="expression" dxfId="3183" priority="3184">
      <formula>$L$141="2"</formula>
    </cfRule>
  </conditionalFormatting>
  <conditionalFormatting sqref="L141">
    <cfRule type="expression" dxfId="3182" priority="3183">
      <formula>$L$141="3"</formula>
    </cfRule>
  </conditionalFormatting>
  <conditionalFormatting sqref="L141">
    <cfRule type="expression" dxfId="3181" priority="3182">
      <formula>$L$141="4"</formula>
    </cfRule>
  </conditionalFormatting>
  <conditionalFormatting sqref="L141">
    <cfRule type="expression" dxfId="3180" priority="3181">
      <formula>$L$141="5"</formula>
    </cfRule>
  </conditionalFormatting>
  <conditionalFormatting sqref="I142:R142">
    <cfRule type="expression" dxfId="3179" priority="3180">
      <formula>$P$142="Not started"</formula>
    </cfRule>
    <cfRule type="expression" dxfId="3178" priority="3169">
      <formula>$I$142="or"</formula>
    </cfRule>
    <cfRule type="expression" dxfId="3177" priority="3167">
      <formula>$I$142="Type 2"</formula>
    </cfRule>
  </conditionalFormatting>
  <conditionalFormatting sqref="I142:R142">
    <cfRule type="expression" dxfId="3176" priority="3179">
      <formula>$P$142="In progress"</formula>
    </cfRule>
  </conditionalFormatting>
  <conditionalFormatting sqref="I142:R142">
    <cfRule type="expression" dxfId="3175" priority="3178">
      <formula>$P$142="Closed"</formula>
    </cfRule>
  </conditionalFormatting>
  <conditionalFormatting sqref="I142:R142">
    <cfRule type="expression" dxfId="3174" priority="3177">
      <formula>$P$142="Canceled"</formula>
    </cfRule>
  </conditionalFormatting>
  <conditionalFormatting sqref="I142:R142">
    <cfRule type="expression" dxfId="3173" priority="3176">
      <formula>$P$142="Suspended"</formula>
    </cfRule>
  </conditionalFormatting>
  <conditionalFormatting sqref="I142:R142">
    <cfRule type="expression" dxfId="3172" priority="3175">
      <formula>$P$142="Applied"</formula>
    </cfRule>
  </conditionalFormatting>
  <conditionalFormatting sqref="I142:R142">
    <cfRule type="expression" dxfId="3171" priority="3174">
      <formula>$P$142="N/A"</formula>
    </cfRule>
  </conditionalFormatting>
  <conditionalFormatting sqref="I142:R142">
    <cfRule type="expression" dxfId="3170" priority="3173">
      <formula>$P$142=""</formula>
    </cfRule>
  </conditionalFormatting>
  <conditionalFormatting sqref="I142:R142">
    <cfRule type="expression" dxfId="3169" priority="3172">
      <formula>$I$142="Module 1"</formula>
    </cfRule>
  </conditionalFormatting>
  <conditionalFormatting sqref="I142:R142">
    <cfRule type="expression" dxfId="3168" priority="3171">
      <formula>$I$142="Module 2"</formula>
    </cfRule>
  </conditionalFormatting>
  <conditionalFormatting sqref="I142:R142">
    <cfRule type="expression" dxfId="3167" priority="3170">
      <formula>$I$142="Module 3"</formula>
    </cfRule>
    <cfRule type="expression" dxfId="3166" priority="3168">
      <formula>$I$142="Type 1"</formula>
    </cfRule>
    <cfRule type="expression" dxfId="3165" priority="3166">
      <formula>$I$142="Type 3"</formula>
    </cfRule>
  </conditionalFormatting>
  <conditionalFormatting sqref="L142">
    <cfRule type="expression" dxfId="3164" priority="3165">
      <formula>$L$142="1"</formula>
    </cfRule>
  </conditionalFormatting>
  <conditionalFormatting sqref="L142">
    <cfRule type="expression" dxfId="3163" priority="3164">
      <formula>$L$142="2"</formula>
    </cfRule>
  </conditionalFormatting>
  <conditionalFormatting sqref="L142">
    <cfRule type="expression" dxfId="3162" priority="3163">
      <formula>$L$142="3"</formula>
    </cfRule>
  </conditionalFormatting>
  <conditionalFormatting sqref="L142">
    <cfRule type="expression" dxfId="3161" priority="3162">
      <formula>$L$142="4"</formula>
    </cfRule>
  </conditionalFormatting>
  <conditionalFormatting sqref="L142">
    <cfRule type="expression" dxfId="3160" priority="3161">
      <formula>$L$142="5"</formula>
    </cfRule>
  </conditionalFormatting>
  <conditionalFormatting sqref="I143:R143">
    <cfRule type="expression" dxfId="3159" priority="3160">
      <formula>$P$143="Not started"</formula>
    </cfRule>
    <cfRule type="expression" dxfId="3158" priority="3149">
      <formula>$I$143="or"</formula>
    </cfRule>
    <cfRule type="expression" dxfId="3157" priority="3147">
      <formula>$I$143="Type 2"</formula>
    </cfRule>
  </conditionalFormatting>
  <conditionalFormatting sqref="I143:R143">
    <cfRule type="expression" dxfId="3156" priority="3159">
      <formula>$P$143="In progress"</formula>
    </cfRule>
  </conditionalFormatting>
  <conditionalFormatting sqref="I143:R143">
    <cfRule type="expression" dxfId="3155" priority="3158">
      <formula>$P$143="Closed"</formula>
    </cfRule>
  </conditionalFormatting>
  <conditionalFormatting sqref="I143:R143">
    <cfRule type="expression" dxfId="3154" priority="3157">
      <formula>$P$143="Canceled"</formula>
    </cfRule>
  </conditionalFormatting>
  <conditionalFormatting sqref="I143:R143">
    <cfRule type="expression" dxfId="3153" priority="3156">
      <formula>$P$143="Suspended"</formula>
    </cfRule>
  </conditionalFormatting>
  <conditionalFormatting sqref="I143:R143">
    <cfRule type="expression" dxfId="3152" priority="3155">
      <formula>$P$143="Applied"</formula>
    </cfRule>
  </conditionalFormatting>
  <conditionalFormatting sqref="I143:R143">
    <cfRule type="expression" dxfId="3151" priority="3154">
      <formula>$P$143="N/A"</formula>
    </cfRule>
  </conditionalFormatting>
  <conditionalFormatting sqref="I143:R143">
    <cfRule type="expression" dxfId="3150" priority="3153">
      <formula>$P$143=""</formula>
    </cfRule>
  </conditionalFormatting>
  <conditionalFormatting sqref="I143:R143">
    <cfRule type="expression" dxfId="3149" priority="3152">
      <formula>$I$143="Module 1"</formula>
    </cfRule>
  </conditionalFormatting>
  <conditionalFormatting sqref="I143:R143">
    <cfRule type="expression" dxfId="3148" priority="3151">
      <formula>$I$143="Module 2"</formula>
    </cfRule>
  </conditionalFormatting>
  <conditionalFormatting sqref="I143:R143">
    <cfRule type="expression" dxfId="3147" priority="3150">
      <formula>$I$143="Module 3"</formula>
    </cfRule>
    <cfRule type="expression" dxfId="3146" priority="3148">
      <formula>$I$143="Type 1"</formula>
    </cfRule>
    <cfRule type="expression" dxfId="3145" priority="3146">
      <formula>$I$143="Type 3"</formula>
    </cfRule>
  </conditionalFormatting>
  <conditionalFormatting sqref="L143">
    <cfRule type="expression" dxfId="3144" priority="3145">
      <formula>$L$143="1"</formula>
    </cfRule>
  </conditionalFormatting>
  <conditionalFormatting sqref="L143">
    <cfRule type="expression" dxfId="3143" priority="3144">
      <formula>$L$143="2"</formula>
    </cfRule>
  </conditionalFormatting>
  <conditionalFormatting sqref="L143">
    <cfRule type="expression" dxfId="3142" priority="3143">
      <formula>$L$143="3"</formula>
    </cfRule>
  </conditionalFormatting>
  <conditionalFormatting sqref="L143">
    <cfRule type="expression" dxfId="3141" priority="3142">
      <formula>$L$143="4"</formula>
    </cfRule>
  </conditionalFormatting>
  <conditionalFormatting sqref="L143">
    <cfRule type="expression" dxfId="3140" priority="3141">
      <formula>$L$143="5"</formula>
    </cfRule>
  </conditionalFormatting>
  <conditionalFormatting sqref="I144:R144">
    <cfRule type="expression" dxfId="3139" priority="3140">
      <formula>$P$144="Not started"</formula>
    </cfRule>
    <cfRule type="expression" dxfId="3138" priority="3129">
      <formula>$I$144="or"</formula>
    </cfRule>
    <cfRule type="expression" dxfId="3137" priority="3127">
      <formula>$I$144="Type 2"</formula>
    </cfRule>
  </conditionalFormatting>
  <conditionalFormatting sqref="I144:R144">
    <cfRule type="expression" dxfId="3136" priority="3139">
      <formula>$P$144="In progress"</formula>
    </cfRule>
  </conditionalFormatting>
  <conditionalFormatting sqref="I144:R144">
    <cfRule type="expression" dxfId="3135" priority="3138">
      <formula>$P$144="Closed"</formula>
    </cfRule>
  </conditionalFormatting>
  <conditionalFormatting sqref="I144:R144">
    <cfRule type="expression" dxfId="3134" priority="3137">
      <formula>$P$144="Canceled"</formula>
    </cfRule>
  </conditionalFormatting>
  <conditionalFormatting sqref="I144:R144">
    <cfRule type="expression" dxfId="3133" priority="3136">
      <formula>$P$144="Suspended"</formula>
    </cfRule>
  </conditionalFormatting>
  <conditionalFormatting sqref="I144:R144">
    <cfRule type="expression" dxfId="3132" priority="3135">
      <formula>$P$144="Applied"</formula>
    </cfRule>
  </conditionalFormatting>
  <conditionalFormatting sqref="I144:R144">
    <cfRule type="expression" dxfId="3131" priority="3134">
      <formula>$P$144="N/A"</formula>
    </cfRule>
  </conditionalFormatting>
  <conditionalFormatting sqref="I144:R144">
    <cfRule type="expression" dxfId="3130" priority="3133">
      <formula>$P$144=""</formula>
    </cfRule>
  </conditionalFormatting>
  <conditionalFormatting sqref="I144:R144">
    <cfRule type="expression" dxfId="3129" priority="3132">
      <formula>$I$144="Module 1"</formula>
    </cfRule>
  </conditionalFormatting>
  <conditionalFormatting sqref="I144:R144">
    <cfRule type="expression" dxfId="3128" priority="3131">
      <formula>$I$144="Module 2"</formula>
    </cfRule>
  </conditionalFormatting>
  <conditionalFormatting sqref="I144:R144">
    <cfRule type="expression" dxfId="3127" priority="3130">
      <formula>$I$144="Module 3"</formula>
    </cfRule>
    <cfRule type="expression" dxfId="3126" priority="3128">
      <formula>$I$144="Type 1"</formula>
    </cfRule>
    <cfRule type="expression" dxfId="3125" priority="3126">
      <formula>$I$144="Type 3"</formula>
    </cfRule>
  </conditionalFormatting>
  <conditionalFormatting sqref="L144">
    <cfRule type="expression" dxfId="3124" priority="3125">
      <formula>$L$144="1"</formula>
    </cfRule>
  </conditionalFormatting>
  <conditionalFormatting sqref="L144">
    <cfRule type="expression" dxfId="3123" priority="3124">
      <formula>$L$144="2"</formula>
    </cfRule>
  </conditionalFormatting>
  <conditionalFormatting sqref="L144">
    <cfRule type="expression" dxfId="3122" priority="3123">
      <formula>$L$144="3"</formula>
    </cfRule>
  </conditionalFormatting>
  <conditionalFormatting sqref="L144">
    <cfRule type="expression" dxfId="3121" priority="3122">
      <formula>$L$144="4"</formula>
    </cfRule>
  </conditionalFormatting>
  <conditionalFormatting sqref="L144">
    <cfRule type="expression" dxfId="3120" priority="3121">
      <formula>$L$144="5"</formula>
    </cfRule>
  </conditionalFormatting>
  <conditionalFormatting sqref="I145:R145">
    <cfRule type="expression" dxfId="3119" priority="3120">
      <formula>$P$145="Not started"</formula>
    </cfRule>
    <cfRule type="expression" dxfId="3118" priority="3109">
      <formula>$I$145="or"</formula>
    </cfRule>
    <cfRule type="expression" dxfId="3117" priority="3107">
      <formula>$I$145="Type 2"</formula>
    </cfRule>
  </conditionalFormatting>
  <conditionalFormatting sqref="I145:R145">
    <cfRule type="expression" dxfId="3116" priority="3119">
      <formula>$P$145="In progress"</formula>
    </cfRule>
  </conditionalFormatting>
  <conditionalFormatting sqref="I145:R145">
    <cfRule type="expression" dxfId="3115" priority="3118">
      <formula>$P$145="Closed"</formula>
    </cfRule>
  </conditionalFormatting>
  <conditionalFormatting sqref="I145:R145">
    <cfRule type="expression" dxfId="3114" priority="3117">
      <formula>$P$145="Canceled"</formula>
    </cfRule>
  </conditionalFormatting>
  <conditionalFormatting sqref="I145:R145">
    <cfRule type="expression" dxfId="3113" priority="3116">
      <formula>$P$145="Suspended"</formula>
    </cfRule>
  </conditionalFormatting>
  <conditionalFormatting sqref="I145:R145">
    <cfRule type="expression" dxfId="3112" priority="3115">
      <formula>$P$145="Applied"</formula>
    </cfRule>
  </conditionalFormatting>
  <conditionalFormatting sqref="I145:R145">
    <cfRule type="expression" dxfId="3111" priority="3114">
      <formula>$P$145="N/A"</formula>
    </cfRule>
  </conditionalFormatting>
  <conditionalFormatting sqref="I145:R145">
    <cfRule type="expression" dxfId="3110" priority="3113">
      <formula>$P$145=""</formula>
    </cfRule>
  </conditionalFormatting>
  <conditionalFormatting sqref="I145:R145">
    <cfRule type="expression" dxfId="3109" priority="3112">
      <formula>$I$145="Module 1"</formula>
    </cfRule>
  </conditionalFormatting>
  <conditionalFormatting sqref="I145:R145">
    <cfRule type="expression" dxfId="3108" priority="3111">
      <formula>$I$145="Module 2"</formula>
    </cfRule>
  </conditionalFormatting>
  <conditionalFormatting sqref="I145:R145">
    <cfRule type="expression" dxfId="3107" priority="3110">
      <formula>$I$145="Module 3"</formula>
    </cfRule>
    <cfRule type="expression" dxfId="3106" priority="3108">
      <formula>$I$145="Type 1"</formula>
    </cfRule>
    <cfRule type="expression" dxfId="3105" priority="3106">
      <formula>$I$145="Type 3"</formula>
    </cfRule>
  </conditionalFormatting>
  <conditionalFormatting sqref="L145">
    <cfRule type="expression" dxfId="3104" priority="3105">
      <formula>$L$145="1"</formula>
    </cfRule>
  </conditionalFormatting>
  <conditionalFormatting sqref="L145">
    <cfRule type="expression" dxfId="3103" priority="3104">
      <formula>$L$145="2"</formula>
    </cfRule>
  </conditionalFormatting>
  <conditionalFormatting sqref="L145">
    <cfRule type="expression" dxfId="3102" priority="3103">
      <formula>$L$145="3"</formula>
    </cfRule>
  </conditionalFormatting>
  <conditionalFormatting sqref="L145">
    <cfRule type="expression" dxfId="3101" priority="3102">
      <formula>$L$145="4"</formula>
    </cfRule>
  </conditionalFormatting>
  <conditionalFormatting sqref="L145">
    <cfRule type="expression" dxfId="3100" priority="3101">
      <formula>$L$145="5"</formula>
    </cfRule>
  </conditionalFormatting>
  <conditionalFormatting sqref="I146:R146">
    <cfRule type="expression" dxfId="3099" priority="3100">
      <formula>$P$146="Not started"</formula>
    </cfRule>
    <cfRule type="expression" dxfId="3098" priority="3089">
      <formula>$I$146="or"</formula>
    </cfRule>
    <cfRule type="expression" dxfId="3097" priority="3087">
      <formula>$I$146="Type 2"</formula>
    </cfRule>
  </conditionalFormatting>
  <conditionalFormatting sqref="I146:R146">
    <cfRule type="expression" dxfId="3096" priority="3099">
      <formula>$P$146="In progress"</formula>
    </cfRule>
  </conditionalFormatting>
  <conditionalFormatting sqref="I146:R146">
    <cfRule type="expression" dxfId="3095" priority="3098">
      <formula>$P$146="Closed"</formula>
    </cfRule>
  </conditionalFormatting>
  <conditionalFormatting sqref="I146:R146">
    <cfRule type="expression" dxfId="3094" priority="3097">
      <formula>$P$146="Canceled"</formula>
    </cfRule>
  </conditionalFormatting>
  <conditionalFormatting sqref="I146:R146">
    <cfRule type="expression" dxfId="3093" priority="3096">
      <formula>$P$146="Suspended"</formula>
    </cfRule>
  </conditionalFormatting>
  <conditionalFormatting sqref="I146:R146">
    <cfRule type="expression" dxfId="3092" priority="3095">
      <formula>$P$146="Applied"</formula>
    </cfRule>
  </conditionalFormatting>
  <conditionalFormatting sqref="I146:R146">
    <cfRule type="expression" dxfId="3091" priority="3094">
      <formula>$P$146="N/A"</formula>
    </cfRule>
  </conditionalFormatting>
  <conditionalFormatting sqref="I146:R146">
    <cfRule type="expression" dxfId="3090" priority="3093">
      <formula>$P$146=""</formula>
    </cfRule>
  </conditionalFormatting>
  <conditionalFormatting sqref="I146:R146">
    <cfRule type="expression" dxfId="3089" priority="3092">
      <formula>$I$146="Module 1"</formula>
    </cfRule>
  </conditionalFormatting>
  <conditionalFormatting sqref="I146:R146">
    <cfRule type="expression" dxfId="3088" priority="3091">
      <formula>$I$146="Module 2"</formula>
    </cfRule>
  </conditionalFormatting>
  <conditionalFormatting sqref="I146:R146">
    <cfRule type="expression" dxfId="3087" priority="3090">
      <formula>$I$146="Module 3"</formula>
    </cfRule>
    <cfRule type="expression" dxfId="3086" priority="3088">
      <formula>$I$146="Type 1"</formula>
    </cfRule>
    <cfRule type="expression" dxfId="3085" priority="3086">
      <formula>$I$146="Type 3"</formula>
    </cfRule>
  </conditionalFormatting>
  <conditionalFormatting sqref="L146">
    <cfRule type="expression" dxfId="3084" priority="3085">
      <formula>$L$146="1"</formula>
    </cfRule>
  </conditionalFormatting>
  <conditionalFormatting sqref="L146">
    <cfRule type="expression" dxfId="3083" priority="3084">
      <formula>$L$146="2"</formula>
    </cfRule>
  </conditionalFormatting>
  <conditionalFormatting sqref="L146">
    <cfRule type="expression" dxfId="3082" priority="3083">
      <formula>$L$146="3"</formula>
    </cfRule>
  </conditionalFormatting>
  <conditionalFormatting sqref="L146">
    <cfRule type="expression" dxfId="3081" priority="3082">
      <formula>$L$146="4"</formula>
    </cfRule>
  </conditionalFormatting>
  <conditionalFormatting sqref="L146">
    <cfRule type="expression" dxfId="3080" priority="3081">
      <formula>$L$146="5"</formula>
    </cfRule>
  </conditionalFormatting>
  <conditionalFormatting sqref="I147:R147">
    <cfRule type="expression" dxfId="3079" priority="3080">
      <formula>$P$147="Not started"</formula>
    </cfRule>
    <cfRule type="expression" dxfId="3078" priority="3069">
      <formula>$I$147="or"</formula>
    </cfRule>
    <cfRule type="expression" dxfId="3077" priority="3067">
      <formula>$I$147="Type 2"</formula>
    </cfRule>
  </conditionalFormatting>
  <conditionalFormatting sqref="I147:R147">
    <cfRule type="expression" dxfId="3076" priority="3079">
      <formula>$P$147="In progress"</formula>
    </cfRule>
  </conditionalFormatting>
  <conditionalFormatting sqref="I147:R147">
    <cfRule type="expression" dxfId="3075" priority="3078">
      <formula>$P$147="Closed"</formula>
    </cfRule>
  </conditionalFormatting>
  <conditionalFormatting sqref="I147:R147">
    <cfRule type="expression" dxfId="3074" priority="3077">
      <formula>$P$147="Canceled"</formula>
    </cfRule>
  </conditionalFormatting>
  <conditionalFormatting sqref="I147:R147">
    <cfRule type="expression" dxfId="3073" priority="3076">
      <formula>$P$147="Suspended"</formula>
    </cfRule>
  </conditionalFormatting>
  <conditionalFormatting sqref="I147:R147">
    <cfRule type="expression" dxfId="3072" priority="3075">
      <formula>$P$147="Applied"</formula>
    </cfRule>
  </conditionalFormatting>
  <conditionalFormatting sqref="I147:R147">
    <cfRule type="expression" dxfId="3071" priority="3074">
      <formula>$P$147="N/A"</formula>
    </cfRule>
  </conditionalFormatting>
  <conditionalFormatting sqref="I147:R147">
    <cfRule type="expression" dxfId="3070" priority="3073">
      <formula>$P$147=""</formula>
    </cfRule>
  </conditionalFormatting>
  <conditionalFormatting sqref="I147:R147">
    <cfRule type="expression" dxfId="3069" priority="3072">
      <formula>$I$147="Module 1"</formula>
    </cfRule>
  </conditionalFormatting>
  <conditionalFormatting sqref="I147:R147">
    <cfRule type="expression" dxfId="3068" priority="3071">
      <formula>$I$147="Module 2"</formula>
    </cfRule>
  </conditionalFormatting>
  <conditionalFormatting sqref="I147:R147">
    <cfRule type="expression" dxfId="3067" priority="3070">
      <formula>$I$147="Module 3"</formula>
    </cfRule>
    <cfRule type="expression" dxfId="3066" priority="3068">
      <formula>$I$147="Type 1"</formula>
    </cfRule>
    <cfRule type="expression" dxfId="3065" priority="3066">
      <formula>$I$147="Type 3"</formula>
    </cfRule>
  </conditionalFormatting>
  <conditionalFormatting sqref="L147">
    <cfRule type="expression" dxfId="3064" priority="3065">
      <formula>$L$147="1"</formula>
    </cfRule>
  </conditionalFormatting>
  <conditionalFormatting sqref="L147">
    <cfRule type="expression" dxfId="3063" priority="3064">
      <formula>$L$147="2"</formula>
    </cfRule>
  </conditionalFormatting>
  <conditionalFormatting sqref="L147">
    <cfRule type="expression" dxfId="3062" priority="3063">
      <formula>$L$147="3"</formula>
    </cfRule>
  </conditionalFormatting>
  <conditionalFormatting sqref="L147">
    <cfRule type="expression" dxfId="3061" priority="3062">
      <formula>$L$147="4"</formula>
    </cfRule>
  </conditionalFormatting>
  <conditionalFormatting sqref="L147">
    <cfRule type="expression" dxfId="3060" priority="3061">
      <formula>$L$147="5"</formula>
    </cfRule>
  </conditionalFormatting>
  <conditionalFormatting sqref="I148:R148">
    <cfRule type="expression" dxfId="3059" priority="3060">
      <formula>$P$148="Not started"</formula>
    </cfRule>
  </conditionalFormatting>
  <conditionalFormatting sqref="I148:R148">
    <cfRule type="expression" dxfId="3058" priority="3059">
      <formula>$P$148="In progress"</formula>
    </cfRule>
  </conditionalFormatting>
  <conditionalFormatting sqref="I148:R148">
    <cfRule type="expression" dxfId="3057" priority="3058">
      <formula>$P$148="Closed"</formula>
    </cfRule>
  </conditionalFormatting>
  <conditionalFormatting sqref="I148:R148">
    <cfRule type="expression" dxfId="3056" priority="3057">
      <formula>$P$148="Canceled"</formula>
    </cfRule>
  </conditionalFormatting>
  <conditionalFormatting sqref="I148:R148">
    <cfRule type="expression" dxfId="3055" priority="3056">
      <formula>$P$148="Suspended"</formula>
    </cfRule>
  </conditionalFormatting>
  <conditionalFormatting sqref="I148:R148">
    <cfRule type="expression" dxfId="3054" priority="3055">
      <formula>$P$148="Applied"</formula>
    </cfRule>
  </conditionalFormatting>
  <conditionalFormatting sqref="I148:R148">
    <cfRule type="expression" dxfId="3053" priority="3054">
      <formula>$P$148="N/A"</formula>
    </cfRule>
  </conditionalFormatting>
  <conditionalFormatting sqref="I148:R148">
    <cfRule type="expression" dxfId="3052" priority="3053">
      <formula>$P$148=""</formula>
    </cfRule>
  </conditionalFormatting>
  <conditionalFormatting sqref="I148:R148">
    <cfRule type="expression" dxfId="3051" priority="3052">
      <formula>$I$148="Module 1"</formula>
    </cfRule>
  </conditionalFormatting>
  <conditionalFormatting sqref="I148:R148">
    <cfRule type="expression" dxfId="3050" priority="3051">
      <formula>$I$148="Module 2"</formula>
    </cfRule>
  </conditionalFormatting>
  <conditionalFormatting sqref="I148:R148">
    <cfRule type="expression" dxfId="3049" priority="3050">
      <formula>$I$148="Module 3"</formula>
    </cfRule>
  </conditionalFormatting>
  <conditionalFormatting sqref="I148:R148">
    <cfRule type="expression" dxfId="3048" priority="3049">
      <formula>$I$148="or"</formula>
    </cfRule>
  </conditionalFormatting>
  <conditionalFormatting sqref="I148:R148">
    <cfRule type="expression" dxfId="3047" priority="3048">
      <formula>$I$148="Type 1"</formula>
    </cfRule>
  </conditionalFormatting>
  <conditionalFormatting sqref="I148:R148">
    <cfRule type="expression" dxfId="3046" priority="3047">
      <formula>$I$148="Type 2"</formula>
    </cfRule>
  </conditionalFormatting>
  <conditionalFormatting sqref="I148:R148">
    <cfRule type="expression" dxfId="3045" priority="3046">
      <formula>$I$148="Type 3"</formula>
    </cfRule>
  </conditionalFormatting>
  <conditionalFormatting sqref="L148">
    <cfRule type="expression" dxfId="3044" priority="3045">
      <formula>$L$148="1"</formula>
    </cfRule>
  </conditionalFormatting>
  <conditionalFormatting sqref="L148">
    <cfRule type="expression" dxfId="3043" priority="3044">
      <formula>$L$148="2"</formula>
    </cfRule>
  </conditionalFormatting>
  <conditionalFormatting sqref="L148">
    <cfRule type="expression" dxfId="3042" priority="3043">
      <formula>$L$148="3"</formula>
    </cfRule>
  </conditionalFormatting>
  <conditionalFormatting sqref="L148">
    <cfRule type="expression" dxfId="3041" priority="3042">
      <formula>$L$148="4"</formula>
    </cfRule>
  </conditionalFormatting>
  <conditionalFormatting sqref="L148">
    <cfRule type="expression" dxfId="3040" priority="3041">
      <formula>$L$148="5"</formula>
    </cfRule>
  </conditionalFormatting>
  <conditionalFormatting sqref="I149:R149">
    <cfRule type="expression" dxfId="3039" priority="3040">
      <formula>$P$149="Not started"</formula>
    </cfRule>
    <cfRule type="expression" dxfId="3038" priority="3029">
      <formula>$I$149="or"</formula>
    </cfRule>
    <cfRule type="expression" dxfId="3037" priority="3027">
      <formula>$I$149="Type 2"</formula>
    </cfRule>
  </conditionalFormatting>
  <conditionalFormatting sqref="I149:R149">
    <cfRule type="expression" dxfId="3036" priority="3039">
      <formula>$P$149="In progress"</formula>
    </cfRule>
  </conditionalFormatting>
  <conditionalFormatting sqref="I149:R149">
    <cfRule type="expression" dxfId="3035" priority="3038">
      <formula>$P$149="Closed"</formula>
    </cfRule>
  </conditionalFormatting>
  <conditionalFormatting sqref="I149:R149">
    <cfRule type="expression" dxfId="3034" priority="3037">
      <formula>$P$149="Canceled"</formula>
    </cfRule>
  </conditionalFormatting>
  <conditionalFormatting sqref="I149:R149">
    <cfRule type="expression" dxfId="3033" priority="3036">
      <formula>$P$149="Suspended"</formula>
    </cfRule>
  </conditionalFormatting>
  <conditionalFormatting sqref="I149:R149">
    <cfRule type="expression" dxfId="3032" priority="3035">
      <formula>$P$149="Applied"</formula>
    </cfRule>
  </conditionalFormatting>
  <conditionalFormatting sqref="I149:R149">
    <cfRule type="expression" dxfId="3031" priority="3034">
      <formula>$P$149="N/A"</formula>
    </cfRule>
  </conditionalFormatting>
  <conditionalFormatting sqref="I149:R149">
    <cfRule type="expression" dxfId="3030" priority="3033">
      <formula>$P$149=""</formula>
    </cfRule>
  </conditionalFormatting>
  <conditionalFormatting sqref="I149:R149">
    <cfRule type="expression" dxfId="3029" priority="3032">
      <formula>$I$149="Module 1"</formula>
    </cfRule>
  </conditionalFormatting>
  <conditionalFormatting sqref="I149:R149">
    <cfRule type="expression" dxfId="3028" priority="3031">
      <formula>$I$149="Module 2"</formula>
    </cfRule>
  </conditionalFormatting>
  <conditionalFormatting sqref="I149:R149">
    <cfRule type="expression" dxfId="3027" priority="3030">
      <formula>$I$149="Module 3"</formula>
    </cfRule>
    <cfRule type="expression" dxfId="3026" priority="3028">
      <formula>$I$149="Type 1"</formula>
    </cfRule>
    <cfRule type="expression" dxfId="3025" priority="3026">
      <formula>$I$149="Type 3"</formula>
    </cfRule>
  </conditionalFormatting>
  <conditionalFormatting sqref="L149">
    <cfRule type="expression" dxfId="3024" priority="3025">
      <formula>$L$149="1"</formula>
    </cfRule>
  </conditionalFormatting>
  <conditionalFormatting sqref="L149">
    <cfRule type="expression" dxfId="3023" priority="3024">
      <formula>$L$149="2"</formula>
    </cfRule>
  </conditionalFormatting>
  <conditionalFormatting sqref="L149">
    <cfRule type="expression" dxfId="3022" priority="3023">
      <formula>$L$149="3"</formula>
    </cfRule>
  </conditionalFormatting>
  <conditionalFormatting sqref="L149">
    <cfRule type="expression" dxfId="3021" priority="3022">
      <formula>$L$149="4"</formula>
    </cfRule>
  </conditionalFormatting>
  <conditionalFormatting sqref="L149">
    <cfRule type="expression" dxfId="3020" priority="3021">
      <formula>$L$149="5"</formula>
    </cfRule>
  </conditionalFormatting>
  <conditionalFormatting sqref="I150:R150">
    <cfRule type="expression" dxfId="3019" priority="3020">
      <formula>$P$150="Not started"</formula>
    </cfRule>
    <cfRule type="expression" dxfId="3018" priority="3009">
      <formula>$I$150="or"</formula>
    </cfRule>
    <cfRule type="expression" dxfId="3017" priority="3007">
      <formula>$I$150="Type 2"</formula>
    </cfRule>
  </conditionalFormatting>
  <conditionalFormatting sqref="I150:R150">
    <cfRule type="expression" dxfId="3016" priority="3019">
      <formula>$P$150="In progress"</formula>
    </cfRule>
  </conditionalFormatting>
  <conditionalFormatting sqref="I150:R150">
    <cfRule type="expression" dxfId="3015" priority="3018">
      <formula>$P$150="Closed"</formula>
    </cfRule>
  </conditionalFormatting>
  <conditionalFormatting sqref="I150:R150">
    <cfRule type="expression" dxfId="3014" priority="3017">
      <formula>$P$150="Canceled"</formula>
    </cfRule>
  </conditionalFormatting>
  <conditionalFormatting sqref="I150:R150">
    <cfRule type="expression" dxfId="3013" priority="3016">
      <formula>$P$150="Suspended"</formula>
    </cfRule>
  </conditionalFormatting>
  <conditionalFormatting sqref="I150:R150">
    <cfRule type="expression" dxfId="3012" priority="3015">
      <formula>$P$150="Applied"</formula>
    </cfRule>
  </conditionalFormatting>
  <conditionalFormatting sqref="I150:R150">
    <cfRule type="expression" dxfId="3011" priority="3014">
      <formula>$P$150="N/A"</formula>
    </cfRule>
  </conditionalFormatting>
  <conditionalFormatting sqref="I150:R150">
    <cfRule type="expression" dxfId="3010" priority="3013">
      <formula>$P$150=""</formula>
    </cfRule>
  </conditionalFormatting>
  <conditionalFormatting sqref="I150:R150">
    <cfRule type="expression" dxfId="3009" priority="3012">
      <formula>$I$150="Module 1"</formula>
    </cfRule>
  </conditionalFormatting>
  <conditionalFormatting sqref="I150:R150">
    <cfRule type="expression" dxfId="3008" priority="3011">
      <formula>$I$150="Module 2"</formula>
    </cfRule>
  </conditionalFormatting>
  <conditionalFormatting sqref="I150:R150">
    <cfRule type="expression" dxfId="3007" priority="3010">
      <formula>$I$150="Module 3"</formula>
    </cfRule>
    <cfRule type="expression" dxfId="3006" priority="3008">
      <formula>$I$150="Type 1"</formula>
    </cfRule>
    <cfRule type="expression" dxfId="3005" priority="3006">
      <formula>$I$150="Type 3"</formula>
    </cfRule>
  </conditionalFormatting>
  <conditionalFormatting sqref="L150">
    <cfRule type="expression" dxfId="3004" priority="3005">
      <formula>$L$150="1"</formula>
    </cfRule>
  </conditionalFormatting>
  <conditionalFormatting sqref="L150">
    <cfRule type="expression" dxfId="3003" priority="3004">
      <formula>$L$150="2"</formula>
    </cfRule>
  </conditionalFormatting>
  <conditionalFormatting sqref="L150">
    <cfRule type="expression" dxfId="3002" priority="3003">
      <formula>$L$150="3"</formula>
    </cfRule>
  </conditionalFormatting>
  <conditionalFormatting sqref="L150">
    <cfRule type="expression" dxfId="3001" priority="3002">
      <formula>$L$150="4"</formula>
    </cfRule>
  </conditionalFormatting>
  <conditionalFormatting sqref="L150">
    <cfRule type="expression" dxfId="3000" priority="3001">
      <formula>$L$150="5"</formula>
    </cfRule>
  </conditionalFormatting>
  <conditionalFormatting sqref="I151:R151">
    <cfRule type="expression" dxfId="2999" priority="3000">
      <formula>$P$151="Not started"</formula>
    </cfRule>
    <cfRule type="expression" dxfId="2998" priority="2989">
      <formula>$I$151="or"</formula>
    </cfRule>
    <cfRule type="expression" dxfId="2997" priority="2987">
      <formula>$I$151="Type 2"</formula>
    </cfRule>
  </conditionalFormatting>
  <conditionalFormatting sqref="I151:R151">
    <cfRule type="expression" dxfId="2996" priority="2999">
      <formula>$P$151="In progress"</formula>
    </cfRule>
  </conditionalFormatting>
  <conditionalFormatting sqref="I151:R151">
    <cfRule type="expression" dxfId="2995" priority="2998">
      <formula>$P$151="Closed"</formula>
    </cfRule>
  </conditionalFormatting>
  <conditionalFormatting sqref="I151:R151">
    <cfRule type="expression" dxfId="2994" priority="2997">
      <formula>$P$151="Canceled"</formula>
    </cfRule>
  </conditionalFormatting>
  <conditionalFormatting sqref="I151:R151">
    <cfRule type="expression" dxfId="2993" priority="2996">
      <formula>$P$151="Suspended"</formula>
    </cfRule>
  </conditionalFormatting>
  <conditionalFormatting sqref="I151:R151">
    <cfRule type="expression" dxfId="2992" priority="2995">
      <formula>$P$151="Applied"</formula>
    </cfRule>
  </conditionalFormatting>
  <conditionalFormatting sqref="I151:R151">
    <cfRule type="expression" dxfId="2991" priority="2994">
      <formula>$P$151="N/A"</formula>
    </cfRule>
  </conditionalFormatting>
  <conditionalFormatting sqref="I151:R151">
    <cfRule type="expression" dxfId="2990" priority="2993">
      <formula>$P$151=""</formula>
    </cfRule>
  </conditionalFormatting>
  <conditionalFormatting sqref="I151:R151">
    <cfRule type="expression" dxfId="2989" priority="2992">
      <formula>$I$151="Module 1"</formula>
    </cfRule>
  </conditionalFormatting>
  <conditionalFormatting sqref="I151:R151">
    <cfRule type="expression" dxfId="2988" priority="2991">
      <formula>$I$151="Module 2"</formula>
    </cfRule>
  </conditionalFormatting>
  <conditionalFormatting sqref="I151:R151">
    <cfRule type="expression" dxfId="2987" priority="2990">
      <formula>$I$151="Module 3"</formula>
    </cfRule>
    <cfRule type="expression" dxfId="2986" priority="2988">
      <formula>$I$151="Type 1"</formula>
    </cfRule>
    <cfRule type="expression" dxfId="2985" priority="2986">
      <formula>$I$151="Type 3"</formula>
    </cfRule>
  </conditionalFormatting>
  <conditionalFormatting sqref="L151">
    <cfRule type="expression" dxfId="2984" priority="2985">
      <formula>$L$151="1"</formula>
    </cfRule>
  </conditionalFormatting>
  <conditionalFormatting sqref="L151">
    <cfRule type="expression" dxfId="2983" priority="2984">
      <formula>$L$151="2"</formula>
    </cfRule>
  </conditionalFormatting>
  <conditionalFormatting sqref="L151">
    <cfRule type="expression" dxfId="2982" priority="2983">
      <formula>$L$151="3"</formula>
    </cfRule>
  </conditionalFormatting>
  <conditionalFormatting sqref="L151">
    <cfRule type="expression" dxfId="2981" priority="2982">
      <formula>$L$151="4"</formula>
    </cfRule>
  </conditionalFormatting>
  <conditionalFormatting sqref="L151">
    <cfRule type="expression" dxfId="2980" priority="2981">
      <formula>$L$151="5"</formula>
    </cfRule>
  </conditionalFormatting>
  <conditionalFormatting sqref="I152:R152">
    <cfRule type="expression" dxfId="2979" priority="2980">
      <formula>$P$152="Not started"</formula>
    </cfRule>
    <cfRule type="expression" dxfId="2978" priority="2969">
      <formula>$I$152="or"</formula>
    </cfRule>
    <cfRule type="expression" dxfId="2977" priority="2967">
      <formula>$I$152="Type 2"</formula>
    </cfRule>
  </conditionalFormatting>
  <conditionalFormatting sqref="I152:R152">
    <cfRule type="expression" dxfId="2976" priority="2979">
      <formula>$P$152="In progress"</formula>
    </cfRule>
  </conditionalFormatting>
  <conditionalFormatting sqref="I152:R152">
    <cfRule type="expression" dxfId="2975" priority="2978">
      <formula>$P$152="Closed"</formula>
    </cfRule>
  </conditionalFormatting>
  <conditionalFormatting sqref="I152:R152">
    <cfRule type="expression" dxfId="2974" priority="2977">
      <formula>$P$152="Canceled"</formula>
    </cfRule>
  </conditionalFormatting>
  <conditionalFormatting sqref="I152:R152">
    <cfRule type="expression" dxfId="2973" priority="2976">
      <formula>$P$152="Suspended"</formula>
    </cfRule>
  </conditionalFormatting>
  <conditionalFormatting sqref="I152:R152">
    <cfRule type="expression" dxfId="2972" priority="2975">
      <formula>$P$152="Applied"</formula>
    </cfRule>
  </conditionalFormatting>
  <conditionalFormatting sqref="I152:R152">
    <cfRule type="expression" dxfId="2971" priority="2974">
      <formula>$P$152="N/A"</formula>
    </cfRule>
  </conditionalFormatting>
  <conditionalFormatting sqref="I152:R152">
    <cfRule type="expression" dxfId="2970" priority="2973">
      <formula>$P$152=""</formula>
    </cfRule>
  </conditionalFormatting>
  <conditionalFormatting sqref="I152:R152">
    <cfRule type="expression" dxfId="2969" priority="2972">
      <formula>$I$152="Module 1"</formula>
    </cfRule>
  </conditionalFormatting>
  <conditionalFormatting sqref="I152:R152">
    <cfRule type="expression" dxfId="2968" priority="2971">
      <formula>$I$152="Module 2"</formula>
    </cfRule>
  </conditionalFormatting>
  <conditionalFormatting sqref="I152:R152">
    <cfRule type="expression" dxfId="2967" priority="2970">
      <formula>$I$152="Module 3"</formula>
    </cfRule>
    <cfRule type="expression" dxfId="2966" priority="2968">
      <formula>$I$152="Type 1"</formula>
    </cfRule>
    <cfRule type="expression" dxfId="2965" priority="2966">
      <formula>$I$152="Type 3"</formula>
    </cfRule>
  </conditionalFormatting>
  <conditionalFormatting sqref="L152">
    <cfRule type="expression" dxfId="2964" priority="2965">
      <formula>$L$152="1"</formula>
    </cfRule>
  </conditionalFormatting>
  <conditionalFormatting sqref="L152">
    <cfRule type="expression" dxfId="2963" priority="2964">
      <formula>$L$152="2"</formula>
    </cfRule>
  </conditionalFormatting>
  <conditionalFormatting sqref="L152">
    <cfRule type="expression" dxfId="2962" priority="2963">
      <formula>$L$152="3"</formula>
    </cfRule>
  </conditionalFormatting>
  <conditionalFormatting sqref="L152">
    <cfRule type="expression" dxfId="2961" priority="2962">
      <formula>$L$152="4"</formula>
    </cfRule>
  </conditionalFormatting>
  <conditionalFormatting sqref="L152">
    <cfRule type="expression" dxfId="2960" priority="2961">
      <formula>$L$152="5"</formula>
    </cfRule>
  </conditionalFormatting>
  <conditionalFormatting sqref="I153:R153">
    <cfRule type="expression" dxfId="2959" priority="2960">
      <formula>$P$153="Not started"</formula>
    </cfRule>
    <cfRule type="expression" dxfId="2958" priority="2949">
      <formula>$I$153="or"</formula>
    </cfRule>
    <cfRule type="expression" dxfId="2957" priority="2947">
      <formula>$I$153="Type 2"</formula>
    </cfRule>
  </conditionalFormatting>
  <conditionalFormatting sqref="I153:R153">
    <cfRule type="expression" dxfId="2956" priority="2959">
      <formula>$P$153="In progress"</formula>
    </cfRule>
  </conditionalFormatting>
  <conditionalFormatting sqref="I153:R153">
    <cfRule type="expression" dxfId="2955" priority="2958">
      <formula>$P$153="Closed"</formula>
    </cfRule>
  </conditionalFormatting>
  <conditionalFormatting sqref="I153:R153">
    <cfRule type="expression" dxfId="2954" priority="2957">
      <formula>$P$153="Canceled"</formula>
    </cfRule>
  </conditionalFormatting>
  <conditionalFormatting sqref="I153:R153">
    <cfRule type="expression" dxfId="2953" priority="2956">
      <formula>$P$153="Suspended"</formula>
    </cfRule>
  </conditionalFormatting>
  <conditionalFormatting sqref="I153:R153">
    <cfRule type="expression" dxfId="2952" priority="2955">
      <formula>$P$153="Applied"</formula>
    </cfRule>
  </conditionalFormatting>
  <conditionalFormatting sqref="I153:R153">
    <cfRule type="expression" dxfId="2951" priority="2954">
      <formula>$P$153="N/A"</formula>
    </cfRule>
  </conditionalFormatting>
  <conditionalFormatting sqref="I153:R153">
    <cfRule type="expression" dxfId="2950" priority="2953">
      <formula>$P$153=""</formula>
    </cfRule>
  </conditionalFormatting>
  <conditionalFormatting sqref="I153:R153">
    <cfRule type="expression" dxfId="2949" priority="2952">
      <formula>$I$153="Module 1"</formula>
    </cfRule>
  </conditionalFormatting>
  <conditionalFormatting sqref="I153:R153">
    <cfRule type="expression" dxfId="2948" priority="2951">
      <formula>$I$153="Module 2"</formula>
    </cfRule>
  </conditionalFormatting>
  <conditionalFormatting sqref="I153:R153">
    <cfRule type="expression" dxfId="2947" priority="2950">
      <formula>$I$153="Module 3"</formula>
    </cfRule>
    <cfRule type="expression" dxfId="2946" priority="2948">
      <formula>$I$153="Type 1"</formula>
    </cfRule>
    <cfRule type="expression" dxfId="2945" priority="2946">
      <formula>$I$153="Type 3"</formula>
    </cfRule>
  </conditionalFormatting>
  <conditionalFormatting sqref="L153">
    <cfRule type="expression" dxfId="2944" priority="2945">
      <formula>$L$153="1"</formula>
    </cfRule>
  </conditionalFormatting>
  <conditionalFormatting sqref="L153">
    <cfRule type="expression" dxfId="2943" priority="2944">
      <formula>$L$153="2"</formula>
    </cfRule>
  </conditionalFormatting>
  <conditionalFormatting sqref="L153">
    <cfRule type="expression" dxfId="2942" priority="2943">
      <formula>$L$153="3"</formula>
    </cfRule>
  </conditionalFormatting>
  <conditionalFormatting sqref="L153">
    <cfRule type="expression" dxfId="2941" priority="2942">
      <formula>$L$153="4"</formula>
    </cfRule>
  </conditionalFormatting>
  <conditionalFormatting sqref="L153">
    <cfRule type="expression" dxfId="2940" priority="2941">
      <formula>$L$153="5"</formula>
    </cfRule>
  </conditionalFormatting>
  <conditionalFormatting sqref="I154:R154">
    <cfRule type="expression" dxfId="2939" priority="2940">
      <formula>$P$154="Not started"</formula>
    </cfRule>
    <cfRule type="expression" dxfId="2938" priority="2929">
      <formula>$I$154="or"</formula>
    </cfRule>
    <cfRule type="expression" dxfId="2937" priority="2927">
      <formula>$I$154="Type 2"</formula>
    </cfRule>
  </conditionalFormatting>
  <conditionalFormatting sqref="I154:R154">
    <cfRule type="expression" dxfId="2936" priority="2939">
      <formula>$P$154="In progress"</formula>
    </cfRule>
  </conditionalFormatting>
  <conditionalFormatting sqref="I154:R154">
    <cfRule type="expression" dxfId="2935" priority="2938">
      <formula>$P$154="Closed"</formula>
    </cfRule>
  </conditionalFormatting>
  <conditionalFormatting sqref="I154:R154">
    <cfRule type="expression" dxfId="2934" priority="2937">
      <formula>$P$154="Canceled"</formula>
    </cfRule>
  </conditionalFormatting>
  <conditionalFormatting sqref="I154:R154">
    <cfRule type="expression" dxfId="2933" priority="2936">
      <formula>$P$154="Suspended"</formula>
    </cfRule>
  </conditionalFormatting>
  <conditionalFormatting sqref="I154:R154">
    <cfRule type="expression" dxfId="2932" priority="2935">
      <formula>$P$154="Applied"</formula>
    </cfRule>
  </conditionalFormatting>
  <conditionalFormatting sqref="I154:R154">
    <cfRule type="expression" dxfId="2931" priority="2934">
      <formula>$P$154="N/A"</formula>
    </cfRule>
  </conditionalFormatting>
  <conditionalFormatting sqref="I154:R154">
    <cfRule type="expression" dxfId="2930" priority="2933">
      <formula>$P$154=""</formula>
    </cfRule>
  </conditionalFormatting>
  <conditionalFormatting sqref="I154:R154">
    <cfRule type="expression" dxfId="2929" priority="2932">
      <formula>$I$154="Module 1"</formula>
    </cfRule>
  </conditionalFormatting>
  <conditionalFormatting sqref="I154:R154">
    <cfRule type="expression" dxfId="2928" priority="2931">
      <formula>$I$154="Module 2"</formula>
    </cfRule>
  </conditionalFormatting>
  <conditionalFormatting sqref="I154:R154">
    <cfRule type="expression" dxfId="2927" priority="2930">
      <formula>$I$154="Module 3"</formula>
    </cfRule>
    <cfRule type="expression" dxfId="2926" priority="2928">
      <formula>$I$154="Type 1"</formula>
    </cfRule>
    <cfRule type="expression" dxfId="2925" priority="2926">
      <formula>$I$154="Type 3"</formula>
    </cfRule>
  </conditionalFormatting>
  <conditionalFormatting sqref="L154">
    <cfRule type="expression" dxfId="2924" priority="2925">
      <formula>$L$154="1"</formula>
    </cfRule>
  </conditionalFormatting>
  <conditionalFormatting sqref="L154">
    <cfRule type="expression" dxfId="2923" priority="2924">
      <formula>$L$154="2"</formula>
    </cfRule>
  </conditionalFormatting>
  <conditionalFormatting sqref="L154">
    <cfRule type="expression" dxfId="2922" priority="2923">
      <formula>$L$154="3"</formula>
    </cfRule>
  </conditionalFormatting>
  <conditionalFormatting sqref="L154">
    <cfRule type="expression" dxfId="2921" priority="2922">
      <formula>$L$154="4"</formula>
    </cfRule>
  </conditionalFormatting>
  <conditionalFormatting sqref="L154">
    <cfRule type="expression" dxfId="2920" priority="2921">
      <formula>$L$154="5"</formula>
    </cfRule>
  </conditionalFormatting>
  <conditionalFormatting sqref="I155:R155">
    <cfRule type="expression" dxfId="2919" priority="2920">
      <formula>$P$155="Not started"</formula>
    </cfRule>
    <cfRule type="expression" dxfId="2918" priority="2909">
      <formula>$I$155="or"</formula>
    </cfRule>
    <cfRule type="expression" dxfId="2917" priority="2907">
      <formula>$I$155="Type 2"</formula>
    </cfRule>
  </conditionalFormatting>
  <conditionalFormatting sqref="I155:R155">
    <cfRule type="expression" dxfId="2916" priority="2919">
      <formula>$P$155="In progress"</formula>
    </cfRule>
  </conditionalFormatting>
  <conditionalFormatting sqref="I155:R155">
    <cfRule type="expression" dxfId="2915" priority="2918">
      <formula>$P$155="Closed"</formula>
    </cfRule>
  </conditionalFormatting>
  <conditionalFormatting sqref="I155:R155">
    <cfRule type="expression" dxfId="2914" priority="2917">
      <formula>$P$155="Canceled"</formula>
    </cfRule>
  </conditionalFormatting>
  <conditionalFormatting sqref="I155:R155">
    <cfRule type="expression" dxfId="2913" priority="2916">
      <formula>$P$155="Suspended"</formula>
    </cfRule>
  </conditionalFormatting>
  <conditionalFormatting sqref="I155:R155">
    <cfRule type="expression" dxfId="2912" priority="2915">
      <formula>$P$155="Applied"</formula>
    </cfRule>
  </conditionalFormatting>
  <conditionalFormatting sqref="I155:R155">
    <cfRule type="expression" dxfId="2911" priority="2914">
      <formula>$P$155="N/A"</formula>
    </cfRule>
  </conditionalFormatting>
  <conditionalFormatting sqref="I155:R155">
    <cfRule type="expression" dxfId="2910" priority="2913">
      <formula>$P$155=""</formula>
    </cfRule>
  </conditionalFormatting>
  <conditionalFormatting sqref="I155:R155">
    <cfRule type="expression" dxfId="2909" priority="2912">
      <formula>$I$155="Module 1"</formula>
    </cfRule>
  </conditionalFormatting>
  <conditionalFormatting sqref="I155:R155">
    <cfRule type="expression" dxfId="2908" priority="2911">
      <formula>$I$155="Module 2"</formula>
    </cfRule>
  </conditionalFormatting>
  <conditionalFormatting sqref="I155:R155">
    <cfRule type="expression" dxfId="2907" priority="2910">
      <formula>$I$155="Module 3"</formula>
    </cfRule>
    <cfRule type="expression" dxfId="2906" priority="2908">
      <formula>$I$155="Type 1"</formula>
    </cfRule>
    <cfRule type="expression" dxfId="2905" priority="2906">
      <formula>$I$155="Type 3"</formula>
    </cfRule>
  </conditionalFormatting>
  <conditionalFormatting sqref="L155">
    <cfRule type="expression" dxfId="2904" priority="2905">
      <formula>$L$155="1"</formula>
    </cfRule>
  </conditionalFormatting>
  <conditionalFormatting sqref="L155">
    <cfRule type="expression" dxfId="2903" priority="2904">
      <formula>$L$155="2"</formula>
    </cfRule>
  </conditionalFormatting>
  <conditionalFormatting sqref="L155">
    <cfRule type="expression" dxfId="2902" priority="2903">
      <formula>$L$155="3"</formula>
    </cfRule>
  </conditionalFormatting>
  <conditionalFormatting sqref="L155">
    <cfRule type="expression" dxfId="2901" priority="2902">
      <formula>$L$155="4"</formula>
    </cfRule>
  </conditionalFormatting>
  <conditionalFormatting sqref="L155">
    <cfRule type="expression" dxfId="2900" priority="2901">
      <formula>$L$155="5"</formula>
    </cfRule>
  </conditionalFormatting>
  <conditionalFormatting sqref="I156:R156">
    <cfRule type="expression" dxfId="2899" priority="2900">
      <formula>$P$156="Not started"</formula>
    </cfRule>
    <cfRule type="expression" dxfId="2898" priority="2889">
      <formula>$I$156="or"</formula>
    </cfRule>
    <cfRule type="expression" dxfId="2897" priority="2887">
      <formula>$I$156="Type 2"</formula>
    </cfRule>
  </conditionalFormatting>
  <conditionalFormatting sqref="I156:R156">
    <cfRule type="expression" dxfId="2896" priority="2899">
      <formula>$P$156="In progress"</formula>
    </cfRule>
  </conditionalFormatting>
  <conditionalFormatting sqref="I156:R156">
    <cfRule type="expression" dxfId="2895" priority="2898">
      <formula>$P$156="Closed"</formula>
    </cfRule>
  </conditionalFormatting>
  <conditionalFormatting sqref="I156:R156">
    <cfRule type="expression" dxfId="2894" priority="2897">
      <formula>$P$156="Canceled"</formula>
    </cfRule>
  </conditionalFormatting>
  <conditionalFormatting sqref="I156:R156">
    <cfRule type="expression" dxfId="2893" priority="2896">
      <formula>$P$156="Suspended"</formula>
    </cfRule>
  </conditionalFormatting>
  <conditionalFormatting sqref="I156:R156">
    <cfRule type="expression" dxfId="2892" priority="2895">
      <formula>$P$156="Applied"</formula>
    </cfRule>
  </conditionalFormatting>
  <conditionalFormatting sqref="I156:R156">
    <cfRule type="expression" dxfId="2891" priority="2894">
      <formula>$P$156="N/A"</formula>
    </cfRule>
  </conditionalFormatting>
  <conditionalFormatting sqref="I156:R156">
    <cfRule type="expression" dxfId="2890" priority="2893">
      <formula>$P$156=""</formula>
    </cfRule>
  </conditionalFormatting>
  <conditionalFormatting sqref="I156:R156">
    <cfRule type="expression" dxfId="2889" priority="2892">
      <formula>$I$156="Module 1"</formula>
    </cfRule>
  </conditionalFormatting>
  <conditionalFormatting sqref="I156:R156">
    <cfRule type="expression" dxfId="2888" priority="2891">
      <formula>$I$156="Module 2"</formula>
    </cfRule>
  </conditionalFormatting>
  <conditionalFormatting sqref="I156:R156">
    <cfRule type="expression" dxfId="2887" priority="2890">
      <formula>$I$156="Module 3"</formula>
    </cfRule>
    <cfRule type="expression" dxfId="2886" priority="2888">
      <formula>$I$156="Type 1"</formula>
    </cfRule>
    <cfRule type="expression" dxfId="2885" priority="2886">
      <formula>$I$156="Type 3"</formula>
    </cfRule>
  </conditionalFormatting>
  <conditionalFormatting sqref="L156">
    <cfRule type="expression" dxfId="2884" priority="2885">
      <formula>$L$156="1"</formula>
    </cfRule>
  </conditionalFormatting>
  <conditionalFormatting sqref="L156">
    <cfRule type="expression" dxfId="2883" priority="2884">
      <formula>$L$156="2"</formula>
    </cfRule>
  </conditionalFormatting>
  <conditionalFormatting sqref="L156">
    <cfRule type="expression" dxfId="2882" priority="2883">
      <formula>$L$156="3"</formula>
    </cfRule>
  </conditionalFormatting>
  <conditionalFormatting sqref="L156">
    <cfRule type="expression" dxfId="2881" priority="2882">
      <formula>$L$156="4"</formula>
    </cfRule>
  </conditionalFormatting>
  <conditionalFormatting sqref="L156">
    <cfRule type="expression" dxfId="2880" priority="2881">
      <formula>$L$156="5"</formula>
    </cfRule>
  </conditionalFormatting>
  <conditionalFormatting sqref="I157:R157">
    <cfRule type="expression" dxfId="2879" priority="2880">
      <formula>$P$157="Not started"</formula>
    </cfRule>
    <cfRule type="expression" dxfId="2878" priority="2869">
      <formula>$I$157="or"</formula>
    </cfRule>
    <cfRule type="expression" dxfId="2877" priority="2867">
      <formula>$I$157="Type 2"</formula>
    </cfRule>
  </conditionalFormatting>
  <conditionalFormatting sqref="I157:R157">
    <cfRule type="expression" dxfId="2876" priority="2879">
      <formula>$P$157="In progress"</formula>
    </cfRule>
  </conditionalFormatting>
  <conditionalFormatting sqref="I157:R157">
    <cfRule type="expression" dxfId="2875" priority="2878">
      <formula>$P$157="Closed"</formula>
    </cfRule>
  </conditionalFormatting>
  <conditionalFormatting sqref="I157:R157">
    <cfRule type="expression" dxfId="2874" priority="2877">
      <formula>$P$157="Canceled"</formula>
    </cfRule>
  </conditionalFormatting>
  <conditionalFormatting sqref="I157:R157">
    <cfRule type="expression" dxfId="2873" priority="2876">
      <formula>$P$157="Suspended"</formula>
    </cfRule>
  </conditionalFormatting>
  <conditionalFormatting sqref="I157:R157">
    <cfRule type="expression" dxfId="2872" priority="2875">
      <formula>$P$157="Applied"</formula>
    </cfRule>
  </conditionalFormatting>
  <conditionalFormatting sqref="I157:R157">
    <cfRule type="expression" dxfId="2871" priority="2874">
      <formula>$P$157="N/A"</formula>
    </cfRule>
  </conditionalFormatting>
  <conditionalFormatting sqref="I157:R157">
    <cfRule type="expression" dxfId="2870" priority="2873">
      <formula>$P$157=""</formula>
    </cfRule>
  </conditionalFormatting>
  <conditionalFormatting sqref="I157:R157">
    <cfRule type="expression" dxfId="2869" priority="2872">
      <formula>$I$157="Module 1"</formula>
    </cfRule>
  </conditionalFormatting>
  <conditionalFormatting sqref="I157:R157">
    <cfRule type="expression" dxfId="2868" priority="2871">
      <formula>$I$157="Module 2"</formula>
    </cfRule>
  </conditionalFormatting>
  <conditionalFormatting sqref="I157:R157">
    <cfRule type="expression" dxfId="2867" priority="2870">
      <formula>$I$157="Module 3"</formula>
    </cfRule>
    <cfRule type="expression" dxfId="2866" priority="2868">
      <formula>$I$157="Type 1"</formula>
    </cfRule>
    <cfRule type="expression" dxfId="2865" priority="2866">
      <formula>$I$157="Type 3"</formula>
    </cfRule>
  </conditionalFormatting>
  <conditionalFormatting sqref="L157">
    <cfRule type="expression" dxfId="2864" priority="2865">
      <formula>$L$157="1"</formula>
    </cfRule>
  </conditionalFormatting>
  <conditionalFormatting sqref="L157">
    <cfRule type="expression" dxfId="2863" priority="2864">
      <formula>$L$157="2"</formula>
    </cfRule>
  </conditionalFormatting>
  <conditionalFormatting sqref="L157">
    <cfRule type="expression" dxfId="2862" priority="2863">
      <formula>$L$157="3"</formula>
    </cfRule>
  </conditionalFormatting>
  <conditionalFormatting sqref="L157">
    <cfRule type="expression" dxfId="2861" priority="2862">
      <formula>$L$157="4"</formula>
    </cfRule>
  </conditionalFormatting>
  <conditionalFormatting sqref="L157">
    <cfRule type="expression" dxfId="2860" priority="2861">
      <formula>$L$157="5"</formula>
    </cfRule>
  </conditionalFormatting>
  <conditionalFormatting sqref="I158:R158">
    <cfRule type="expression" dxfId="2859" priority="2860">
      <formula>$P$158="Not started"</formula>
    </cfRule>
  </conditionalFormatting>
  <conditionalFormatting sqref="I158:R158">
    <cfRule type="expression" dxfId="2858" priority="2859">
      <formula>$P$158="In progress"</formula>
    </cfRule>
  </conditionalFormatting>
  <conditionalFormatting sqref="I158:R158">
    <cfRule type="expression" dxfId="2857" priority="2858">
      <formula>$P$158="Closed"</formula>
    </cfRule>
  </conditionalFormatting>
  <conditionalFormatting sqref="I158:R158">
    <cfRule type="expression" dxfId="2856" priority="2857">
      <formula>$P$158="Canceled"</formula>
    </cfRule>
  </conditionalFormatting>
  <conditionalFormatting sqref="I158:R158">
    <cfRule type="expression" dxfId="2855" priority="2856">
      <formula>$P$158="Suspended"</formula>
    </cfRule>
  </conditionalFormatting>
  <conditionalFormatting sqref="I158:R158">
    <cfRule type="expression" dxfId="2854" priority="2855">
      <formula>$P$158="Applied"</formula>
    </cfRule>
  </conditionalFormatting>
  <conditionalFormatting sqref="I158:R158">
    <cfRule type="expression" dxfId="2853" priority="2854">
      <formula>$P$158="N/A"</formula>
    </cfRule>
  </conditionalFormatting>
  <conditionalFormatting sqref="I158:R158">
    <cfRule type="expression" dxfId="2852" priority="2853">
      <formula>$P$158=""</formula>
    </cfRule>
  </conditionalFormatting>
  <conditionalFormatting sqref="I158:R158">
    <cfRule type="expression" dxfId="2851" priority="2852">
      <formula>$I$158="Module 1"</formula>
    </cfRule>
  </conditionalFormatting>
  <conditionalFormatting sqref="I158:R158">
    <cfRule type="expression" dxfId="2850" priority="2851">
      <formula>$I$158="Module 2"</formula>
    </cfRule>
  </conditionalFormatting>
  <conditionalFormatting sqref="I158:R158">
    <cfRule type="expression" dxfId="2849" priority="2850">
      <formula>$I$158="Module 3"</formula>
    </cfRule>
  </conditionalFormatting>
  <conditionalFormatting sqref="I158:R158">
    <cfRule type="expression" dxfId="2848" priority="2849">
      <formula>$I$158="or"</formula>
    </cfRule>
  </conditionalFormatting>
  <conditionalFormatting sqref="I158:R158">
    <cfRule type="expression" dxfId="2847" priority="2848">
      <formula>$I$158="Type 1"</formula>
    </cfRule>
  </conditionalFormatting>
  <conditionalFormatting sqref="I158:R158">
    <cfRule type="expression" dxfId="2846" priority="2847">
      <formula>$I$158="Type 2"</formula>
    </cfRule>
  </conditionalFormatting>
  <conditionalFormatting sqref="I158:R158">
    <cfRule type="expression" dxfId="2845" priority="2846">
      <formula>$I$158="Type 3"</formula>
    </cfRule>
  </conditionalFormatting>
  <conditionalFormatting sqref="L158">
    <cfRule type="expression" dxfId="2844" priority="2845">
      <formula>$L$158="1"</formula>
    </cfRule>
  </conditionalFormatting>
  <conditionalFormatting sqref="L158">
    <cfRule type="expression" dxfId="2843" priority="2844">
      <formula>$L$158="2"</formula>
    </cfRule>
  </conditionalFormatting>
  <conditionalFormatting sqref="L158">
    <cfRule type="expression" dxfId="2842" priority="2843">
      <formula>$L$158="3"</formula>
    </cfRule>
  </conditionalFormatting>
  <conditionalFormatting sqref="L158">
    <cfRule type="expression" dxfId="2841" priority="2842">
      <formula>$L$158="4"</formula>
    </cfRule>
  </conditionalFormatting>
  <conditionalFormatting sqref="L158">
    <cfRule type="expression" dxfId="2840" priority="2841">
      <formula>$L$158="5"</formula>
    </cfRule>
  </conditionalFormatting>
  <conditionalFormatting sqref="I159:R159">
    <cfRule type="expression" dxfId="2839" priority="2840">
      <formula>$P$159="Not started"</formula>
    </cfRule>
    <cfRule type="expression" dxfId="2838" priority="2829">
      <formula>$I$159="or"</formula>
    </cfRule>
    <cfRule type="expression" dxfId="2837" priority="2827">
      <formula>$I$159="Type 2"</formula>
    </cfRule>
  </conditionalFormatting>
  <conditionalFormatting sqref="I159:R159">
    <cfRule type="expression" dxfId="2836" priority="2839">
      <formula>$P$159="In progress"</formula>
    </cfRule>
  </conditionalFormatting>
  <conditionalFormatting sqref="I159:R159">
    <cfRule type="expression" dxfId="2835" priority="2838">
      <formula>$P$159="Closed"</formula>
    </cfRule>
  </conditionalFormatting>
  <conditionalFormatting sqref="I159:R159">
    <cfRule type="expression" dxfId="2834" priority="2837">
      <formula>$P$159="Canceled"</formula>
    </cfRule>
  </conditionalFormatting>
  <conditionalFormatting sqref="I159:R159">
    <cfRule type="expression" dxfId="2833" priority="2836">
      <formula>$P$159="Suspended"</formula>
    </cfRule>
  </conditionalFormatting>
  <conditionalFormatting sqref="I159:R159">
    <cfRule type="expression" dxfId="2832" priority="2835">
      <formula>$P$159="Applied"</formula>
    </cfRule>
  </conditionalFormatting>
  <conditionalFormatting sqref="I159:R159">
    <cfRule type="expression" dxfId="2831" priority="2834">
      <formula>$P$159="N/A"</formula>
    </cfRule>
  </conditionalFormatting>
  <conditionalFormatting sqref="I159:R159">
    <cfRule type="expression" dxfId="2830" priority="2833">
      <formula>$P$159=""</formula>
    </cfRule>
  </conditionalFormatting>
  <conditionalFormatting sqref="I159:R159">
    <cfRule type="expression" dxfId="2829" priority="2832">
      <formula>$I$159="Module 1"</formula>
    </cfRule>
  </conditionalFormatting>
  <conditionalFormatting sqref="I159:R159">
    <cfRule type="expression" dxfId="2828" priority="2831">
      <formula>$I$159="Module 2"</formula>
    </cfRule>
  </conditionalFormatting>
  <conditionalFormatting sqref="I159:R159">
    <cfRule type="expression" dxfId="2827" priority="2830">
      <formula>$I$159="Module 3"</formula>
    </cfRule>
    <cfRule type="expression" dxfId="2826" priority="2828">
      <formula>$I$159="Type 1"</formula>
    </cfRule>
    <cfRule type="expression" dxfId="2825" priority="2826">
      <formula>$I$159="Type 3"</formula>
    </cfRule>
  </conditionalFormatting>
  <conditionalFormatting sqref="L159">
    <cfRule type="expression" dxfId="2824" priority="2825">
      <formula>$L$159="1"</formula>
    </cfRule>
  </conditionalFormatting>
  <conditionalFormatting sqref="L159">
    <cfRule type="expression" dxfId="2823" priority="2824">
      <formula>$L$159="2"</formula>
    </cfRule>
  </conditionalFormatting>
  <conditionalFormatting sqref="L159">
    <cfRule type="expression" dxfId="2822" priority="2823">
      <formula>$L$159="3"</formula>
    </cfRule>
  </conditionalFormatting>
  <conditionalFormatting sqref="L159">
    <cfRule type="expression" dxfId="2821" priority="2822">
      <formula>$L$159="4"</formula>
    </cfRule>
  </conditionalFormatting>
  <conditionalFormatting sqref="L159">
    <cfRule type="expression" dxfId="2820" priority="2821">
      <formula>$L$159="5"</formula>
    </cfRule>
  </conditionalFormatting>
  <conditionalFormatting sqref="I160:R160">
    <cfRule type="expression" dxfId="2819" priority="2820">
      <formula>$P$160="Not started"</formula>
    </cfRule>
    <cfRule type="expression" dxfId="2818" priority="2809">
      <formula>$I$160="or"</formula>
    </cfRule>
    <cfRule type="expression" dxfId="2817" priority="2807">
      <formula>$I$160="Type 2"</formula>
    </cfRule>
  </conditionalFormatting>
  <conditionalFormatting sqref="I160:R160">
    <cfRule type="expression" dxfId="2816" priority="2819">
      <formula>$P$160="In progress"</formula>
    </cfRule>
  </conditionalFormatting>
  <conditionalFormatting sqref="I160:R160">
    <cfRule type="expression" dxfId="2815" priority="2818">
      <formula>$P$160="Closed"</formula>
    </cfRule>
  </conditionalFormatting>
  <conditionalFormatting sqref="I160:R160">
    <cfRule type="expression" dxfId="2814" priority="2817">
      <formula>$P$160="Canceled"</formula>
    </cfRule>
  </conditionalFormatting>
  <conditionalFormatting sqref="I160:R160">
    <cfRule type="expression" dxfId="2813" priority="2816">
      <formula>$P$160="Suspended"</formula>
    </cfRule>
  </conditionalFormatting>
  <conditionalFormatting sqref="I160:R160">
    <cfRule type="expression" dxfId="2812" priority="2815">
      <formula>$P$160="Applied"</formula>
    </cfRule>
  </conditionalFormatting>
  <conditionalFormatting sqref="I160:R160">
    <cfRule type="expression" dxfId="2811" priority="2814">
      <formula>$P$160="N/A"</formula>
    </cfRule>
  </conditionalFormatting>
  <conditionalFormatting sqref="I160:R160">
    <cfRule type="expression" dxfId="2810" priority="2813">
      <formula>$P$160=""</formula>
    </cfRule>
  </conditionalFormatting>
  <conditionalFormatting sqref="I160:R160">
    <cfRule type="expression" dxfId="2809" priority="2812">
      <formula>$I$160="Module 1"</formula>
    </cfRule>
  </conditionalFormatting>
  <conditionalFormatting sqref="I160:R160">
    <cfRule type="expression" dxfId="2808" priority="2811">
      <formula>$I$160="Module 2"</formula>
    </cfRule>
  </conditionalFormatting>
  <conditionalFormatting sqref="I160:R160">
    <cfRule type="expression" dxfId="2807" priority="2810">
      <formula>$I$160="Module 3"</formula>
    </cfRule>
    <cfRule type="expression" dxfId="2806" priority="2808">
      <formula>$I$160="Type 1"</formula>
    </cfRule>
    <cfRule type="expression" dxfId="2805" priority="2806">
      <formula>$I$160="Type 3"</formula>
    </cfRule>
  </conditionalFormatting>
  <conditionalFormatting sqref="L160">
    <cfRule type="expression" dxfId="2804" priority="2805">
      <formula>$L$160="1"</formula>
    </cfRule>
  </conditionalFormatting>
  <conditionalFormatting sqref="L160">
    <cfRule type="expression" dxfId="2803" priority="2804">
      <formula>$L$160="2"</formula>
    </cfRule>
  </conditionalFormatting>
  <conditionalFormatting sqref="L160">
    <cfRule type="expression" dxfId="2802" priority="2803">
      <formula>$L$160="3"</formula>
    </cfRule>
  </conditionalFormatting>
  <conditionalFormatting sqref="L160">
    <cfRule type="expression" dxfId="2801" priority="2802">
      <formula>$L$160="4"</formula>
    </cfRule>
  </conditionalFormatting>
  <conditionalFormatting sqref="L160">
    <cfRule type="expression" dxfId="2800" priority="2801">
      <formula>$L$160="5"</formula>
    </cfRule>
  </conditionalFormatting>
  <conditionalFormatting sqref="I161:R161">
    <cfRule type="expression" dxfId="2799" priority="2800">
      <formula>$P$161="Not started"</formula>
    </cfRule>
    <cfRule type="expression" dxfId="2798" priority="2789">
      <formula>$I$161="or"</formula>
    </cfRule>
    <cfRule type="expression" dxfId="2797" priority="2787">
      <formula>$I$161="Type 2"</formula>
    </cfRule>
  </conditionalFormatting>
  <conditionalFormatting sqref="I161:R161">
    <cfRule type="expression" dxfId="2796" priority="2799">
      <formula>$P$161="In progress"</formula>
    </cfRule>
  </conditionalFormatting>
  <conditionalFormatting sqref="I161:R161">
    <cfRule type="expression" dxfId="2795" priority="2798">
      <formula>$P$161="Closed"</formula>
    </cfRule>
  </conditionalFormatting>
  <conditionalFormatting sqref="I161:R161">
    <cfRule type="expression" dxfId="2794" priority="2797">
      <formula>$P$161="Canceled"</formula>
    </cfRule>
  </conditionalFormatting>
  <conditionalFormatting sqref="I161:R161">
    <cfRule type="expression" dxfId="2793" priority="2796">
      <formula>$P$161="Suspended"</formula>
    </cfRule>
  </conditionalFormatting>
  <conditionalFormatting sqref="I161:R161">
    <cfRule type="expression" dxfId="2792" priority="2795">
      <formula>$P$161="Applied"</formula>
    </cfRule>
  </conditionalFormatting>
  <conditionalFormatting sqref="I161:R161">
    <cfRule type="expression" dxfId="2791" priority="2794">
      <formula>$P$161="N/A"</formula>
    </cfRule>
  </conditionalFormatting>
  <conditionalFormatting sqref="I161:R161">
    <cfRule type="expression" dxfId="2790" priority="2793">
      <formula>$P$161=""</formula>
    </cfRule>
  </conditionalFormatting>
  <conditionalFormatting sqref="I161:R161">
    <cfRule type="expression" dxfId="2789" priority="2792">
      <formula>$I$161="Module 1"</formula>
    </cfRule>
  </conditionalFormatting>
  <conditionalFormatting sqref="I161:R161">
    <cfRule type="expression" dxfId="2788" priority="2791">
      <formula>$I$161="Module 2"</formula>
    </cfRule>
  </conditionalFormatting>
  <conditionalFormatting sqref="I161:R161">
    <cfRule type="expression" dxfId="2787" priority="2790">
      <formula>$I$161="Module 3"</formula>
    </cfRule>
    <cfRule type="expression" dxfId="2786" priority="2788">
      <formula>$I$161="Type 1"</formula>
    </cfRule>
    <cfRule type="expression" dxfId="2785" priority="2786">
      <formula>$I$161="Type 3"</formula>
    </cfRule>
  </conditionalFormatting>
  <conditionalFormatting sqref="L161">
    <cfRule type="expression" dxfId="2784" priority="2785">
      <formula>$L$161="1"</formula>
    </cfRule>
  </conditionalFormatting>
  <conditionalFormatting sqref="L161">
    <cfRule type="expression" dxfId="2783" priority="2784">
      <formula>$L$161="2"</formula>
    </cfRule>
  </conditionalFormatting>
  <conditionalFormatting sqref="L161">
    <cfRule type="expression" dxfId="2782" priority="2783">
      <formula>$L$161="3"</formula>
    </cfRule>
  </conditionalFormatting>
  <conditionalFormatting sqref="L161">
    <cfRule type="expression" dxfId="2781" priority="2782">
      <formula>$L$161="4"</formula>
    </cfRule>
  </conditionalFormatting>
  <conditionalFormatting sqref="L161">
    <cfRule type="expression" dxfId="2780" priority="2781">
      <formula>$L$161="5"</formula>
    </cfRule>
  </conditionalFormatting>
  <conditionalFormatting sqref="I162:R162">
    <cfRule type="expression" dxfId="2779" priority="2780">
      <formula>$P$162="Not started"</formula>
    </cfRule>
    <cfRule type="expression" dxfId="2778" priority="2769">
      <formula>$I$162="or"</formula>
    </cfRule>
    <cfRule type="expression" dxfId="2777" priority="2767">
      <formula>$I$162="Type 2"</formula>
    </cfRule>
  </conditionalFormatting>
  <conditionalFormatting sqref="I162:R162">
    <cfRule type="expression" dxfId="2776" priority="2779">
      <formula>$P$162="In progress"</formula>
    </cfRule>
  </conditionalFormatting>
  <conditionalFormatting sqref="I162:R162">
    <cfRule type="expression" dxfId="2775" priority="2778">
      <formula>$P$162="Closed"</formula>
    </cfRule>
  </conditionalFormatting>
  <conditionalFormatting sqref="I162:R162">
    <cfRule type="expression" dxfId="2774" priority="2777">
      <formula>$P$162="Canceled"</formula>
    </cfRule>
  </conditionalFormatting>
  <conditionalFormatting sqref="I162:R162">
    <cfRule type="expression" dxfId="2773" priority="2776">
      <formula>$P$162="Suspended"</formula>
    </cfRule>
  </conditionalFormatting>
  <conditionalFormatting sqref="I162:R162">
    <cfRule type="expression" dxfId="2772" priority="2775">
      <formula>$P$162="Applied"</formula>
    </cfRule>
  </conditionalFormatting>
  <conditionalFormatting sqref="I162:R162">
    <cfRule type="expression" dxfId="2771" priority="2774">
      <formula>$P$162="N/A"</formula>
    </cfRule>
  </conditionalFormatting>
  <conditionalFormatting sqref="I162:R162">
    <cfRule type="expression" dxfId="2770" priority="2773">
      <formula>$P$162=""</formula>
    </cfRule>
  </conditionalFormatting>
  <conditionalFormatting sqref="I162:R162">
    <cfRule type="expression" dxfId="2769" priority="2772">
      <formula>$I$162="Module 1"</formula>
    </cfRule>
  </conditionalFormatting>
  <conditionalFormatting sqref="I162:R162">
    <cfRule type="expression" dxfId="2768" priority="2771">
      <formula>$I$162="Module 2"</formula>
    </cfRule>
  </conditionalFormatting>
  <conditionalFormatting sqref="I162:R162">
    <cfRule type="expression" dxfId="2767" priority="2770">
      <formula>$I$162="Module 3"</formula>
    </cfRule>
    <cfRule type="expression" dxfId="2766" priority="2768">
      <formula>$I$162="Type 1"</formula>
    </cfRule>
    <cfRule type="expression" dxfId="2765" priority="2766">
      <formula>$I$162="Type 3"</formula>
    </cfRule>
  </conditionalFormatting>
  <conditionalFormatting sqref="L162">
    <cfRule type="expression" dxfId="2764" priority="2765">
      <formula>$L$162="1"</formula>
    </cfRule>
  </conditionalFormatting>
  <conditionalFormatting sqref="L162">
    <cfRule type="expression" dxfId="2763" priority="2764">
      <formula>$L$162="2"</formula>
    </cfRule>
  </conditionalFormatting>
  <conditionalFormatting sqref="L162">
    <cfRule type="expression" dxfId="2762" priority="2763">
      <formula>$L$162="3"</formula>
    </cfRule>
  </conditionalFormatting>
  <conditionalFormatting sqref="L162">
    <cfRule type="expression" dxfId="2761" priority="2762">
      <formula>$L$162="4"</formula>
    </cfRule>
  </conditionalFormatting>
  <conditionalFormatting sqref="L162">
    <cfRule type="expression" dxfId="2760" priority="2761">
      <formula>$L$162="5"</formula>
    </cfRule>
  </conditionalFormatting>
  <conditionalFormatting sqref="I163:R163">
    <cfRule type="expression" dxfId="2759" priority="2760">
      <formula>$P$163="Not started"</formula>
    </cfRule>
    <cfRule type="expression" dxfId="2758" priority="2749">
      <formula>$I$163="or"</formula>
    </cfRule>
    <cfRule type="expression" dxfId="2757" priority="2747">
      <formula>$I$163="Type 2"</formula>
    </cfRule>
  </conditionalFormatting>
  <conditionalFormatting sqref="I163:R163">
    <cfRule type="expression" dxfId="2756" priority="2759">
      <formula>$P$163="In progress"</formula>
    </cfRule>
  </conditionalFormatting>
  <conditionalFormatting sqref="I163:R163">
    <cfRule type="expression" dxfId="2755" priority="2758">
      <formula>$P$163="Closed"</formula>
    </cfRule>
  </conditionalFormatting>
  <conditionalFormatting sqref="I163:R163">
    <cfRule type="expression" dxfId="2754" priority="2757">
      <formula>$P$163="Canceled"</formula>
    </cfRule>
  </conditionalFormatting>
  <conditionalFormatting sqref="I163:R163">
    <cfRule type="expression" dxfId="2753" priority="2756">
      <formula>$P$163="Suspended"</formula>
    </cfRule>
  </conditionalFormatting>
  <conditionalFormatting sqref="I163:R163">
    <cfRule type="expression" dxfId="2752" priority="2755">
      <formula>$P$163="Applied"</formula>
    </cfRule>
  </conditionalFormatting>
  <conditionalFormatting sqref="I163:R163">
    <cfRule type="expression" dxfId="2751" priority="2754">
      <formula>$P$163="N/A"</formula>
    </cfRule>
  </conditionalFormatting>
  <conditionalFormatting sqref="I163:R163">
    <cfRule type="expression" dxfId="2750" priority="2753">
      <formula>$P$163=""</formula>
    </cfRule>
  </conditionalFormatting>
  <conditionalFormatting sqref="I163:R163">
    <cfRule type="expression" dxfId="2749" priority="2752">
      <formula>$I$163="Module 1"</formula>
    </cfRule>
  </conditionalFormatting>
  <conditionalFormatting sqref="I163:R163">
    <cfRule type="expression" dxfId="2748" priority="2751">
      <formula>$I$163="Module 2"</formula>
    </cfRule>
  </conditionalFormatting>
  <conditionalFormatting sqref="I163:R163">
    <cfRule type="expression" dxfId="2747" priority="2750">
      <formula>$I$163="Module 3"</formula>
    </cfRule>
    <cfRule type="expression" dxfId="2746" priority="2748">
      <formula>$I$163="Type 1"</formula>
    </cfRule>
    <cfRule type="expression" dxfId="2745" priority="2746">
      <formula>$I$163="Type 3"</formula>
    </cfRule>
  </conditionalFormatting>
  <conditionalFormatting sqref="L163">
    <cfRule type="expression" dxfId="2744" priority="2745">
      <formula>$L$163="1"</formula>
    </cfRule>
  </conditionalFormatting>
  <conditionalFormatting sqref="L163">
    <cfRule type="expression" dxfId="2743" priority="2744">
      <formula>$L$163="2"</formula>
    </cfRule>
  </conditionalFormatting>
  <conditionalFormatting sqref="L163">
    <cfRule type="expression" dxfId="2742" priority="2743">
      <formula>$L$163="3"</formula>
    </cfRule>
  </conditionalFormatting>
  <conditionalFormatting sqref="L163">
    <cfRule type="expression" dxfId="2741" priority="2742">
      <formula>$L$163="4"</formula>
    </cfRule>
  </conditionalFormatting>
  <conditionalFormatting sqref="L163">
    <cfRule type="expression" dxfId="2740" priority="2741">
      <formula>$L$163="5"</formula>
    </cfRule>
  </conditionalFormatting>
  <conditionalFormatting sqref="I164:R164">
    <cfRule type="expression" dxfId="2739" priority="2740">
      <formula>$P$164="Not started"</formula>
    </cfRule>
    <cfRule type="expression" dxfId="2738" priority="2729">
      <formula>$I$164="or"</formula>
    </cfRule>
    <cfRule type="expression" dxfId="2737" priority="2727">
      <formula>$I$164="Type 2"</formula>
    </cfRule>
  </conditionalFormatting>
  <conditionalFormatting sqref="I164:R164">
    <cfRule type="expression" dxfId="2736" priority="2739">
      <formula>$P$164="In progress"</formula>
    </cfRule>
  </conditionalFormatting>
  <conditionalFormatting sqref="I164:R164">
    <cfRule type="expression" dxfId="2735" priority="2738">
      <formula>$P$164="Closed"</formula>
    </cfRule>
  </conditionalFormatting>
  <conditionalFormatting sqref="I164:R164">
    <cfRule type="expression" dxfId="2734" priority="2737">
      <formula>$P$164="Canceled"</formula>
    </cfRule>
  </conditionalFormatting>
  <conditionalFormatting sqref="I164:R164">
    <cfRule type="expression" dxfId="2733" priority="2736">
      <formula>$P$164="Suspended"</formula>
    </cfRule>
  </conditionalFormatting>
  <conditionalFormatting sqref="I164:R164">
    <cfRule type="expression" dxfId="2732" priority="2735">
      <formula>$P$164="Applied"</formula>
    </cfRule>
  </conditionalFormatting>
  <conditionalFormatting sqref="I164:R164">
    <cfRule type="expression" dxfId="2731" priority="2734">
      <formula>$P$164="N/A"</formula>
    </cfRule>
  </conditionalFormatting>
  <conditionalFormatting sqref="I164:R164">
    <cfRule type="expression" dxfId="2730" priority="2733">
      <formula>$P$164=""</formula>
    </cfRule>
  </conditionalFormatting>
  <conditionalFormatting sqref="I164:R164">
    <cfRule type="expression" dxfId="2729" priority="2732">
      <formula>$I$164="Module 1"</formula>
    </cfRule>
  </conditionalFormatting>
  <conditionalFormatting sqref="I164:R164">
    <cfRule type="expression" dxfId="2728" priority="2731">
      <formula>$I$164="Module 2"</formula>
    </cfRule>
  </conditionalFormatting>
  <conditionalFormatting sqref="I164:R164">
    <cfRule type="expression" dxfId="2727" priority="2730">
      <formula>$I$164="Module 3"</formula>
    </cfRule>
    <cfRule type="expression" dxfId="2726" priority="2728">
      <formula>$I$164="Type 1"</formula>
    </cfRule>
    <cfRule type="expression" dxfId="2725" priority="2726">
      <formula>$I$164="Type 3"</formula>
    </cfRule>
  </conditionalFormatting>
  <conditionalFormatting sqref="L164">
    <cfRule type="expression" dxfId="2724" priority="2725">
      <formula>$L$164="1"</formula>
    </cfRule>
  </conditionalFormatting>
  <conditionalFormatting sqref="L164">
    <cfRule type="expression" dxfId="2723" priority="2724">
      <formula>$L$164="2"</formula>
    </cfRule>
  </conditionalFormatting>
  <conditionalFormatting sqref="L164">
    <cfRule type="expression" dxfId="2722" priority="2723">
      <formula>$L$164="3"</formula>
    </cfRule>
  </conditionalFormatting>
  <conditionalFormatting sqref="L164">
    <cfRule type="expression" dxfId="2721" priority="2722">
      <formula>$L$164="4"</formula>
    </cfRule>
  </conditionalFormatting>
  <conditionalFormatting sqref="L164">
    <cfRule type="expression" dxfId="2720" priority="2721">
      <formula>$L$164="5"</formula>
    </cfRule>
  </conditionalFormatting>
  <conditionalFormatting sqref="I165:R165">
    <cfRule type="expression" dxfId="2719" priority="2720">
      <formula>$P$165="Not started"</formula>
    </cfRule>
    <cfRule type="expression" dxfId="2718" priority="2709">
      <formula>$I$165="or"</formula>
    </cfRule>
    <cfRule type="expression" dxfId="2717" priority="2707">
      <formula>$I$165="Type 2"</formula>
    </cfRule>
  </conditionalFormatting>
  <conditionalFormatting sqref="I165:R165">
    <cfRule type="expression" dxfId="2716" priority="2719">
      <formula>$P$165="In progress"</formula>
    </cfRule>
  </conditionalFormatting>
  <conditionalFormatting sqref="I165:R165">
    <cfRule type="expression" dxfId="2715" priority="2718">
      <formula>$P$165="Closed"</formula>
    </cfRule>
  </conditionalFormatting>
  <conditionalFormatting sqref="I165:R165">
    <cfRule type="expression" dxfId="2714" priority="2717">
      <formula>$P$165="Canceled"</formula>
    </cfRule>
  </conditionalFormatting>
  <conditionalFormatting sqref="I165:R165">
    <cfRule type="expression" dxfId="2713" priority="2716">
      <formula>$P$165="Suspended"</formula>
    </cfRule>
  </conditionalFormatting>
  <conditionalFormatting sqref="I165:R165">
    <cfRule type="expression" dxfId="2712" priority="2715">
      <formula>$P$165="Applied"</formula>
    </cfRule>
  </conditionalFormatting>
  <conditionalFormatting sqref="I165:R165">
    <cfRule type="expression" dxfId="2711" priority="2714">
      <formula>$P$165="N/A"</formula>
    </cfRule>
  </conditionalFormatting>
  <conditionalFormatting sqref="I165:R165">
    <cfRule type="expression" dxfId="2710" priority="2713">
      <formula>$P$165=""</formula>
    </cfRule>
  </conditionalFormatting>
  <conditionalFormatting sqref="I165:R165">
    <cfRule type="expression" dxfId="2709" priority="2712">
      <formula>$I$165="Module 1"</formula>
    </cfRule>
  </conditionalFormatting>
  <conditionalFormatting sqref="I165:R165">
    <cfRule type="expression" dxfId="2708" priority="2711">
      <formula>$I$165="Module 2"</formula>
    </cfRule>
  </conditionalFormatting>
  <conditionalFormatting sqref="I165:R165">
    <cfRule type="expression" dxfId="2707" priority="2710">
      <formula>$I$165="Module 3"</formula>
    </cfRule>
    <cfRule type="expression" dxfId="2706" priority="2708">
      <formula>$I$165="Type 1"</formula>
    </cfRule>
    <cfRule type="expression" dxfId="2705" priority="2706">
      <formula>$I$165="Type 3"</formula>
    </cfRule>
  </conditionalFormatting>
  <conditionalFormatting sqref="L165">
    <cfRule type="expression" dxfId="2704" priority="2705">
      <formula>$L$165="1"</formula>
    </cfRule>
  </conditionalFormatting>
  <conditionalFormatting sqref="L165">
    <cfRule type="expression" dxfId="2703" priority="2704">
      <formula>$L$165="2"</formula>
    </cfRule>
  </conditionalFormatting>
  <conditionalFormatting sqref="L165">
    <cfRule type="expression" dxfId="2702" priority="2703">
      <formula>$L$165="3"</formula>
    </cfRule>
  </conditionalFormatting>
  <conditionalFormatting sqref="L165">
    <cfRule type="expression" dxfId="2701" priority="2702">
      <formula>$L$165="4"</formula>
    </cfRule>
  </conditionalFormatting>
  <conditionalFormatting sqref="L165">
    <cfRule type="expression" dxfId="2700" priority="2701">
      <formula>$L$165="5"</formula>
    </cfRule>
  </conditionalFormatting>
  <conditionalFormatting sqref="I166:R166">
    <cfRule type="expression" dxfId="2699" priority="2700">
      <formula>$P$166="Not started"</formula>
    </cfRule>
    <cfRule type="expression" dxfId="2698" priority="2689">
      <formula>$I$166="or"</formula>
    </cfRule>
    <cfRule type="expression" dxfId="2697" priority="2687">
      <formula>$I$166="Type 2"</formula>
    </cfRule>
  </conditionalFormatting>
  <conditionalFormatting sqref="I166:R166">
    <cfRule type="expression" dxfId="2696" priority="2699">
      <formula>$P$166="In progress"</formula>
    </cfRule>
  </conditionalFormatting>
  <conditionalFormatting sqref="I166:R166">
    <cfRule type="expression" dxfId="2695" priority="2698">
      <formula>$P$166="Closed"</formula>
    </cfRule>
  </conditionalFormatting>
  <conditionalFormatting sqref="I166:R166">
    <cfRule type="expression" dxfId="2694" priority="2697">
      <formula>$P$166="Canceled"</formula>
    </cfRule>
  </conditionalFormatting>
  <conditionalFormatting sqref="I166:R166">
    <cfRule type="expression" dxfId="2693" priority="2696">
      <formula>$P$166="Suspended"</formula>
    </cfRule>
  </conditionalFormatting>
  <conditionalFormatting sqref="I166:R166">
    <cfRule type="expression" dxfId="2692" priority="2695">
      <formula>$P$166="Applied"</formula>
    </cfRule>
  </conditionalFormatting>
  <conditionalFormatting sqref="I166:R166">
    <cfRule type="expression" dxfId="2691" priority="2694">
      <formula>$P$166="N/A"</formula>
    </cfRule>
  </conditionalFormatting>
  <conditionalFormatting sqref="I166:R166">
    <cfRule type="expression" dxfId="2690" priority="2693">
      <formula>$P$166=""</formula>
    </cfRule>
  </conditionalFormatting>
  <conditionalFormatting sqref="I166:R166">
    <cfRule type="expression" dxfId="2689" priority="2692">
      <formula>$I$166="Module 1"</formula>
    </cfRule>
  </conditionalFormatting>
  <conditionalFormatting sqref="I166:R166">
    <cfRule type="expression" dxfId="2688" priority="2691">
      <formula>$I$166="Module 2"</formula>
    </cfRule>
  </conditionalFormatting>
  <conditionalFormatting sqref="I166:R166">
    <cfRule type="expression" dxfId="2687" priority="2690">
      <formula>$I$166="Module 3"</formula>
    </cfRule>
    <cfRule type="expression" dxfId="2686" priority="2688">
      <formula>$I$166="Type 1"</formula>
    </cfRule>
    <cfRule type="expression" dxfId="2685" priority="2686">
      <formula>$I$166="Type 3"</formula>
    </cfRule>
  </conditionalFormatting>
  <conditionalFormatting sqref="L166">
    <cfRule type="expression" dxfId="2684" priority="2685">
      <formula>$L$166="1"</formula>
    </cfRule>
  </conditionalFormatting>
  <conditionalFormatting sqref="L166">
    <cfRule type="expression" dxfId="2683" priority="2684">
      <formula>$L$166="2"</formula>
    </cfRule>
  </conditionalFormatting>
  <conditionalFormatting sqref="L166">
    <cfRule type="expression" dxfId="2682" priority="2683">
      <formula>$L$166="3"</formula>
    </cfRule>
  </conditionalFormatting>
  <conditionalFormatting sqref="L166">
    <cfRule type="expression" dxfId="2681" priority="2682">
      <formula>$L$166="4"</formula>
    </cfRule>
  </conditionalFormatting>
  <conditionalFormatting sqref="L166">
    <cfRule type="expression" dxfId="2680" priority="2681">
      <formula>$L$166="5"</formula>
    </cfRule>
  </conditionalFormatting>
  <conditionalFormatting sqref="I167:R167">
    <cfRule type="expression" dxfId="2679" priority="2680">
      <formula>$P$167="Not started"</formula>
    </cfRule>
    <cfRule type="expression" dxfId="2678" priority="2669">
      <formula>$I$167="or"</formula>
    </cfRule>
    <cfRule type="expression" dxfId="2677" priority="2667">
      <formula>$I$167="Type 2"</formula>
    </cfRule>
  </conditionalFormatting>
  <conditionalFormatting sqref="I167:R167">
    <cfRule type="expression" dxfId="2676" priority="2679">
      <formula>$P$167="In progress"</formula>
    </cfRule>
  </conditionalFormatting>
  <conditionalFormatting sqref="I167:R167">
    <cfRule type="expression" dxfId="2675" priority="2678">
      <formula>$P$167="Closed"</formula>
    </cfRule>
  </conditionalFormatting>
  <conditionalFormatting sqref="I167:R167">
    <cfRule type="expression" dxfId="2674" priority="2677">
      <formula>$P$167="Canceled"</formula>
    </cfRule>
  </conditionalFormatting>
  <conditionalFormatting sqref="I167:R167">
    <cfRule type="expression" dxfId="2673" priority="2676">
      <formula>$P$167="Suspended"</formula>
    </cfRule>
  </conditionalFormatting>
  <conditionalFormatting sqref="I167:R167">
    <cfRule type="expression" dxfId="2672" priority="2675">
      <formula>$P$167="Applied"</formula>
    </cfRule>
  </conditionalFormatting>
  <conditionalFormatting sqref="I167:R167">
    <cfRule type="expression" dxfId="2671" priority="2674">
      <formula>$P$167="N/A"</formula>
    </cfRule>
  </conditionalFormatting>
  <conditionalFormatting sqref="I167:R167">
    <cfRule type="expression" dxfId="2670" priority="2673">
      <formula>$P$167=""</formula>
    </cfRule>
  </conditionalFormatting>
  <conditionalFormatting sqref="I167:R167">
    <cfRule type="expression" dxfId="2669" priority="2672">
      <formula>$I$167="Module 1"</formula>
    </cfRule>
  </conditionalFormatting>
  <conditionalFormatting sqref="I167:R167">
    <cfRule type="expression" dxfId="2668" priority="2671">
      <formula>$I$167="Module 2"</formula>
    </cfRule>
  </conditionalFormatting>
  <conditionalFormatting sqref="I167:R167">
    <cfRule type="expression" dxfId="2667" priority="2670">
      <formula>$I$167="Module 3"</formula>
    </cfRule>
    <cfRule type="expression" dxfId="2666" priority="2668">
      <formula>$I$167="Type 1"</formula>
    </cfRule>
    <cfRule type="expression" dxfId="2665" priority="2666">
      <formula>$I$167="Type 3"</formula>
    </cfRule>
  </conditionalFormatting>
  <conditionalFormatting sqref="L167">
    <cfRule type="expression" dxfId="2664" priority="2665">
      <formula>$L$167="1"</formula>
    </cfRule>
  </conditionalFormatting>
  <conditionalFormatting sqref="L167">
    <cfRule type="expression" dxfId="2663" priority="2664">
      <formula>$L$167="2"</formula>
    </cfRule>
  </conditionalFormatting>
  <conditionalFormatting sqref="L167">
    <cfRule type="expression" dxfId="2662" priority="2663">
      <formula>$L$167="3"</formula>
    </cfRule>
  </conditionalFormatting>
  <conditionalFormatting sqref="L167">
    <cfRule type="expression" dxfId="2661" priority="2662">
      <formula>$L$167="4"</formula>
    </cfRule>
  </conditionalFormatting>
  <conditionalFormatting sqref="L167">
    <cfRule type="expression" dxfId="2660" priority="2661">
      <formula>$L$167="5"</formula>
    </cfRule>
  </conditionalFormatting>
  <conditionalFormatting sqref="I168:R168">
    <cfRule type="expression" dxfId="2659" priority="2660">
      <formula>$P$168="Not started"</formula>
    </cfRule>
  </conditionalFormatting>
  <conditionalFormatting sqref="I168:R168">
    <cfRule type="expression" dxfId="2658" priority="2659">
      <formula>$P$168="In progress"</formula>
    </cfRule>
  </conditionalFormatting>
  <conditionalFormatting sqref="I168:R168">
    <cfRule type="expression" dxfId="2657" priority="2658">
      <formula>$P$168="Closed"</formula>
    </cfRule>
  </conditionalFormatting>
  <conditionalFormatting sqref="I168:R168">
    <cfRule type="expression" dxfId="2656" priority="2657">
      <formula>$P$168="Canceled"</formula>
    </cfRule>
  </conditionalFormatting>
  <conditionalFormatting sqref="I168:R168">
    <cfRule type="expression" dxfId="2655" priority="2656">
      <formula>$P$168="Suspended"</formula>
    </cfRule>
  </conditionalFormatting>
  <conditionalFormatting sqref="I168:R168">
    <cfRule type="expression" dxfId="2654" priority="2655">
      <formula>$P$168="Applied"</formula>
    </cfRule>
  </conditionalFormatting>
  <conditionalFormatting sqref="I168:R168">
    <cfRule type="expression" dxfId="2653" priority="2654">
      <formula>$P$168="N/A"</formula>
    </cfRule>
  </conditionalFormatting>
  <conditionalFormatting sqref="I168:R168">
    <cfRule type="expression" dxfId="2652" priority="2653">
      <formula>$P$168=""</formula>
    </cfRule>
  </conditionalFormatting>
  <conditionalFormatting sqref="I168:R168">
    <cfRule type="expression" dxfId="2651" priority="2652">
      <formula>$I$168="Module 1"</formula>
    </cfRule>
  </conditionalFormatting>
  <conditionalFormatting sqref="I168:R168">
    <cfRule type="expression" dxfId="2650" priority="2651">
      <formula>$I$168="Module 2"</formula>
    </cfRule>
  </conditionalFormatting>
  <conditionalFormatting sqref="I168:R168">
    <cfRule type="expression" dxfId="2649" priority="2650">
      <formula>$I$168="Module 3"</formula>
    </cfRule>
  </conditionalFormatting>
  <conditionalFormatting sqref="I168:R168">
    <cfRule type="expression" dxfId="2648" priority="2649">
      <formula>$I$168="or"</formula>
    </cfRule>
  </conditionalFormatting>
  <conditionalFormatting sqref="I168:R168">
    <cfRule type="expression" dxfId="2647" priority="2648">
      <formula>$I$168="Type 1"</formula>
    </cfRule>
  </conditionalFormatting>
  <conditionalFormatting sqref="I168:R168">
    <cfRule type="expression" dxfId="2646" priority="2647">
      <formula>$I$168="Type 2"</formula>
    </cfRule>
  </conditionalFormatting>
  <conditionalFormatting sqref="I168:R168">
    <cfRule type="expression" dxfId="2645" priority="2646">
      <formula>$I$168="Type 3"</formula>
    </cfRule>
  </conditionalFormatting>
  <conditionalFormatting sqref="L168">
    <cfRule type="expression" dxfId="2644" priority="2645">
      <formula>$L$168="1"</formula>
    </cfRule>
  </conditionalFormatting>
  <conditionalFormatting sqref="L168">
    <cfRule type="expression" dxfId="2643" priority="2644">
      <formula>$L$168="2"</formula>
    </cfRule>
  </conditionalFormatting>
  <conditionalFormatting sqref="L168">
    <cfRule type="expression" dxfId="2642" priority="2643">
      <formula>$L$168="3"</formula>
    </cfRule>
  </conditionalFormatting>
  <conditionalFormatting sqref="L168">
    <cfRule type="expression" dxfId="2641" priority="2642">
      <formula>$L$168="4"</formula>
    </cfRule>
  </conditionalFormatting>
  <conditionalFormatting sqref="L168">
    <cfRule type="expression" dxfId="2640" priority="2641">
      <formula>$L$168="5"</formula>
    </cfRule>
  </conditionalFormatting>
  <conditionalFormatting sqref="I169:R169">
    <cfRule type="expression" dxfId="2639" priority="2640">
      <formula>$P$169="Not started"</formula>
    </cfRule>
    <cfRule type="expression" dxfId="2638" priority="2629">
      <formula>$I$169="or"</formula>
    </cfRule>
    <cfRule type="expression" dxfId="2637" priority="2627">
      <formula>$I$169="Type 2"</formula>
    </cfRule>
  </conditionalFormatting>
  <conditionalFormatting sqref="I169:R169">
    <cfRule type="expression" dxfId="2636" priority="2639">
      <formula>$P$169="In progress"</formula>
    </cfRule>
  </conditionalFormatting>
  <conditionalFormatting sqref="I169:R169">
    <cfRule type="expression" dxfId="2635" priority="2638">
      <formula>$P$169="Closed"</formula>
    </cfRule>
  </conditionalFormatting>
  <conditionalFormatting sqref="I169:R169">
    <cfRule type="expression" dxfId="2634" priority="2637">
      <formula>$P$169="Canceled"</formula>
    </cfRule>
  </conditionalFormatting>
  <conditionalFormatting sqref="I169:R169">
    <cfRule type="expression" dxfId="2633" priority="2636">
      <formula>$P$169="Suspended"</formula>
    </cfRule>
  </conditionalFormatting>
  <conditionalFormatting sqref="I169:R169">
    <cfRule type="expression" dxfId="2632" priority="2635">
      <formula>$P$169="Applied"</formula>
    </cfRule>
  </conditionalFormatting>
  <conditionalFormatting sqref="I169:R169">
    <cfRule type="expression" dxfId="2631" priority="2634">
      <formula>$P$169="N/A"</formula>
    </cfRule>
  </conditionalFormatting>
  <conditionalFormatting sqref="I169:R169">
    <cfRule type="expression" dxfId="2630" priority="2633">
      <formula>$P$169=""</formula>
    </cfRule>
  </conditionalFormatting>
  <conditionalFormatting sqref="I169:R169">
    <cfRule type="expression" dxfId="2629" priority="2632">
      <formula>$I$169="Module 1"</formula>
    </cfRule>
  </conditionalFormatting>
  <conditionalFormatting sqref="I169:R169">
    <cfRule type="expression" dxfId="2628" priority="2631">
      <formula>$I$169="Module 2"</formula>
    </cfRule>
  </conditionalFormatting>
  <conditionalFormatting sqref="I169:R169">
    <cfRule type="expression" dxfId="2627" priority="2630">
      <formula>$I$169="Module 3"</formula>
    </cfRule>
    <cfRule type="expression" dxfId="2626" priority="2628">
      <formula>$I$169="Type 1"</formula>
    </cfRule>
    <cfRule type="expression" dxfId="2625" priority="2626">
      <formula>$I$169="Type 3"</formula>
    </cfRule>
  </conditionalFormatting>
  <conditionalFormatting sqref="L169">
    <cfRule type="expression" dxfId="2624" priority="2625">
      <formula>$L$169="1"</formula>
    </cfRule>
  </conditionalFormatting>
  <conditionalFormatting sqref="L169">
    <cfRule type="expression" dxfId="2623" priority="2624">
      <formula>$L$169="2"</formula>
    </cfRule>
  </conditionalFormatting>
  <conditionalFormatting sqref="L169">
    <cfRule type="expression" dxfId="2622" priority="2623">
      <formula>$L$169="3"</formula>
    </cfRule>
  </conditionalFormatting>
  <conditionalFormatting sqref="L169">
    <cfRule type="expression" dxfId="2621" priority="2622">
      <formula>$L$169="4"</formula>
    </cfRule>
  </conditionalFormatting>
  <conditionalFormatting sqref="L169">
    <cfRule type="expression" dxfId="2620" priority="2621">
      <formula>$L$169="5"</formula>
    </cfRule>
  </conditionalFormatting>
  <conditionalFormatting sqref="I170:R170">
    <cfRule type="expression" dxfId="2619" priority="2620">
      <formula>$P$170="Not started"</formula>
    </cfRule>
    <cfRule type="expression" dxfId="2618" priority="2609">
      <formula>$I$170="or"</formula>
    </cfRule>
    <cfRule type="expression" dxfId="2617" priority="2607">
      <formula>$I$170="Type 2"</formula>
    </cfRule>
  </conditionalFormatting>
  <conditionalFormatting sqref="I170:R170">
    <cfRule type="expression" dxfId="2616" priority="2619">
      <formula>$P$170="In progress"</formula>
    </cfRule>
  </conditionalFormatting>
  <conditionalFormatting sqref="I170:R170">
    <cfRule type="expression" dxfId="2615" priority="2618">
      <formula>$P$170="Closed"</formula>
    </cfRule>
  </conditionalFormatting>
  <conditionalFormatting sqref="I170:R170">
    <cfRule type="expression" dxfId="2614" priority="2617">
      <formula>$P$170="Canceled"</formula>
    </cfRule>
  </conditionalFormatting>
  <conditionalFormatting sqref="I170:R170">
    <cfRule type="expression" dxfId="2613" priority="2616">
      <formula>$P$170="Suspended"</formula>
    </cfRule>
  </conditionalFormatting>
  <conditionalFormatting sqref="I170:R170">
    <cfRule type="expression" dxfId="2612" priority="2615">
      <formula>$P$170="Applied"</formula>
    </cfRule>
  </conditionalFormatting>
  <conditionalFormatting sqref="I170:R170">
    <cfRule type="expression" dxfId="2611" priority="2614">
      <formula>$P$170="N/A"</formula>
    </cfRule>
  </conditionalFormatting>
  <conditionalFormatting sqref="I170:R170">
    <cfRule type="expression" dxfId="2610" priority="2613">
      <formula>$P$170=""</formula>
    </cfRule>
  </conditionalFormatting>
  <conditionalFormatting sqref="I170:R170">
    <cfRule type="expression" dxfId="2609" priority="2612">
      <formula>$I$170="Module 1"</formula>
    </cfRule>
  </conditionalFormatting>
  <conditionalFormatting sqref="I170:R170">
    <cfRule type="expression" dxfId="2608" priority="2611">
      <formula>$I$170="Module 2"</formula>
    </cfRule>
  </conditionalFormatting>
  <conditionalFormatting sqref="I170:R170">
    <cfRule type="expression" dxfId="2607" priority="2610">
      <formula>$I$170="Module 3"</formula>
    </cfRule>
    <cfRule type="expression" dxfId="2606" priority="2608">
      <formula>$I$170="Type 1"</formula>
    </cfRule>
    <cfRule type="expression" dxfId="2605" priority="2606">
      <formula>$I$170="Type 3"</formula>
    </cfRule>
  </conditionalFormatting>
  <conditionalFormatting sqref="L170">
    <cfRule type="expression" dxfId="2604" priority="2605">
      <formula>$L$170="1"</formula>
    </cfRule>
  </conditionalFormatting>
  <conditionalFormatting sqref="L170">
    <cfRule type="expression" dxfId="2603" priority="2604">
      <formula>$L$170="2"</formula>
    </cfRule>
  </conditionalFormatting>
  <conditionalFormatting sqref="L170">
    <cfRule type="expression" dxfId="2602" priority="2603">
      <formula>$L$170="3"</formula>
    </cfRule>
  </conditionalFormatting>
  <conditionalFormatting sqref="L170">
    <cfRule type="expression" dxfId="2601" priority="2602">
      <formula>$L$170="4"</formula>
    </cfRule>
  </conditionalFormatting>
  <conditionalFormatting sqref="L170">
    <cfRule type="expression" dxfId="2600" priority="2601">
      <formula>$L$170="5"</formula>
    </cfRule>
  </conditionalFormatting>
  <conditionalFormatting sqref="I171:R171">
    <cfRule type="expression" dxfId="2599" priority="2600">
      <formula>$P$171="Not started"</formula>
    </cfRule>
    <cfRule type="expression" dxfId="2598" priority="2589">
      <formula>$I$171="or"</formula>
    </cfRule>
    <cfRule type="expression" dxfId="2597" priority="2587">
      <formula>$I$171="Type 2"</formula>
    </cfRule>
  </conditionalFormatting>
  <conditionalFormatting sqref="I171:R171">
    <cfRule type="expression" dxfId="2596" priority="2599">
      <formula>$P$171="In progress"</formula>
    </cfRule>
  </conditionalFormatting>
  <conditionalFormatting sqref="I171:R171">
    <cfRule type="expression" dxfId="2595" priority="2598">
      <formula>$P$171="Closed"</formula>
    </cfRule>
  </conditionalFormatting>
  <conditionalFormatting sqref="I171:R171">
    <cfRule type="expression" dxfId="2594" priority="2597">
      <formula>$P$171="Canceled"</formula>
    </cfRule>
  </conditionalFormatting>
  <conditionalFormatting sqref="I171:R171">
    <cfRule type="expression" dxfId="2593" priority="2596">
      <formula>$P$171="Suspended"</formula>
    </cfRule>
  </conditionalFormatting>
  <conditionalFormatting sqref="I171:R171">
    <cfRule type="expression" dxfId="2592" priority="2595">
      <formula>$P$171="Applied"</formula>
    </cfRule>
  </conditionalFormatting>
  <conditionalFormatting sqref="I171:R171">
    <cfRule type="expression" dxfId="2591" priority="2594">
      <formula>$P$171="N/A"</formula>
    </cfRule>
  </conditionalFormatting>
  <conditionalFormatting sqref="I171:R171">
    <cfRule type="expression" dxfId="2590" priority="2593">
      <formula>$P$171=""</formula>
    </cfRule>
  </conditionalFormatting>
  <conditionalFormatting sqref="I171:R171">
    <cfRule type="expression" dxfId="2589" priority="2592">
      <formula>$I$171="Module 1"</formula>
    </cfRule>
  </conditionalFormatting>
  <conditionalFormatting sqref="I171:R171">
    <cfRule type="expression" dxfId="2588" priority="2591">
      <formula>$I$171="Module 2"</formula>
    </cfRule>
  </conditionalFormatting>
  <conditionalFormatting sqref="I171:R171">
    <cfRule type="expression" dxfId="2587" priority="2590">
      <formula>$I$171="Module 3"</formula>
    </cfRule>
    <cfRule type="expression" dxfId="2586" priority="2588">
      <formula>$I$171="Type 1"</formula>
    </cfRule>
    <cfRule type="expression" dxfId="2585" priority="2586">
      <formula>$I$171="Type 3"</formula>
    </cfRule>
  </conditionalFormatting>
  <conditionalFormatting sqref="L171">
    <cfRule type="expression" dxfId="2584" priority="2585">
      <formula>$L$171="1"</formula>
    </cfRule>
  </conditionalFormatting>
  <conditionalFormatting sqref="L171">
    <cfRule type="expression" dxfId="2583" priority="2584">
      <formula>$L$171="2"</formula>
    </cfRule>
  </conditionalFormatting>
  <conditionalFormatting sqref="L171">
    <cfRule type="expression" dxfId="2582" priority="2583">
      <formula>$L$171="3"</formula>
    </cfRule>
  </conditionalFormatting>
  <conditionalFormatting sqref="L171">
    <cfRule type="expression" dxfId="2581" priority="2582">
      <formula>$L$171="4"</formula>
    </cfRule>
  </conditionalFormatting>
  <conditionalFormatting sqref="L171">
    <cfRule type="expression" dxfId="2580" priority="2581">
      <formula>$L$171="5"</formula>
    </cfRule>
  </conditionalFormatting>
  <conditionalFormatting sqref="I172:R172">
    <cfRule type="expression" dxfId="2579" priority="2580">
      <formula>$P$172="Not started"</formula>
    </cfRule>
    <cfRule type="expression" dxfId="2578" priority="2569">
      <formula>$I$172="or"</formula>
    </cfRule>
    <cfRule type="expression" dxfId="2577" priority="2567">
      <formula>$I$172="Type 2"</formula>
    </cfRule>
  </conditionalFormatting>
  <conditionalFormatting sqref="I172:R172">
    <cfRule type="expression" dxfId="2576" priority="2579">
      <formula>$P$172="In progress"</formula>
    </cfRule>
  </conditionalFormatting>
  <conditionalFormatting sqref="I172:R172">
    <cfRule type="expression" dxfId="2575" priority="2578">
      <formula>$P$172="Closed"</formula>
    </cfRule>
  </conditionalFormatting>
  <conditionalFormatting sqref="I172:R172">
    <cfRule type="expression" dxfId="2574" priority="2577">
      <formula>$P$172="Canceled"</formula>
    </cfRule>
  </conditionalFormatting>
  <conditionalFormatting sqref="I172:R172">
    <cfRule type="expression" dxfId="2573" priority="2576">
      <formula>$P$172="Suspended"</formula>
    </cfRule>
  </conditionalFormatting>
  <conditionalFormatting sqref="I172:R172">
    <cfRule type="expression" dxfId="2572" priority="2575">
      <formula>$P$172="Applied"</formula>
    </cfRule>
  </conditionalFormatting>
  <conditionalFormatting sqref="I172:R172">
    <cfRule type="expression" dxfId="2571" priority="2574">
      <formula>$P$172="N/A"</formula>
    </cfRule>
  </conditionalFormatting>
  <conditionalFormatting sqref="I172:R172">
    <cfRule type="expression" dxfId="2570" priority="2573">
      <formula>$P$172=""</formula>
    </cfRule>
  </conditionalFormatting>
  <conditionalFormatting sqref="I172:R172">
    <cfRule type="expression" dxfId="2569" priority="2572">
      <formula>$I$172="Module 1"</formula>
    </cfRule>
  </conditionalFormatting>
  <conditionalFormatting sqref="I172:R172">
    <cfRule type="expression" dxfId="2568" priority="2571">
      <formula>$I$172="Module 2"</formula>
    </cfRule>
  </conditionalFormatting>
  <conditionalFormatting sqref="I172:R172">
    <cfRule type="expression" dxfId="2567" priority="2570">
      <formula>$I$172="Module 3"</formula>
    </cfRule>
    <cfRule type="expression" dxfId="2566" priority="2568">
      <formula>$I$172="Type 1"</formula>
    </cfRule>
    <cfRule type="expression" dxfId="2565" priority="2566">
      <formula>$I$172="Type 3"</formula>
    </cfRule>
  </conditionalFormatting>
  <conditionalFormatting sqref="L172">
    <cfRule type="expression" dxfId="2564" priority="2565">
      <formula>$L$172="1"</formula>
    </cfRule>
  </conditionalFormatting>
  <conditionalFormatting sqref="L172">
    <cfRule type="expression" dxfId="2563" priority="2564">
      <formula>$L$172="2"</formula>
    </cfRule>
  </conditionalFormatting>
  <conditionalFormatting sqref="L172">
    <cfRule type="expression" dxfId="2562" priority="2563">
      <formula>$L$172="3"</formula>
    </cfRule>
  </conditionalFormatting>
  <conditionalFormatting sqref="L172">
    <cfRule type="expression" dxfId="2561" priority="2562">
      <formula>$L$172="4"</formula>
    </cfRule>
  </conditionalFormatting>
  <conditionalFormatting sqref="L172">
    <cfRule type="expression" dxfId="2560" priority="2561">
      <formula>$L$172="5"</formula>
    </cfRule>
  </conditionalFormatting>
  <conditionalFormatting sqref="I173:R173">
    <cfRule type="expression" dxfId="2559" priority="2560">
      <formula>$P$173="Not started"</formula>
    </cfRule>
    <cfRule type="expression" dxfId="2558" priority="2549">
      <formula>$I$173="or"</formula>
    </cfRule>
    <cfRule type="expression" dxfId="2557" priority="2547">
      <formula>$I$173="Type 2"</formula>
    </cfRule>
  </conditionalFormatting>
  <conditionalFormatting sqref="I173:R173">
    <cfRule type="expression" dxfId="2556" priority="2559">
      <formula>$P$173="In progress"</formula>
    </cfRule>
  </conditionalFormatting>
  <conditionalFormatting sqref="I173:R173">
    <cfRule type="expression" dxfId="2555" priority="2558">
      <formula>$P$173="Closed"</formula>
    </cfRule>
  </conditionalFormatting>
  <conditionalFormatting sqref="I173:R173">
    <cfRule type="expression" dxfId="2554" priority="2557">
      <formula>$P$173="Canceled"</formula>
    </cfRule>
  </conditionalFormatting>
  <conditionalFormatting sqref="I173:R173">
    <cfRule type="expression" dxfId="2553" priority="2556">
      <formula>$P$173="Suspended"</formula>
    </cfRule>
  </conditionalFormatting>
  <conditionalFormatting sqref="I173:R173">
    <cfRule type="expression" dxfId="2552" priority="2555">
      <formula>$P$173="Applied"</formula>
    </cfRule>
  </conditionalFormatting>
  <conditionalFormatting sqref="I173:R173">
    <cfRule type="expression" dxfId="2551" priority="2554">
      <formula>$P$173="N/A"</formula>
    </cfRule>
  </conditionalFormatting>
  <conditionalFormatting sqref="I173:R173">
    <cfRule type="expression" dxfId="2550" priority="2553">
      <formula>$P$173=""</formula>
    </cfRule>
  </conditionalFormatting>
  <conditionalFormatting sqref="I173:R173">
    <cfRule type="expression" dxfId="2549" priority="2552">
      <formula>$I$173="Module 1"</formula>
    </cfRule>
  </conditionalFormatting>
  <conditionalFormatting sqref="I173:R173">
    <cfRule type="expression" dxfId="2548" priority="2551">
      <formula>$I$173="Module 2"</formula>
    </cfRule>
  </conditionalFormatting>
  <conditionalFormatting sqref="I173:R173">
    <cfRule type="expression" dxfId="2547" priority="2550">
      <formula>$I$173="Module 3"</formula>
    </cfRule>
    <cfRule type="expression" dxfId="2546" priority="2548">
      <formula>$I$173="Type 1"</formula>
    </cfRule>
    <cfRule type="expression" dxfId="2545" priority="2546">
      <formula>$I$173="Type 3"</formula>
    </cfRule>
  </conditionalFormatting>
  <conditionalFormatting sqref="L173">
    <cfRule type="expression" dxfId="2544" priority="2545">
      <formula>$L$173="1"</formula>
    </cfRule>
  </conditionalFormatting>
  <conditionalFormatting sqref="L173">
    <cfRule type="expression" dxfId="2543" priority="2544">
      <formula>$L$173="2"</formula>
    </cfRule>
  </conditionalFormatting>
  <conditionalFormatting sqref="L173">
    <cfRule type="expression" dxfId="2542" priority="2543">
      <formula>$L$173="3"</formula>
    </cfRule>
  </conditionalFormatting>
  <conditionalFormatting sqref="L173">
    <cfRule type="expression" dxfId="2541" priority="2542">
      <formula>$L$173="4"</formula>
    </cfRule>
  </conditionalFormatting>
  <conditionalFormatting sqref="L173">
    <cfRule type="expression" dxfId="2540" priority="2541">
      <formula>$L$173="5"</formula>
    </cfRule>
  </conditionalFormatting>
  <conditionalFormatting sqref="I174:R174">
    <cfRule type="expression" dxfId="2539" priority="2540">
      <formula>$P$174="Not started"</formula>
    </cfRule>
    <cfRule type="expression" dxfId="2538" priority="2529">
      <formula>$I$174="or"</formula>
    </cfRule>
    <cfRule type="expression" dxfId="2537" priority="2527">
      <formula>$I$174="Type 2"</formula>
    </cfRule>
  </conditionalFormatting>
  <conditionalFormatting sqref="I174:R174">
    <cfRule type="expression" dxfId="2536" priority="2539">
      <formula>$P$174="In progress"</formula>
    </cfRule>
  </conditionalFormatting>
  <conditionalFormatting sqref="I174:R174">
    <cfRule type="expression" dxfId="2535" priority="2538">
      <formula>$P$174="Closed"</formula>
    </cfRule>
  </conditionalFormatting>
  <conditionalFormatting sqref="I174:R174">
    <cfRule type="expression" dxfId="2534" priority="2537">
      <formula>$P$174="Canceled"</formula>
    </cfRule>
  </conditionalFormatting>
  <conditionalFormatting sqref="I174:R174">
    <cfRule type="expression" dxfId="2533" priority="2536">
      <formula>$P$174="Suspended"</formula>
    </cfRule>
  </conditionalFormatting>
  <conditionalFormatting sqref="I174:R174">
    <cfRule type="expression" dxfId="2532" priority="2535">
      <formula>$P$174="Applied"</formula>
    </cfRule>
  </conditionalFormatting>
  <conditionalFormatting sqref="I174:R174">
    <cfRule type="expression" dxfId="2531" priority="2534">
      <formula>$P$174="N/A"</formula>
    </cfRule>
  </conditionalFormatting>
  <conditionalFormatting sqref="I174:R174">
    <cfRule type="expression" dxfId="2530" priority="2533">
      <formula>$P$174=""</formula>
    </cfRule>
  </conditionalFormatting>
  <conditionalFormatting sqref="I174:R174">
    <cfRule type="expression" dxfId="2529" priority="2532">
      <formula>$I$174="Module 1"</formula>
    </cfRule>
  </conditionalFormatting>
  <conditionalFormatting sqref="I174:R174">
    <cfRule type="expression" dxfId="2528" priority="2531">
      <formula>$I$174="Module 2"</formula>
    </cfRule>
  </conditionalFormatting>
  <conditionalFormatting sqref="I174:R174">
    <cfRule type="expression" dxfId="2527" priority="2530">
      <formula>$I$174="Module 3"</formula>
    </cfRule>
    <cfRule type="expression" dxfId="2526" priority="2528">
      <formula>$I$174="Type 1"</formula>
    </cfRule>
    <cfRule type="expression" dxfId="2525" priority="2526">
      <formula>$I$174="Type 3"</formula>
    </cfRule>
  </conditionalFormatting>
  <conditionalFormatting sqref="L174">
    <cfRule type="expression" dxfId="2524" priority="2525">
      <formula>$L$174="1"</formula>
    </cfRule>
  </conditionalFormatting>
  <conditionalFormatting sqref="L174">
    <cfRule type="expression" dxfId="2523" priority="2524">
      <formula>$L$174="2"</formula>
    </cfRule>
  </conditionalFormatting>
  <conditionalFormatting sqref="L174">
    <cfRule type="expression" dxfId="2522" priority="2523">
      <formula>$L$174="3"</formula>
    </cfRule>
  </conditionalFormatting>
  <conditionalFormatting sqref="L174">
    <cfRule type="expression" dxfId="2521" priority="2522">
      <formula>$L$174="4"</formula>
    </cfRule>
  </conditionalFormatting>
  <conditionalFormatting sqref="L174">
    <cfRule type="expression" dxfId="2520" priority="2521">
      <formula>$L$174="5"</formula>
    </cfRule>
  </conditionalFormatting>
  <conditionalFormatting sqref="I175:R175">
    <cfRule type="expression" dxfId="2519" priority="2520">
      <formula>$P$175="Not started"</formula>
    </cfRule>
    <cfRule type="expression" dxfId="2518" priority="2509">
      <formula>$I$175="or"</formula>
    </cfRule>
    <cfRule type="expression" dxfId="2517" priority="2507">
      <formula>$I$175="Type 2"</formula>
    </cfRule>
  </conditionalFormatting>
  <conditionalFormatting sqref="I175:R175">
    <cfRule type="expression" dxfId="2516" priority="2519">
      <formula>$P$175="In progress"</formula>
    </cfRule>
  </conditionalFormatting>
  <conditionalFormatting sqref="I175:R175">
    <cfRule type="expression" dxfId="2515" priority="2518">
      <formula>$P$175="Closed"</formula>
    </cfRule>
  </conditionalFormatting>
  <conditionalFormatting sqref="I175:R175">
    <cfRule type="expression" dxfId="2514" priority="2517">
      <formula>$P$175="Canceled"</formula>
    </cfRule>
  </conditionalFormatting>
  <conditionalFormatting sqref="I175:R175">
    <cfRule type="expression" dxfId="2513" priority="2516">
      <formula>$P$175="Suspended"</formula>
    </cfRule>
  </conditionalFormatting>
  <conditionalFormatting sqref="I175:R175">
    <cfRule type="expression" dxfId="2512" priority="2515">
      <formula>$P$175="Applied"</formula>
    </cfRule>
  </conditionalFormatting>
  <conditionalFormatting sqref="I175:R175">
    <cfRule type="expression" dxfId="2511" priority="2514">
      <formula>$P$175="N/A"</formula>
    </cfRule>
  </conditionalFormatting>
  <conditionalFormatting sqref="I175:R175">
    <cfRule type="expression" dxfId="2510" priority="2513">
      <formula>$P$175=""</formula>
    </cfRule>
  </conditionalFormatting>
  <conditionalFormatting sqref="I175:R175">
    <cfRule type="expression" dxfId="2509" priority="2512">
      <formula>$I$175="Module 1"</formula>
    </cfRule>
  </conditionalFormatting>
  <conditionalFormatting sqref="I175:R175">
    <cfRule type="expression" dxfId="2508" priority="2511">
      <formula>$I$175="Module 2"</formula>
    </cfRule>
  </conditionalFormatting>
  <conditionalFormatting sqref="I175:R175">
    <cfRule type="expression" dxfId="2507" priority="2510">
      <formula>$I$175="Module 3"</formula>
    </cfRule>
    <cfRule type="expression" dxfId="2506" priority="2508">
      <formula>$I$175="Type 1"</formula>
    </cfRule>
    <cfRule type="expression" dxfId="2505" priority="2506">
      <formula>$I$175="Type 3"</formula>
    </cfRule>
  </conditionalFormatting>
  <conditionalFormatting sqref="L175">
    <cfRule type="expression" dxfId="2504" priority="2505">
      <formula>$L$175="1"</formula>
    </cfRule>
  </conditionalFormatting>
  <conditionalFormatting sqref="L175">
    <cfRule type="expression" dxfId="2503" priority="2504">
      <formula>$L$175="2"</formula>
    </cfRule>
  </conditionalFormatting>
  <conditionalFormatting sqref="L175">
    <cfRule type="expression" dxfId="2502" priority="2503">
      <formula>$L$175="3"</formula>
    </cfRule>
  </conditionalFormatting>
  <conditionalFormatting sqref="L175">
    <cfRule type="expression" dxfId="2501" priority="2502">
      <formula>$L$175="4"</formula>
    </cfRule>
  </conditionalFormatting>
  <conditionalFormatting sqref="L175">
    <cfRule type="expression" dxfId="2500" priority="2501">
      <formula>$L$175="5"</formula>
    </cfRule>
  </conditionalFormatting>
  <conditionalFormatting sqref="I176:R176">
    <cfRule type="expression" dxfId="2499" priority="2500">
      <formula>$P$176="Not started"</formula>
    </cfRule>
    <cfRule type="expression" dxfId="2498" priority="2489">
      <formula>$I$176="or"</formula>
    </cfRule>
    <cfRule type="expression" dxfId="2497" priority="2487">
      <formula>$I$176="Type 2"</formula>
    </cfRule>
  </conditionalFormatting>
  <conditionalFormatting sqref="I176:R176">
    <cfRule type="expression" dxfId="2496" priority="2499">
      <formula>$P$176="In progress"</formula>
    </cfRule>
  </conditionalFormatting>
  <conditionalFormatting sqref="I176:R176">
    <cfRule type="expression" dxfId="2495" priority="2498">
      <formula>$P$176="Closed"</formula>
    </cfRule>
  </conditionalFormatting>
  <conditionalFormatting sqref="I176:R176">
    <cfRule type="expression" dxfId="2494" priority="2497">
      <formula>$P$176="Canceled"</formula>
    </cfRule>
  </conditionalFormatting>
  <conditionalFormatting sqref="I176:R176">
    <cfRule type="expression" dxfId="2493" priority="2496">
      <formula>$P$176="Suspended"</formula>
    </cfRule>
  </conditionalFormatting>
  <conditionalFormatting sqref="I176:R176">
    <cfRule type="expression" dxfId="2492" priority="2495">
      <formula>$P$176="Applied"</formula>
    </cfRule>
  </conditionalFormatting>
  <conditionalFormatting sqref="I176:R176">
    <cfRule type="expression" dxfId="2491" priority="2494">
      <formula>$P$176="N/A"</formula>
    </cfRule>
  </conditionalFormatting>
  <conditionalFormatting sqref="I176:R176">
    <cfRule type="expression" dxfId="2490" priority="2493">
      <formula>$P$176=""</formula>
    </cfRule>
  </conditionalFormatting>
  <conditionalFormatting sqref="I176:R176">
    <cfRule type="expression" dxfId="2489" priority="2492">
      <formula>$I$176="Module 1"</formula>
    </cfRule>
  </conditionalFormatting>
  <conditionalFormatting sqref="I176:R176">
    <cfRule type="expression" dxfId="2488" priority="2491">
      <formula>$I$176="Module 2"</formula>
    </cfRule>
  </conditionalFormatting>
  <conditionalFormatting sqref="I176:R176">
    <cfRule type="expression" dxfId="2487" priority="2490">
      <formula>$I$176="Module 3"</formula>
    </cfRule>
    <cfRule type="expression" dxfId="2486" priority="2488">
      <formula>$I$176="Type 1"</formula>
    </cfRule>
    <cfRule type="expression" dxfId="2485" priority="2486">
      <formula>$I$176="Type 3"</formula>
    </cfRule>
  </conditionalFormatting>
  <conditionalFormatting sqref="L176">
    <cfRule type="expression" dxfId="2484" priority="2485">
      <formula>$L$176="1"</formula>
    </cfRule>
  </conditionalFormatting>
  <conditionalFormatting sqref="L176">
    <cfRule type="expression" dxfId="2483" priority="2484">
      <formula>$L$176="2"</formula>
    </cfRule>
  </conditionalFormatting>
  <conditionalFormatting sqref="L176">
    <cfRule type="expression" dxfId="2482" priority="2483">
      <formula>$L$176="3"</formula>
    </cfRule>
  </conditionalFormatting>
  <conditionalFormatting sqref="L176">
    <cfRule type="expression" dxfId="2481" priority="2482">
      <formula>$L$176="4"</formula>
    </cfRule>
  </conditionalFormatting>
  <conditionalFormatting sqref="L176">
    <cfRule type="expression" dxfId="2480" priority="2481">
      <formula>$L$176="5"</formula>
    </cfRule>
  </conditionalFormatting>
  <conditionalFormatting sqref="I177:R177">
    <cfRule type="expression" dxfId="2479" priority="2480">
      <formula>$P$177="Not started"</formula>
    </cfRule>
    <cfRule type="expression" dxfId="2478" priority="2469">
      <formula>$I$177="or"</formula>
    </cfRule>
    <cfRule type="expression" dxfId="2477" priority="2467">
      <formula>$I$177="Type 2"</formula>
    </cfRule>
  </conditionalFormatting>
  <conditionalFormatting sqref="I177:R177">
    <cfRule type="expression" dxfId="2476" priority="2479">
      <formula>$P$177="In progress"</formula>
    </cfRule>
  </conditionalFormatting>
  <conditionalFormatting sqref="I177:R177">
    <cfRule type="expression" dxfId="2475" priority="2478">
      <formula>$P$177="Closed"</formula>
    </cfRule>
  </conditionalFormatting>
  <conditionalFormatting sqref="I177:R177">
    <cfRule type="expression" dxfId="2474" priority="2477">
      <formula>$P$177="Canceled"</formula>
    </cfRule>
  </conditionalFormatting>
  <conditionalFormatting sqref="I177:R177">
    <cfRule type="expression" dxfId="2473" priority="2476">
      <formula>$P$177="Suspended"</formula>
    </cfRule>
  </conditionalFormatting>
  <conditionalFormatting sqref="I177:R177">
    <cfRule type="expression" dxfId="2472" priority="2475">
      <formula>$P$177="Applied"</formula>
    </cfRule>
  </conditionalFormatting>
  <conditionalFormatting sqref="I177:R177">
    <cfRule type="expression" dxfId="2471" priority="2474">
      <formula>$P$177="N/A"</formula>
    </cfRule>
  </conditionalFormatting>
  <conditionalFormatting sqref="I177:R177">
    <cfRule type="expression" dxfId="2470" priority="2473">
      <formula>$P$177=""</formula>
    </cfRule>
  </conditionalFormatting>
  <conditionalFormatting sqref="I177:R177">
    <cfRule type="expression" dxfId="2469" priority="2472">
      <formula>$I$177="Module 1"</formula>
    </cfRule>
  </conditionalFormatting>
  <conditionalFormatting sqref="I177:R177">
    <cfRule type="expression" dxfId="2468" priority="2471">
      <formula>$I$177="Module 2"</formula>
    </cfRule>
  </conditionalFormatting>
  <conditionalFormatting sqref="I177:R177">
    <cfRule type="expression" dxfId="2467" priority="2470">
      <formula>$I$177="Module 3"</formula>
    </cfRule>
    <cfRule type="expression" dxfId="2466" priority="2468">
      <formula>$I$177="Type 1"</formula>
    </cfRule>
    <cfRule type="expression" dxfId="2465" priority="2466">
      <formula>$I$177="Type 3"</formula>
    </cfRule>
  </conditionalFormatting>
  <conditionalFormatting sqref="L177">
    <cfRule type="expression" dxfId="2464" priority="2465">
      <formula>$L$177="1"</formula>
    </cfRule>
  </conditionalFormatting>
  <conditionalFormatting sqref="L177">
    <cfRule type="expression" dxfId="2463" priority="2464">
      <formula>$L$177="2"</formula>
    </cfRule>
  </conditionalFormatting>
  <conditionalFormatting sqref="L177">
    <cfRule type="expression" dxfId="2462" priority="2463">
      <formula>$L$177="3"</formula>
    </cfRule>
  </conditionalFormatting>
  <conditionalFormatting sqref="L177">
    <cfRule type="expression" dxfId="2461" priority="2462">
      <formula>$L$177="4"</formula>
    </cfRule>
  </conditionalFormatting>
  <conditionalFormatting sqref="L177">
    <cfRule type="expression" dxfId="2460" priority="2461">
      <formula>$L$177="5"</formula>
    </cfRule>
  </conditionalFormatting>
  <conditionalFormatting sqref="I178:R178">
    <cfRule type="expression" dxfId="2459" priority="2460">
      <formula>$P$178="Not started"</formula>
    </cfRule>
  </conditionalFormatting>
  <conditionalFormatting sqref="I178:R178">
    <cfRule type="expression" dxfId="2458" priority="2459">
      <formula>$P$178="In progress"</formula>
    </cfRule>
  </conditionalFormatting>
  <conditionalFormatting sqref="I178:R178">
    <cfRule type="expression" dxfId="2457" priority="2458">
      <formula>$P$178="Closed"</formula>
    </cfRule>
  </conditionalFormatting>
  <conditionalFormatting sqref="I178:R178">
    <cfRule type="expression" dxfId="2456" priority="2457">
      <formula>$P$178="Canceled"</formula>
    </cfRule>
  </conditionalFormatting>
  <conditionalFormatting sqref="I178:R178">
    <cfRule type="expression" dxfId="2455" priority="2456">
      <formula>$P$178="Suspended"</formula>
    </cfRule>
  </conditionalFormatting>
  <conditionalFormatting sqref="I178:R178">
    <cfRule type="expression" dxfId="2454" priority="2455">
      <formula>$P$178="Applied"</formula>
    </cfRule>
  </conditionalFormatting>
  <conditionalFormatting sqref="I178:R178">
    <cfRule type="expression" dxfId="2453" priority="2454">
      <formula>$P$178="N/A"</formula>
    </cfRule>
  </conditionalFormatting>
  <conditionalFormatting sqref="I178:R178">
    <cfRule type="expression" dxfId="2452" priority="2453">
      <formula>$P$178=""</formula>
    </cfRule>
  </conditionalFormatting>
  <conditionalFormatting sqref="I178:R178">
    <cfRule type="expression" dxfId="2451" priority="2452">
      <formula>$I$178="Module 1"</formula>
    </cfRule>
  </conditionalFormatting>
  <conditionalFormatting sqref="I178:R178">
    <cfRule type="expression" dxfId="2450" priority="2451">
      <formula>$I$178="Module 2"</formula>
    </cfRule>
  </conditionalFormatting>
  <conditionalFormatting sqref="I178:R178">
    <cfRule type="expression" dxfId="2449" priority="2450">
      <formula>$I$178="Module 3"</formula>
    </cfRule>
  </conditionalFormatting>
  <conditionalFormatting sqref="I178:R178">
    <cfRule type="expression" dxfId="2448" priority="2449">
      <formula>$I$178="or"</formula>
    </cfRule>
  </conditionalFormatting>
  <conditionalFormatting sqref="I178:R178">
    <cfRule type="expression" dxfId="2447" priority="2448">
      <formula>$I$178="Type 1"</formula>
    </cfRule>
  </conditionalFormatting>
  <conditionalFormatting sqref="I178:R178">
    <cfRule type="expression" dxfId="2446" priority="2447">
      <formula>$I$178="Type 2"</formula>
    </cfRule>
  </conditionalFormatting>
  <conditionalFormatting sqref="I178:R178">
    <cfRule type="expression" dxfId="2445" priority="2446">
      <formula>$I$178="Type 3"</formula>
    </cfRule>
  </conditionalFormatting>
  <conditionalFormatting sqref="L178">
    <cfRule type="expression" dxfId="2444" priority="2445">
      <formula>$L$178="1"</formula>
    </cfRule>
  </conditionalFormatting>
  <conditionalFormatting sqref="L178">
    <cfRule type="expression" dxfId="2443" priority="2444">
      <formula>$L$178="2"</formula>
    </cfRule>
  </conditionalFormatting>
  <conditionalFormatting sqref="L178">
    <cfRule type="expression" dxfId="2442" priority="2443">
      <formula>$L$178="3"</formula>
    </cfRule>
  </conditionalFormatting>
  <conditionalFormatting sqref="L178">
    <cfRule type="expression" dxfId="2441" priority="2442">
      <formula>$L$178="4"</formula>
    </cfRule>
  </conditionalFormatting>
  <conditionalFormatting sqref="L178">
    <cfRule type="expression" dxfId="2440" priority="2441">
      <formula>$L$178="5"</formula>
    </cfRule>
  </conditionalFormatting>
  <conditionalFormatting sqref="I179:R179">
    <cfRule type="expression" dxfId="2439" priority="2440">
      <formula>$P$179="Not started"</formula>
    </cfRule>
    <cfRule type="expression" dxfId="2438" priority="2429">
      <formula>$I$179="or"</formula>
    </cfRule>
    <cfRule type="expression" dxfId="2437" priority="2427">
      <formula>$I$179="Type 2"</formula>
    </cfRule>
  </conditionalFormatting>
  <conditionalFormatting sqref="I179:R179">
    <cfRule type="expression" dxfId="2436" priority="2439">
      <formula>$P$179="In progress"</formula>
    </cfRule>
  </conditionalFormatting>
  <conditionalFormatting sqref="I179:R179">
    <cfRule type="expression" dxfId="2435" priority="2438">
      <formula>$P$179="Closed"</formula>
    </cfRule>
  </conditionalFormatting>
  <conditionalFormatting sqref="I179:R179">
    <cfRule type="expression" dxfId="2434" priority="2437">
      <formula>$P$179="Canceled"</formula>
    </cfRule>
  </conditionalFormatting>
  <conditionalFormatting sqref="I179:R179">
    <cfRule type="expression" dxfId="2433" priority="2436">
      <formula>$P$179="Suspended"</formula>
    </cfRule>
  </conditionalFormatting>
  <conditionalFormatting sqref="I179:R179">
    <cfRule type="expression" dxfId="2432" priority="2435">
      <formula>$P$179="Applied"</formula>
    </cfRule>
  </conditionalFormatting>
  <conditionalFormatting sqref="I179:R179">
    <cfRule type="expression" dxfId="2431" priority="2434">
      <formula>$P$179="N/A"</formula>
    </cfRule>
  </conditionalFormatting>
  <conditionalFormatting sqref="I179:R179">
    <cfRule type="expression" dxfId="2430" priority="2433">
      <formula>$P$179=""</formula>
    </cfRule>
  </conditionalFormatting>
  <conditionalFormatting sqref="I179:R179">
    <cfRule type="expression" dxfId="2429" priority="2432">
      <formula>$I$179="Module 1"</formula>
    </cfRule>
  </conditionalFormatting>
  <conditionalFormatting sqref="I179:R179">
    <cfRule type="expression" dxfId="2428" priority="2431">
      <formula>$I$179="Module 2"</formula>
    </cfRule>
  </conditionalFormatting>
  <conditionalFormatting sqref="I179:R179">
    <cfRule type="expression" dxfId="2427" priority="2430">
      <formula>$I$179="Module 3"</formula>
    </cfRule>
    <cfRule type="expression" dxfId="2426" priority="2428">
      <formula>$I$179="Type 1"</formula>
    </cfRule>
    <cfRule type="expression" dxfId="2425" priority="2426">
      <formula>$I$179="Type 3"</formula>
    </cfRule>
  </conditionalFormatting>
  <conditionalFormatting sqref="L179">
    <cfRule type="expression" dxfId="2424" priority="2425">
      <formula>$L$179="1"</formula>
    </cfRule>
  </conditionalFormatting>
  <conditionalFormatting sqref="L179">
    <cfRule type="expression" dxfId="2423" priority="2424">
      <formula>$L$179="2"</formula>
    </cfRule>
  </conditionalFormatting>
  <conditionalFormatting sqref="L179">
    <cfRule type="expression" dxfId="2422" priority="2423">
      <formula>$L$179="3"</formula>
    </cfRule>
  </conditionalFormatting>
  <conditionalFormatting sqref="L179">
    <cfRule type="expression" dxfId="2421" priority="2422">
      <formula>$L$179="4"</formula>
    </cfRule>
  </conditionalFormatting>
  <conditionalFormatting sqref="L179">
    <cfRule type="expression" dxfId="2420" priority="2421">
      <formula>$L$179="5"</formula>
    </cfRule>
  </conditionalFormatting>
  <conditionalFormatting sqref="I180:R180">
    <cfRule type="expression" dxfId="2419" priority="2420">
      <formula>$P$180="Not started"</formula>
    </cfRule>
    <cfRule type="expression" dxfId="2418" priority="2409">
      <formula>$I$180="or"</formula>
    </cfRule>
    <cfRule type="expression" dxfId="2417" priority="2407">
      <formula>$I$180="Type 2"</formula>
    </cfRule>
  </conditionalFormatting>
  <conditionalFormatting sqref="I180:R180">
    <cfRule type="expression" dxfId="2416" priority="2419">
      <formula>$P$180="In progress"</formula>
    </cfRule>
  </conditionalFormatting>
  <conditionalFormatting sqref="I180:R180">
    <cfRule type="expression" dxfId="2415" priority="2418">
      <formula>$P$180="Closed"</formula>
    </cfRule>
  </conditionalFormatting>
  <conditionalFormatting sqref="I180:R180">
    <cfRule type="expression" dxfId="2414" priority="2417">
      <formula>$P$180="Canceled"</formula>
    </cfRule>
  </conditionalFormatting>
  <conditionalFormatting sqref="I180:R180">
    <cfRule type="expression" dxfId="2413" priority="2416">
      <formula>$P$180="Suspended"</formula>
    </cfRule>
  </conditionalFormatting>
  <conditionalFormatting sqref="I180:R180">
    <cfRule type="expression" dxfId="2412" priority="2415">
      <formula>$P$180="Applied"</formula>
    </cfRule>
  </conditionalFormatting>
  <conditionalFormatting sqref="I180:R180">
    <cfRule type="expression" dxfId="2411" priority="2414">
      <formula>$P$180="N/A"</formula>
    </cfRule>
  </conditionalFormatting>
  <conditionalFormatting sqref="I180:R180">
    <cfRule type="expression" dxfId="2410" priority="2413">
      <formula>$P$180=""</formula>
    </cfRule>
  </conditionalFormatting>
  <conditionalFormatting sqref="I180:R180">
    <cfRule type="expression" dxfId="2409" priority="2412">
      <formula>$I$180="Module 1"</formula>
    </cfRule>
  </conditionalFormatting>
  <conditionalFormatting sqref="I180:R180">
    <cfRule type="expression" dxfId="2408" priority="2411">
      <formula>$I$180="Module 2"</formula>
    </cfRule>
  </conditionalFormatting>
  <conditionalFormatting sqref="I180:R180">
    <cfRule type="expression" dxfId="2407" priority="2410">
      <formula>$I$180="Module 3"</formula>
    </cfRule>
    <cfRule type="expression" dxfId="2406" priority="2408">
      <formula>$I$180="Type 1"</formula>
    </cfRule>
    <cfRule type="expression" dxfId="2405" priority="2406">
      <formula>$I$180="Type 3"</formula>
    </cfRule>
  </conditionalFormatting>
  <conditionalFormatting sqref="L180">
    <cfRule type="expression" dxfId="2404" priority="2405">
      <formula>$L$180="1"</formula>
    </cfRule>
  </conditionalFormatting>
  <conditionalFormatting sqref="L180">
    <cfRule type="expression" dxfId="2403" priority="2404">
      <formula>$L$180="2"</formula>
    </cfRule>
  </conditionalFormatting>
  <conditionalFormatting sqref="L180">
    <cfRule type="expression" dxfId="2402" priority="2403">
      <formula>$L$180="3"</formula>
    </cfRule>
  </conditionalFormatting>
  <conditionalFormatting sqref="L180">
    <cfRule type="expression" dxfId="2401" priority="2402">
      <formula>$L$180="4"</formula>
    </cfRule>
  </conditionalFormatting>
  <conditionalFormatting sqref="L180">
    <cfRule type="expression" dxfId="2400" priority="2401">
      <formula>$L$180="5"</formula>
    </cfRule>
  </conditionalFormatting>
  <conditionalFormatting sqref="I181:R181">
    <cfRule type="expression" dxfId="2399" priority="2400">
      <formula>$P$181="Not started"</formula>
    </cfRule>
    <cfRule type="expression" dxfId="2398" priority="2389">
      <formula>$I$181="or"</formula>
    </cfRule>
    <cfRule type="expression" dxfId="2397" priority="2387">
      <formula>$I$181="Type 2"</formula>
    </cfRule>
  </conditionalFormatting>
  <conditionalFormatting sqref="I181:R181">
    <cfRule type="expression" dxfId="2396" priority="2399">
      <formula>$P$181="In progress"</formula>
    </cfRule>
  </conditionalFormatting>
  <conditionalFormatting sqref="I181:R181">
    <cfRule type="expression" dxfId="2395" priority="2398">
      <formula>$P$181="Closed"</formula>
    </cfRule>
  </conditionalFormatting>
  <conditionalFormatting sqref="I181:R181">
    <cfRule type="expression" dxfId="2394" priority="2397">
      <formula>$P$181="Canceled"</formula>
    </cfRule>
  </conditionalFormatting>
  <conditionalFormatting sqref="I181:R181">
    <cfRule type="expression" dxfId="2393" priority="2396">
      <formula>$P$181="Suspended"</formula>
    </cfRule>
  </conditionalFormatting>
  <conditionalFormatting sqref="I181:R181">
    <cfRule type="expression" dxfId="2392" priority="2395">
      <formula>$P$181="Applied"</formula>
    </cfRule>
  </conditionalFormatting>
  <conditionalFormatting sqref="I181:R181">
    <cfRule type="expression" dxfId="2391" priority="2394">
      <formula>$P$181="N/A"</formula>
    </cfRule>
  </conditionalFormatting>
  <conditionalFormatting sqref="I181:R181">
    <cfRule type="expression" dxfId="2390" priority="2393">
      <formula>$P$181=""</formula>
    </cfRule>
  </conditionalFormatting>
  <conditionalFormatting sqref="I181:R181">
    <cfRule type="expression" dxfId="2389" priority="2392">
      <formula>$I$181="Module 1"</formula>
    </cfRule>
  </conditionalFormatting>
  <conditionalFormatting sqref="I181:R181">
    <cfRule type="expression" dxfId="2388" priority="2391">
      <formula>$I$181="Module 2"</formula>
    </cfRule>
  </conditionalFormatting>
  <conditionalFormatting sqref="I181:R181">
    <cfRule type="expression" dxfId="2387" priority="2390">
      <formula>$I$181="Module 3"</formula>
    </cfRule>
    <cfRule type="expression" dxfId="2386" priority="2388">
      <formula>$I$181="Type 1"</formula>
    </cfRule>
    <cfRule type="expression" dxfId="2385" priority="2386">
      <formula>$I$181="Type 3"</formula>
    </cfRule>
  </conditionalFormatting>
  <conditionalFormatting sqref="L181">
    <cfRule type="expression" dxfId="2384" priority="2385">
      <formula>$L$181="1"</formula>
    </cfRule>
  </conditionalFormatting>
  <conditionalFormatting sqref="L181">
    <cfRule type="expression" dxfId="2383" priority="2384">
      <formula>$L$181="2"</formula>
    </cfRule>
  </conditionalFormatting>
  <conditionalFormatting sqref="L181">
    <cfRule type="expression" dxfId="2382" priority="2383">
      <formula>$L$181="3"</formula>
    </cfRule>
  </conditionalFormatting>
  <conditionalFormatting sqref="L181">
    <cfRule type="expression" dxfId="2381" priority="2382">
      <formula>$L$181="4"</formula>
    </cfRule>
  </conditionalFormatting>
  <conditionalFormatting sqref="L181">
    <cfRule type="expression" dxfId="2380" priority="2381">
      <formula>$L$181="5"</formula>
    </cfRule>
  </conditionalFormatting>
  <conditionalFormatting sqref="I182:R182">
    <cfRule type="expression" dxfId="2379" priority="2380">
      <formula>$P$182="Not started"</formula>
    </cfRule>
    <cfRule type="expression" dxfId="2378" priority="2369">
      <formula>$I$182="or"</formula>
    </cfRule>
    <cfRule type="expression" dxfId="2377" priority="2367">
      <formula>$I$182="Type 2"</formula>
    </cfRule>
  </conditionalFormatting>
  <conditionalFormatting sqref="I182:R182">
    <cfRule type="expression" dxfId="2376" priority="2379">
      <formula>$P$182="In progress"</formula>
    </cfRule>
  </conditionalFormatting>
  <conditionalFormatting sqref="I182:R182">
    <cfRule type="expression" dxfId="2375" priority="2378">
      <formula>$P$182="Closed"</formula>
    </cfRule>
  </conditionalFormatting>
  <conditionalFormatting sqref="I182:R182">
    <cfRule type="expression" dxfId="2374" priority="2377">
      <formula>$P$182="Canceled"</formula>
    </cfRule>
  </conditionalFormatting>
  <conditionalFormatting sqref="I182:R182">
    <cfRule type="expression" dxfId="2373" priority="2376">
      <formula>$P$182="Suspended"</formula>
    </cfRule>
  </conditionalFormatting>
  <conditionalFormatting sqref="I182:R182">
    <cfRule type="expression" dxfId="2372" priority="2375">
      <formula>$P$182="Applied"</formula>
    </cfRule>
  </conditionalFormatting>
  <conditionalFormatting sqref="I182:R182">
    <cfRule type="expression" dxfId="2371" priority="2374">
      <formula>$P$182="N/A"</formula>
    </cfRule>
  </conditionalFormatting>
  <conditionalFormatting sqref="I182:R182">
    <cfRule type="expression" dxfId="2370" priority="2373">
      <formula>$P$182=""</formula>
    </cfRule>
  </conditionalFormatting>
  <conditionalFormatting sqref="I182:R182">
    <cfRule type="expression" dxfId="2369" priority="2372">
      <formula>$I$182="Module 1"</formula>
    </cfRule>
  </conditionalFormatting>
  <conditionalFormatting sqref="I182:R182">
    <cfRule type="expression" dxfId="2368" priority="2371">
      <formula>$I$182="Module 2"</formula>
    </cfRule>
  </conditionalFormatting>
  <conditionalFormatting sqref="I182:R182">
    <cfRule type="expression" dxfId="2367" priority="2370">
      <formula>$I$182="Module 3"</formula>
    </cfRule>
    <cfRule type="expression" dxfId="2366" priority="2368">
      <formula>$I$182="Type 1"</formula>
    </cfRule>
    <cfRule type="expression" dxfId="2365" priority="2366">
      <formula>$I$182="Type 3"</formula>
    </cfRule>
  </conditionalFormatting>
  <conditionalFormatting sqref="L182">
    <cfRule type="expression" dxfId="2364" priority="2365">
      <formula>$L$182="1"</formula>
    </cfRule>
  </conditionalFormatting>
  <conditionalFormatting sqref="L182">
    <cfRule type="expression" dxfId="2363" priority="2364">
      <formula>$L$182="2"</formula>
    </cfRule>
  </conditionalFormatting>
  <conditionalFormatting sqref="L182">
    <cfRule type="expression" dxfId="2362" priority="2363">
      <formula>$L$182="3"</formula>
    </cfRule>
  </conditionalFormatting>
  <conditionalFormatting sqref="L182">
    <cfRule type="expression" dxfId="2361" priority="2362">
      <formula>$L$182="4"</formula>
    </cfRule>
  </conditionalFormatting>
  <conditionalFormatting sqref="L182">
    <cfRule type="expression" dxfId="2360" priority="2361">
      <formula>$L$182="5"</formula>
    </cfRule>
  </conditionalFormatting>
  <conditionalFormatting sqref="I183:R183">
    <cfRule type="expression" dxfId="2359" priority="2360">
      <formula>$P$183="Not started"</formula>
    </cfRule>
    <cfRule type="expression" dxfId="2358" priority="2349">
      <formula>$I$183="or"</formula>
    </cfRule>
    <cfRule type="expression" dxfId="2357" priority="2347">
      <formula>$I$183="Type 2"</formula>
    </cfRule>
  </conditionalFormatting>
  <conditionalFormatting sqref="I183:R183">
    <cfRule type="expression" dxfId="2356" priority="2359">
      <formula>$P$183="In progress"</formula>
    </cfRule>
  </conditionalFormatting>
  <conditionalFormatting sqref="I183:R183">
    <cfRule type="expression" dxfId="2355" priority="2358">
      <formula>$P$183="Closed"</formula>
    </cfRule>
  </conditionalFormatting>
  <conditionalFormatting sqref="I183:R183">
    <cfRule type="expression" dxfId="2354" priority="2357">
      <formula>$P$183="Canceled"</formula>
    </cfRule>
  </conditionalFormatting>
  <conditionalFormatting sqref="I183:R183">
    <cfRule type="expression" dxfId="2353" priority="2356">
      <formula>$P$183="Suspended"</formula>
    </cfRule>
  </conditionalFormatting>
  <conditionalFormatting sqref="I183:R183">
    <cfRule type="expression" dxfId="2352" priority="2355">
      <formula>$P$183="Applied"</formula>
    </cfRule>
  </conditionalFormatting>
  <conditionalFormatting sqref="I183:R183">
    <cfRule type="expression" dxfId="2351" priority="2354">
      <formula>$P$183="N/A"</formula>
    </cfRule>
  </conditionalFormatting>
  <conditionalFormatting sqref="I183:R183">
    <cfRule type="expression" dxfId="2350" priority="2353">
      <formula>$P$183=""</formula>
    </cfRule>
  </conditionalFormatting>
  <conditionalFormatting sqref="I183:R183">
    <cfRule type="expression" dxfId="2349" priority="2352">
      <formula>$I$183="Module 1"</formula>
    </cfRule>
  </conditionalFormatting>
  <conditionalFormatting sqref="I183:R183">
    <cfRule type="expression" dxfId="2348" priority="2351">
      <formula>$I$183="Module 2"</formula>
    </cfRule>
  </conditionalFormatting>
  <conditionalFormatting sqref="I183:R183">
    <cfRule type="expression" dxfId="2347" priority="2350">
      <formula>$I$183="Module 3"</formula>
    </cfRule>
    <cfRule type="expression" dxfId="2346" priority="2348">
      <formula>$I$183="Type 1"</formula>
    </cfRule>
    <cfRule type="expression" dxfId="2345" priority="2346">
      <formula>$I$183="Type 3"</formula>
    </cfRule>
  </conditionalFormatting>
  <conditionalFormatting sqref="L183">
    <cfRule type="expression" dxfId="2344" priority="2345">
      <formula>$L$183="1"</formula>
    </cfRule>
  </conditionalFormatting>
  <conditionalFormatting sqref="L183">
    <cfRule type="expression" dxfId="2343" priority="2344">
      <formula>$L$183="2"</formula>
    </cfRule>
  </conditionalFormatting>
  <conditionalFormatting sqref="L183">
    <cfRule type="expression" dxfId="2342" priority="2343">
      <formula>$L$183="3"</formula>
    </cfRule>
  </conditionalFormatting>
  <conditionalFormatting sqref="L183">
    <cfRule type="expression" dxfId="2341" priority="2342">
      <formula>$L$183="4"</formula>
    </cfRule>
  </conditionalFormatting>
  <conditionalFormatting sqref="L183">
    <cfRule type="expression" dxfId="2340" priority="2341">
      <formula>$L$183="5"</formula>
    </cfRule>
  </conditionalFormatting>
  <conditionalFormatting sqref="I184:R184">
    <cfRule type="expression" dxfId="2339" priority="2340">
      <formula>$P$184="Not started"</formula>
    </cfRule>
    <cfRule type="expression" dxfId="2338" priority="2329">
      <formula>$I$184="or"</formula>
    </cfRule>
    <cfRule type="expression" dxfId="2337" priority="2327">
      <formula>$I$184="Type 2"</formula>
    </cfRule>
  </conditionalFormatting>
  <conditionalFormatting sqref="I184:R184">
    <cfRule type="expression" dxfId="2336" priority="2339">
      <formula>$P$184="In progress"</formula>
    </cfRule>
  </conditionalFormatting>
  <conditionalFormatting sqref="I184:R184">
    <cfRule type="expression" dxfId="2335" priority="2338">
      <formula>$P$184="Closed"</formula>
    </cfRule>
  </conditionalFormatting>
  <conditionalFormatting sqref="I184:R184">
    <cfRule type="expression" dxfId="2334" priority="2337">
      <formula>$P$184="Canceled"</formula>
    </cfRule>
  </conditionalFormatting>
  <conditionalFormatting sqref="I184:R184">
    <cfRule type="expression" dxfId="2333" priority="2336">
      <formula>$P$184="Suspended"</formula>
    </cfRule>
  </conditionalFormatting>
  <conditionalFormatting sqref="I184:R184">
    <cfRule type="expression" dxfId="2332" priority="2335">
      <formula>$P$184="Applied"</formula>
    </cfRule>
  </conditionalFormatting>
  <conditionalFormatting sqref="I184:R184">
    <cfRule type="expression" dxfId="2331" priority="2334">
      <formula>$P$184="N/A"</formula>
    </cfRule>
  </conditionalFormatting>
  <conditionalFormatting sqref="I184:R184">
    <cfRule type="expression" dxfId="2330" priority="2333">
      <formula>$P$184=""</formula>
    </cfRule>
  </conditionalFormatting>
  <conditionalFormatting sqref="I184:R184">
    <cfRule type="expression" dxfId="2329" priority="2332">
      <formula>$I$184="Module 1"</formula>
    </cfRule>
  </conditionalFormatting>
  <conditionalFormatting sqref="I184:R184">
    <cfRule type="expression" dxfId="2328" priority="2331">
      <formula>$I$184="Module 2"</formula>
    </cfRule>
  </conditionalFormatting>
  <conditionalFormatting sqref="I184:R184">
    <cfRule type="expression" dxfId="2327" priority="2330">
      <formula>$I$184="Module 3"</formula>
    </cfRule>
    <cfRule type="expression" dxfId="2326" priority="2328">
      <formula>$I$184="Type 1"</formula>
    </cfRule>
    <cfRule type="expression" dxfId="2325" priority="2326">
      <formula>$I$184="Type 3"</formula>
    </cfRule>
  </conditionalFormatting>
  <conditionalFormatting sqref="L184">
    <cfRule type="expression" dxfId="2324" priority="2325">
      <formula>$L$184="1"</formula>
    </cfRule>
  </conditionalFormatting>
  <conditionalFormatting sqref="L184">
    <cfRule type="expression" dxfId="2323" priority="2324">
      <formula>$L$184="2"</formula>
    </cfRule>
  </conditionalFormatting>
  <conditionalFormatting sqref="L184">
    <cfRule type="expression" dxfId="2322" priority="2323">
      <formula>$L$184="3"</formula>
    </cfRule>
  </conditionalFormatting>
  <conditionalFormatting sqref="L184">
    <cfRule type="expression" dxfId="2321" priority="2322">
      <formula>$L$184="4"</formula>
    </cfRule>
  </conditionalFormatting>
  <conditionalFormatting sqref="L184">
    <cfRule type="expression" dxfId="2320" priority="2321">
      <formula>$L$184="5"</formula>
    </cfRule>
  </conditionalFormatting>
  <conditionalFormatting sqref="I185:R185">
    <cfRule type="expression" dxfId="2319" priority="2320">
      <formula>$P$185="Not started"</formula>
    </cfRule>
    <cfRule type="expression" dxfId="2318" priority="2309">
      <formula>$I$185="or"</formula>
    </cfRule>
    <cfRule type="expression" dxfId="2317" priority="2307">
      <formula>$I$185="Type 2"</formula>
    </cfRule>
  </conditionalFormatting>
  <conditionalFormatting sqref="I185:R185">
    <cfRule type="expression" dxfId="2316" priority="2319">
      <formula>$P$185="In progress"</formula>
    </cfRule>
  </conditionalFormatting>
  <conditionalFormatting sqref="I185:R185">
    <cfRule type="expression" dxfId="2315" priority="2318">
      <formula>$P$185="Closed"</formula>
    </cfRule>
  </conditionalFormatting>
  <conditionalFormatting sqref="I185:R185">
    <cfRule type="expression" dxfId="2314" priority="2317">
      <formula>$P$185="Canceled"</formula>
    </cfRule>
  </conditionalFormatting>
  <conditionalFormatting sqref="I185:R185">
    <cfRule type="expression" dxfId="2313" priority="2316">
      <formula>$P$185="Suspended"</formula>
    </cfRule>
  </conditionalFormatting>
  <conditionalFormatting sqref="I185:R185">
    <cfRule type="expression" dxfId="2312" priority="2315">
      <formula>$P$185="Applied"</formula>
    </cfRule>
  </conditionalFormatting>
  <conditionalFormatting sqref="I185:R185">
    <cfRule type="expression" dxfId="2311" priority="2314">
      <formula>$P$185="N/A"</formula>
    </cfRule>
  </conditionalFormatting>
  <conditionalFormatting sqref="I185:R185">
    <cfRule type="expression" dxfId="2310" priority="2313">
      <formula>$P$185=""</formula>
    </cfRule>
  </conditionalFormatting>
  <conditionalFormatting sqref="I185:R185">
    <cfRule type="expression" dxfId="2309" priority="2312">
      <formula>$I$185="Module 1"</formula>
    </cfRule>
  </conditionalFormatting>
  <conditionalFormatting sqref="I185:R185">
    <cfRule type="expression" dxfId="2308" priority="2311">
      <formula>$I$185="Module 2"</formula>
    </cfRule>
  </conditionalFormatting>
  <conditionalFormatting sqref="I185:R185">
    <cfRule type="expression" dxfId="2307" priority="2310">
      <formula>$I$185="Module 3"</formula>
    </cfRule>
    <cfRule type="expression" dxfId="2306" priority="2308">
      <formula>$I$185="Type 1"</formula>
    </cfRule>
    <cfRule type="expression" dxfId="2305" priority="2306">
      <formula>$I$185="Type 3"</formula>
    </cfRule>
  </conditionalFormatting>
  <conditionalFormatting sqref="L185">
    <cfRule type="expression" dxfId="2304" priority="2305">
      <formula>$L$185="1"</formula>
    </cfRule>
  </conditionalFormatting>
  <conditionalFormatting sqref="L185">
    <cfRule type="expression" dxfId="2303" priority="2304">
      <formula>$L$185="2"</formula>
    </cfRule>
  </conditionalFormatting>
  <conditionalFormatting sqref="L185">
    <cfRule type="expression" dxfId="2302" priority="2303">
      <formula>$L$185="3"</formula>
    </cfRule>
  </conditionalFormatting>
  <conditionalFormatting sqref="L185">
    <cfRule type="expression" dxfId="2301" priority="2302">
      <formula>$L$185="4"</formula>
    </cfRule>
  </conditionalFormatting>
  <conditionalFormatting sqref="L185">
    <cfRule type="expression" dxfId="2300" priority="2301">
      <formula>$L$185="5"</formula>
    </cfRule>
  </conditionalFormatting>
  <conditionalFormatting sqref="I186:R186">
    <cfRule type="expression" dxfId="2299" priority="2300">
      <formula>$P$186="Not started"</formula>
    </cfRule>
    <cfRule type="expression" dxfId="2298" priority="2289">
      <formula>$I$186="or"</formula>
    </cfRule>
    <cfRule type="expression" dxfId="2297" priority="2287">
      <formula>$I$186="Type 2"</formula>
    </cfRule>
  </conditionalFormatting>
  <conditionalFormatting sqref="I186:R186">
    <cfRule type="expression" dxfId="2296" priority="2299">
      <formula>$P$186="In progress"</formula>
    </cfRule>
  </conditionalFormatting>
  <conditionalFormatting sqref="I186:R186">
    <cfRule type="expression" dxfId="2295" priority="2298">
      <formula>$P$186="Closed"</formula>
    </cfRule>
  </conditionalFormatting>
  <conditionalFormatting sqref="I186:R186">
    <cfRule type="expression" dxfId="2294" priority="2297">
      <formula>$P$186="Canceled"</formula>
    </cfRule>
  </conditionalFormatting>
  <conditionalFormatting sqref="I186:R186">
    <cfRule type="expression" dxfId="2293" priority="2296">
      <formula>$P$186="Suspended"</formula>
    </cfRule>
  </conditionalFormatting>
  <conditionalFormatting sqref="I186:R186">
    <cfRule type="expression" dxfId="2292" priority="2295">
      <formula>$P$186="Applied"</formula>
    </cfRule>
  </conditionalFormatting>
  <conditionalFormatting sqref="I186:R186">
    <cfRule type="expression" dxfId="2291" priority="2294">
      <formula>$P$186="N/A"</formula>
    </cfRule>
  </conditionalFormatting>
  <conditionalFormatting sqref="I186:R186">
    <cfRule type="expression" dxfId="2290" priority="2293">
      <formula>$P$186=""</formula>
    </cfRule>
  </conditionalFormatting>
  <conditionalFormatting sqref="I186:R186">
    <cfRule type="expression" dxfId="2289" priority="2292">
      <formula>$I$186="Module 1"</formula>
    </cfRule>
  </conditionalFormatting>
  <conditionalFormatting sqref="I186:R186">
    <cfRule type="expression" dxfId="2288" priority="2291">
      <formula>$I$186="Module 2"</formula>
    </cfRule>
  </conditionalFormatting>
  <conditionalFormatting sqref="I186:R186">
    <cfRule type="expression" dxfId="2287" priority="2290">
      <formula>$I$186="Module 3"</formula>
    </cfRule>
    <cfRule type="expression" dxfId="2286" priority="2288">
      <formula>$I$186="Type 1"</formula>
    </cfRule>
    <cfRule type="expression" dxfId="2285" priority="2286">
      <formula>$I$186="Type 3"</formula>
    </cfRule>
  </conditionalFormatting>
  <conditionalFormatting sqref="L186">
    <cfRule type="expression" dxfId="2284" priority="2285">
      <formula>$L$186="1"</formula>
    </cfRule>
  </conditionalFormatting>
  <conditionalFormatting sqref="L186">
    <cfRule type="expression" dxfId="2283" priority="2284">
      <formula>$L$186="2"</formula>
    </cfRule>
  </conditionalFormatting>
  <conditionalFormatting sqref="L186">
    <cfRule type="expression" dxfId="2282" priority="2283">
      <formula>$L$186="3"</formula>
    </cfRule>
  </conditionalFormatting>
  <conditionalFormatting sqref="L186">
    <cfRule type="expression" dxfId="2281" priority="2282">
      <formula>$L$186="4"</formula>
    </cfRule>
  </conditionalFormatting>
  <conditionalFormatting sqref="L186">
    <cfRule type="expression" dxfId="2280" priority="2281">
      <formula>$L$186="5"</formula>
    </cfRule>
  </conditionalFormatting>
  <conditionalFormatting sqref="I187:R187">
    <cfRule type="expression" dxfId="2279" priority="2280">
      <formula>$P$187="Not started"</formula>
    </cfRule>
    <cfRule type="expression" dxfId="2278" priority="2269">
      <formula>$I$187="or"</formula>
    </cfRule>
    <cfRule type="expression" dxfId="2277" priority="2267">
      <formula>$I$187="Type 2"</formula>
    </cfRule>
  </conditionalFormatting>
  <conditionalFormatting sqref="I187:R187">
    <cfRule type="expression" dxfId="2276" priority="2279">
      <formula>$P$187="In progress"</formula>
    </cfRule>
  </conditionalFormatting>
  <conditionalFormatting sqref="I187:R187">
    <cfRule type="expression" dxfId="2275" priority="2278">
      <formula>$P$187="Closed"</formula>
    </cfRule>
  </conditionalFormatting>
  <conditionalFormatting sqref="I187:R187">
    <cfRule type="expression" dxfId="2274" priority="2277">
      <formula>$P$187="Canceled"</formula>
    </cfRule>
  </conditionalFormatting>
  <conditionalFormatting sqref="I187:R187">
    <cfRule type="expression" dxfId="2273" priority="2276">
      <formula>$P$187="Suspended"</formula>
    </cfRule>
  </conditionalFormatting>
  <conditionalFormatting sqref="I187:R187">
    <cfRule type="expression" dxfId="2272" priority="2275">
      <formula>$P$187="Applied"</formula>
    </cfRule>
  </conditionalFormatting>
  <conditionalFormatting sqref="I187:R187">
    <cfRule type="expression" dxfId="2271" priority="2274">
      <formula>$P$187="N/A"</formula>
    </cfRule>
  </conditionalFormatting>
  <conditionalFormatting sqref="I187:R187">
    <cfRule type="expression" dxfId="2270" priority="2273">
      <formula>$P$187=""</formula>
    </cfRule>
  </conditionalFormatting>
  <conditionalFormatting sqref="I187:R187">
    <cfRule type="expression" dxfId="2269" priority="2272">
      <formula>$I$187="Module 1"</formula>
    </cfRule>
  </conditionalFormatting>
  <conditionalFormatting sqref="I187:R187">
    <cfRule type="expression" dxfId="2268" priority="2271">
      <formula>$I$187="Module 2"</formula>
    </cfRule>
  </conditionalFormatting>
  <conditionalFormatting sqref="I187:R187">
    <cfRule type="expression" dxfId="2267" priority="2270">
      <formula>$I$187="Module 3"</formula>
    </cfRule>
    <cfRule type="expression" dxfId="2266" priority="2268">
      <formula>$I$187="Type 1"</formula>
    </cfRule>
    <cfRule type="expression" dxfId="2265" priority="2266">
      <formula>$I$187="Type 3"</formula>
    </cfRule>
  </conditionalFormatting>
  <conditionalFormatting sqref="L187">
    <cfRule type="expression" dxfId="2264" priority="2265">
      <formula>$L$187="1"</formula>
    </cfRule>
  </conditionalFormatting>
  <conditionalFormatting sqref="L187">
    <cfRule type="expression" dxfId="2263" priority="2264">
      <formula>$L$187="2"</formula>
    </cfRule>
  </conditionalFormatting>
  <conditionalFormatting sqref="L187">
    <cfRule type="expression" dxfId="2262" priority="2263">
      <formula>$L$187="3"</formula>
    </cfRule>
  </conditionalFormatting>
  <conditionalFormatting sqref="L187">
    <cfRule type="expression" dxfId="2261" priority="2262">
      <formula>$L$187="4"</formula>
    </cfRule>
  </conditionalFormatting>
  <conditionalFormatting sqref="L187">
    <cfRule type="expression" dxfId="2260" priority="2261">
      <formula>$L$187="5"</formula>
    </cfRule>
  </conditionalFormatting>
  <conditionalFormatting sqref="I188:R188">
    <cfRule type="expression" dxfId="2259" priority="2260">
      <formula>$P$188="Not started"</formula>
    </cfRule>
  </conditionalFormatting>
  <conditionalFormatting sqref="I188:R188">
    <cfRule type="expression" dxfId="2258" priority="2259">
      <formula>$P$188="In progress"</formula>
    </cfRule>
  </conditionalFormatting>
  <conditionalFormatting sqref="I188:R188">
    <cfRule type="expression" dxfId="2257" priority="2258">
      <formula>$P$188="Closed"</formula>
    </cfRule>
  </conditionalFormatting>
  <conditionalFormatting sqref="I188:R188">
    <cfRule type="expression" dxfId="2256" priority="2257">
      <formula>$P$188="Canceled"</formula>
    </cfRule>
  </conditionalFormatting>
  <conditionalFormatting sqref="I188:R188">
    <cfRule type="expression" dxfId="2255" priority="2256">
      <formula>$P$188="Suspended"</formula>
    </cfRule>
  </conditionalFormatting>
  <conditionalFormatting sqref="I188:R188">
    <cfRule type="expression" dxfId="2254" priority="2255">
      <formula>$P$188="Applied"</formula>
    </cfRule>
  </conditionalFormatting>
  <conditionalFormatting sqref="I188:R188">
    <cfRule type="expression" dxfId="2253" priority="2254">
      <formula>$P$188="N/A"</formula>
    </cfRule>
  </conditionalFormatting>
  <conditionalFormatting sqref="I188:R188">
    <cfRule type="expression" dxfId="2252" priority="2253">
      <formula>$P$188=""</formula>
    </cfRule>
  </conditionalFormatting>
  <conditionalFormatting sqref="I188:R188">
    <cfRule type="expression" dxfId="2251" priority="2252">
      <formula>$I$188="Module 1"</formula>
    </cfRule>
  </conditionalFormatting>
  <conditionalFormatting sqref="I188:R188">
    <cfRule type="expression" dxfId="2250" priority="2251">
      <formula>$I$188="Module 2"</formula>
    </cfRule>
  </conditionalFormatting>
  <conditionalFormatting sqref="I188:R188">
    <cfRule type="expression" dxfId="2249" priority="2250">
      <formula>$I$188="Module 3"</formula>
    </cfRule>
  </conditionalFormatting>
  <conditionalFormatting sqref="I188:R188">
    <cfRule type="expression" dxfId="2248" priority="2249">
      <formula>$I$188="or"</formula>
    </cfRule>
  </conditionalFormatting>
  <conditionalFormatting sqref="I188:R188">
    <cfRule type="expression" dxfId="2247" priority="2248">
      <formula>$I$188="Type 1"</formula>
    </cfRule>
  </conditionalFormatting>
  <conditionalFormatting sqref="I188:R188">
    <cfRule type="expression" dxfId="2246" priority="2247">
      <formula>$I$188="Type 2"</formula>
    </cfRule>
  </conditionalFormatting>
  <conditionalFormatting sqref="I188:R188">
    <cfRule type="expression" dxfId="2245" priority="2246">
      <formula>$I$188="Type 3"</formula>
    </cfRule>
  </conditionalFormatting>
  <conditionalFormatting sqref="L188">
    <cfRule type="expression" dxfId="2244" priority="2245">
      <formula>$L$188="1"</formula>
    </cfRule>
  </conditionalFormatting>
  <conditionalFormatting sqref="L188">
    <cfRule type="expression" dxfId="2243" priority="2244">
      <formula>$L$188="2"</formula>
    </cfRule>
  </conditionalFormatting>
  <conditionalFormatting sqref="L188">
    <cfRule type="expression" dxfId="2242" priority="2243">
      <formula>$L$188="3"</formula>
    </cfRule>
  </conditionalFormatting>
  <conditionalFormatting sqref="L188">
    <cfRule type="expression" dxfId="2241" priority="2242">
      <formula>$L$188="4"</formula>
    </cfRule>
  </conditionalFormatting>
  <conditionalFormatting sqref="L188">
    <cfRule type="expression" dxfId="2240" priority="2241">
      <formula>$L$188="5"</formula>
    </cfRule>
  </conditionalFormatting>
  <conditionalFormatting sqref="I189:R189">
    <cfRule type="expression" dxfId="2239" priority="2240">
      <formula>$P$189="Not started"</formula>
    </cfRule>
    <cfRule type="expression" dxfId="2238" priority="2229">
      <formula>$I$189="or"</formula>
    </cfRule>
    <cfRule type="expression" dxfId="2237" priority="2227">
      <formula>$I$189="Type 2"</formula>
    </cfRule>
  </conditionalFormatting>
  <conditionalFormatting sqref="I189:R189">
    <cfRule type="expression" dxfId="2236" priority="2239">
      <formula>$P$189="In progress"</formula>
    </cfRule>
  </conditionalFormatting>
  <conditionalFormatting sqref="I189:R189">
    <cfRule type="expression" dxfId="2235" priority="2238">
      <formula>$P$189="Closed"</formula>
    </cfRule>
  </conditionalFormatting>
  <conditionalFormatting sqref="I189:R189">
    <cfRule type="expression" dxfId="2234" priority="2237">
      <formula>$P$189="Canceled"</formula>
    </cfRule>
  </conditionalFormatting>
  <conditionalFormatting sqref="I189:R189">
    <cfRule type="expression" dxfId="2233" priority="2236">
      <formula>$P$189="Suspended"</formula>
    </cfRule>
  </conditionalFormatting>
  <conditionalFormatting sqref="I189:R189">
    <cfRule type="expression" dxfId="2232" priority="2235">
      <formula>$P$189="Applied"</formula>
    </cfRule>
  </conditionalFormatting>
  <conditionalFormatting sqref="I189:R189">
    <cfRule type="expression" dxfId="2231" priority="2234">
      <formula>$P$189="N/A"</formula>
    </cfRule>
  </conditionalFormatting>
  <conditionalFormatting sqref="I189:R189">
    <cfRule type="expression" dxfId="2230" priority="2233">
      <formula>$P$189=""</formula>
    </cfRule>
  </conditionalFormatting>
  <conditionalFormatting sqref="I189:R189">
    <cfRule type="expression" dxfId="2229" priority="2232">
      <formula>$I$189="Module 1"</formula>
    </cfRule>
  </conditionalFormatting>
  <conditionalFormatting sqref="I189:R189">
    <cfRule type="expression" dxfId="2228" priority="2231">
      <formula>$I$189="Module 2"</formula>
    </cfRule>
  </conditionalFormatting>
  <conditionalFormatting sqref="I189:R189">
    <cfRule type="expression" dxfId="2227" priority="2230">
      <formula>$I$189="Module 3"</formula>
    </cfRule>
    <cfRule type="expression" dxfId="2226" priority="2228">
      <formula>$I$189="Type 1"</formula>
    </cfRule>
    <cfRule type="expression" dxfId="2225" priority="2226">
      <formula>$I$189="Type 3"</formula>
    </cfRule>
  </conditionalFormatting>
  <conditionalFormatting sqref="L189">
    <cfRule type="expression" dxfId="2224" priority="2225">
      <formula>$L$189="1"</formula>
    </cfRule>
  </conditionalFormatting>
  <conditionalFormatting sqref="L189">
    <cfRule type="expression" dxfId="2223" priority="2224">
      <formula>$L$189="2"</formula>
    </cfRule>
  </conditionalFormatting>
  <conditionalFormatting sqref="L189">
    <cfRule type="expression" dxfId="2222" priority="2223">
      <formula>$L$189="3"</formula>
    </cfRule>
  </conditionalFormatting>
  <conditionalFormatting sqref="L189">
    <cfRule type="expression" dxfId="2221" priority="2222">
      <formula>$L$189="4"</formula>
    </cfRule>
  </conditionalFormatting>
  <conditionalFormatting sqref="L189">
    <cfRule type="expression" dxfId="2220" priority="2221">
      <formula>$L$189="5"</formula>
    </cfRule>
  </conditionalFormatting>
  <conditionalFormatting sqref="I190:R190">
    <cfRule type="expression" dxfId="2219" priority="2220">
      <formula>$P$190="Not started"</formula>
    </cfRule>
    <cfRule type="expression" dxfId="2218" priority="2209">
      <formula>$I$190="or"</formula>
    </cfRule>
    <cfRule type="expression" dxfId="2217" priority="2207">
      <formula>$I$190="Type 2"</formula>
    </cfRule>
  </conditionalFormatting>
  <conditionalFormatting sqref="I190:R190">
    <cfRule type="expression" dxfId="2216" priority="2219">
      <formula>$P$190="In progress"</formula>
    </cfRule>
  </conditionalFormatting>
  <conditionalFormatting sqref="I190:R190">
    <cfRule type="expression" dxfId="2215" priority="2218">
      <formula>$P$190="Closed"</formula>
    </cfRule>
  </conditionalFormatting>
  <conditionalFormatting sqref="I190:R190">
    <cfRule type="expression" dxfId="2214" priority="2217">
      <formula>$P$190="Canceled"</formula>
    </cfRule>
  </conditionalFormatting>
  <conditionalFormatting sqref="I190:R190">
    <cfRule type="expression" dxfId="2213" priority="2216">
      <formula>$P$190="Suspended"</formula>
    </cfRule>
  </conditionalFormatting>
  <conditionalFormatting sqref="I190:R190">
    <cfRule type="expression" dxfId="2212" priority="2215">
      <formula>$P$190="Applied"</formula>
    </cfRule>
  </conditionalFormatting>
  <conditionalFormatting sqref="I190:R190">
    <cfRule type="expression" dxfId="2211" priority="2214">
      <formula>$P$190="N/A"</formula>
    </cfRule>
  </conditionalFormatting>
  <conditionalFormatting sqref="I190:R190">
    <cfRule type="expression" dxfId="2210" priority="2213">
      <formula>$P$190=""</formula>
    </cfRule>
  </conditionalFormatting>
  <conditionalFormatting sqref="I190:R190">
    <cfRule type="expression" dxfId="2209" priority="2212">
      <formula>$I$190="Module 1"</formula>
    </cfRule>
  </conditionalFormatting>
  <conditionalFormatting sqref="I190:R190">
    <cfRule type="expression" dxfId="2208" priority="2211">
      <formula>$I$190="Module 2"</formula>
    </cfRule>
  </conditionalFormatting>
  <conditionalFormatting sqref="I190:R190">
    <cfRule type="expression" dxfId="2207" priority="2210">
      <formula>$I$190="Module 3"</formula>
    </cfRule>
    <cfRule type="expression" dxfId="2206" priority="2208">
      <formula>$I$190="Type 1"</formula>
    </cfRule>
    <cfRule type="expression" dxfId="2205" priority="2206">
      <formula>$I$190="Type 3"</formula>
    </cfRule>
  </conditionalFormatting>
  <conditionalFormatting sqref="L190">
    <cfRule type="expression" dxfId="2204" priority="2205">
      <formula>$L$190="1"</formula>
    </cfRule>
  </conditionalFormatting>
  <conditionalFormatting sqref="L190">
    <cfRule type="expression" dxfId="2203" priority="2204">
      <formula>$L$190="2"</formula>
    </cfRule>
  </conditionalFormatting>
  <conditionalFormatting sqref="L190">
    <cfRule type="expression" dxfId="2202" priority="2203">
      <formula>$L$190="3"</formula>
    </cfRule>
  </conditionalFormatting>
  <conditionalFormatting sqref="L190">
    <cfRule type="expression" dxfId="2201" priority="2202">
      <formula>$L$190="4"</formula>
    </cfRule>
  </conditionalFormatting>
  <conditionalFormatting sqref="L190">
    <cfRule type="expression" dxfId="2200" priority="2201">
      <formula>$L$190="5"</formula>
    </cfRule>
  </conditionalFormatting>
  <conditionalFormatting sqref="I191:R191">
    <cfRule type="expression" dxfId="2199" priority="2200">
      <formula>$P$191="Not started"</formula>
    </cfRule>
    <cfRule type="expression" dxfId="2198" priority="2189">
      <formula>$I$191="or"</formula>
    </cfRule>
    <cfRule type="expression" dxfId="2197" priority="2187">
      <formula>$I$191="Type 2"</formula>
    </cfRule>
  </conditionalFormatting>
  <conditionalFormatting sqref="I191:R191">
    <cfRule type="expression" dxfId="2196" priority="2199">
      <formula>$P$191="In progress"</formula>
    </cfRule>
  </conditionalFormatting>
  <conditionalFormatting sqref="I191:R191">
    <cfRule type="expression" dxfId="2195" priority="2198">
      <formula>$P$191="Closed"</formula>
    </cfRule>
  </conditionalFormatting>
  <conditionalFormatting sqref="I191:R191">
    <cfRule type="expression" dxfId="2194" priority="2197">
      <formula>$P$191="Canceled"</formula>
    </cfRule>
  </conditionalFormatting>
  <conditionalFormatting sqref="I191:R191">
    <cfRule type="expression" dxfId="2193" priority="2196">
      <formula>$P$191="Suspended"</formula>
    </cfRule>
  </conditionalFormatting>
  <conditionalFormatting sqref="I191:R191">
    <cfRule type="expression" dxfId="2192" priority="2195">
      <formula>$P$191="Applied"</formula>
    </cfRule>
  </conditionalFormatting>
  <conditionalFormatting sqref="I191:R191">
    <cfRule type="expression" dxfId="2191" priority="2194">
      <formula>$P$191="N/A"</formula>
    </cfRule>
  </conditionalFormatting>
  <conditionalFormatting sqref="I191:R191">
    <cfRule type="expression" dxfId="2190" priority="2193">
      <formula>$P$191=""</formula>
    </cfRule>
  </conditionalFormatting>
  <conditionalFormatting sqref="I191:R191">
    <cfRule type="expression" dxfId="2189" priority="2192">
      <formula>$I$191="Module 1"</formula>
    </cfRule>
  </conditionalFormatting>
  <conditionalFormatting sqref="I191:R191">
    <cfRule type="expression" dxfId="2188" priority="2191">
      <formula>$I$191="Module 2"</formula>
    </cfRule>
  </conditionalFormatting>
  <conditionalFormatting sqref="I191:R191">
    <cfRule type="expression" dxfId="2187" priority="2190">
      <formula>$I$191="Module 3"</formula>
    </cfRule>
    <cfRule type="expression" dxfId="2186" priority="2188">
      <formula>$I$191="Type 1"</formula>
    </cfRule>
    <cfRule type="expression" dxfId="2185" priority="2186">
      <formula>$I$191="Type 3"</formula>
    </cfRule>
  </conditionalFormatting>
  <conditionalFormatting sqref="L191">
    <cfRule type="expression" dxfId="2184" priority="2185">
      <formula>$L$191="1"</formula>
    </cfRule>
  </conditionalFormatting>
  <conditionalFormatting sqref="L191">
    <cfRule type="expression" dxfId="2183" priority="2184">
      <formula>$L$191="2"</formula>
    </cfRule>
  </conditionalFormatting>
  <conditionalFormatting sqref="L191">
    <cfRule type="expression" dxfId="2182" priority="2183">
      <formula>$L$191="3"</formula>
    </cfRule>
  </conditionalFormatting>
  <conditionalFormatting sqref="L191">
    <cfRule type="expression" dxfId="2181" priority="2182">
      <formula>$L$191="4"</formula>
    </cfRule>
  </conditionalFormatting>
  <conditionalFormatting sqref="L191">
    <cfRule type="expression" dxfId="2180" priority="2181">
      <formula>$L$191="5"</formula>
    </cfRule>
  </conditionalFormatting>
  <conditionalFormatting sqref="I192:R192">
    <cfRule type="expression" dxfId="2179" priority="2180">
      <formula>$P$192="Not started"</formula>
    </cfRule>
    <cfRule type="expression" dxfId="2178" priority="2169">
      <formula>$I$192="or"</formula>
    </cfRule>
    <cfRule type="expression" dxfId="2177" priority="2167">
      <formula>$I$192="Type 2"</formula>
    </cfRule>
  </conditionalFormatting>
  <conditionalFormatting sqref="I192:R192">
    <cfRule type="expression" dxfId="2176" priority="2179">
      <formula>$P$192="In progress"</formula>
    </cfRule>
  </conditionalFormatting>
  <conditionalFormatting sqref="I192:R192">
    <cfRule type="expression" dxfId="2175" priority="2178">
      <formula>$P$192="Closed"</formula>
    </cfRule>
  </conditionalFormatting>
  <conditionalFormatting sqref="I192:R192">
    <cfRule type="expression" dxfId="2174" priority="2177">
      <formula>$P$192="Canceled"</formula>
    </cfRule>
  </conditionalFormatting>
  <conditionalFormatting sqref="I192:R192">
    <cfRule type="expression" dxfId="2173" priority="2176">
      <formula>$P$192="Suspended"</formula>
    </cfRule>
  </conditionalFormatting>
  <conditionalFormatting sqref="I192:R192">
    <cfRule type="expression" dxfId="2172" priority="2175">
      <formula>$P$192="Applied"</formula>
    </cfRule>
  </conditionalFormatting>
  <conditionalFormatting sqref="I192:R192">
    <cfRule type="expression" dxfId="2171" priority="2174">
      <formula>$P$192="N/A"</formula>
    </cfRule>
  </conditionalFormatting>
  <conditionalFormatting sqref="I192:R192">
    <cfRule type="expression" dxfId="2170" priority="2173">
      <formula>$P$192=""</formula>
    </cfRule>
  </conditionalFormatting>
  <conditionalFormatting sqref="I192:R192">
    <cfRule type="expression" dxfId="2169" priority="2172">
      <formula>$I$192="Module 1"</formula>
    </cfRule>
  </conditionalFormatting>
  <conditionalFormatting sqref="I192:R192">
    <cfRule type="expression" dxfId="2168" priority="2171">
      <formula>$I$192="Module 2"</formula>
    </cfRule>
  </conditionalFormatting>
  <conditionalFormatting sqref="I192:R192">
    <cfRule type="expression" dxfId="2167" priority="2170">
      <formula>$I$192="Module 3"</formula>
    </cfRule>
    <cfRule type="expression" dxfId="2166" priority="2168">
      <formula>$I$192="Type 1"</formula>
    </cfRule>
    <cfRule type="expression" dxfId="2165" priority="2166">
      <formula>$I$192="Type 3"</formula>
    </cfRule>
  </conditionalFormatting>
  <conditionalFormatting sqref="L192">
    <cfRule type="expression" dxfId="2164" priority="2165">
      <formula>$L$192="1"</formula>
    </cfRule>
  </conditionalFormatting>
  <conditionalFormatting sqref="L192">
    <cfRule type="expression" dxfId="2163" priority="2164">
      <formula>$L$192="2"</formula>
    </cfRule>
  </conditionalFormatting>
  <conditionalFormatting sqref="L192">
    <cfRule type="expression" dxfId="2162" priority="2163">
      <formula>$L$192="3"</formula>
    </cfRule>
  </conditionalFormatting>
  <conditionalFormatting sqref="L192">
    <cfRule type="expression" dxfId="2161" priority="2162">
      <formula>$L$192="4"</formula>
    </cfRule>
  </conditionalFormatting>
  <conditionalFormatting sqref="L192">
    <cfRule type="expression" dxfId="2160" priority="2161">
      <formula>$L$192="5"</formula>
    </cfRule>
  </conditionalFormatting>
  <conditionalFormatting sqref="I193:R193">
    <cfRule type="expression" dxfId="2159" priority="2160">
      <formula>$P$193="Not started"</formula>
    </cfRule>
    <cfRule type="expression" dxfId="2158" priority="2149">
      <formula>$I$193="or"</formula>
    </cfRule>
    <cfRule type="expression" dxfId="2157" priority="2147">
      <formula>$I$193="Type 2"</formula>
    </cfRule>
  </conditionalFormatting>
  <conditionalFormatting sqref="I193:R193">
    <cfRule type="expression" dxfId="2156" priority="2159">
      <formula>$P$193="In progress"</formula>
    </cfRule>
  </conditionalFormatting>
  <conditionalFormatting sqref="I193:R193">
    <cfRule type="expression" dxfId="2155" priority="2158">
      <formula>$P$193="Closed"</formula>
    </cfRule>
  </conditionalFormatting>
  <conditionalFormatting sqref="I193:R193">
    <cfRule type="expression" dxfId="2154" priority="2157">
      <formula>$P$193="Canceled"</formula>
    </cfRule>
  </conditionalFormatting>
  <conditionalFormatting sqref="I193:R193">
    <cfRule type="expression" dxfId="2153" priority="2156">
      <formula>$P$193="Suspended"</formula>
    </cfRule>
  </conditionalFormatting>
  <conditionalFormatting sqref="I193:R193">
    <cfRule type="expression" dxfId="2152" priority="2155">
      <formula>$P$193="Applied"</formula>
    </cfRule>
  </conditionalFormatting>
  <conditionalFormatting sqref="I193:R193">
    <cfRule type="expression" dxfId="2151" priority="2154">
      <formula>$P$193="N/A"</formula>
    </cfRule>
  </conditionalFormatting>
  <conditionalFormatting sqref="I193:R193">
    <cfRule type="expression" dxfId="2150" priority="2153">
      <formula>$P$193=""</formula>
    </cfRule>
  </conditionalFormatting>
  <conditionalFormatting sqref="I193:R193">
    <cfRule type="expression" dxfId="2149" priority="2152">
      <formula>$I$193="Module 1"</formula>
    </cfRule>
  </conditionalFormatting>
  <conditionalFormatting sqref="I193:R193">
    <cfRule type="expression" dxfId="2148" priority="2151">
      <formula>$I$193="Module 2"</formula>
    </cfRule>
  </conditionalFormatting>
  <conditionalFormatting sqref="I193:R193">
    <cfRule type="expression" dxfId="2147" priority="2150">
      <formula>$I$193="Module 3"</formula>
    </cfRule>
    <cfRule type="expression" dxfId="2146" priority="2148">
      <formula>$I$193="Type 1"</formula>
    </cfRule>
    <cfRule type="expression" dxfId="2145" priority="2146">
      <formula>$I$193="Type 3"</formula>
    </cfRule>
  </conditionalFormatting>
  <conditionalFormatting sqref="L193">
    <cfRule type="expression" dxfId="2144" priority="2145">
      <formula>$L$193="1"</formula>
    </cfRule>
  </conditionalFormatting>
  <conditionalFormatting sqref="L193">
    <cfRule type="expression" dxfId="2143" priority="2144">
      <formula>$L$193="2"</formula>
    </cfRule>
  </conditionalFormatting>
  <conditionalFormatting sqref="L193">
    <cfRule type="expression" dxfId="2142" priority="2143">
      <formula>$L$193="3"</formula>
    </cfRule>
  </conditionalFormatting>
  <conditionalFormatting sqref="L193">
    <cfRule type="expression" dxfId="2141" priority="2142">
      <formula>$L$193="4"</formula>
    </cfRule>
  </conditionalFormatting>
  <conditionalFormatting sqref="L193">
    <cfRule type="expression" dxfId="2140" priority="2141">
      <formula>$L$193="5"</formula>
    </cfRule>
  </conditionalFormatting>
  <conditionalFormatting sqref="I194:R194">
    <cfRule type="expression" dxfId="2139" priority="2140">
      <formula>$P$194="Not started"</formula>
    </cfRule>
    <cfRule type="expression" dxfId="2138" priority="2129">
      <formula>$I$194="or"</formula>
    </cfRule>
    <cfRule type="expression" dxfId="2137" priority="2127">
      <formula>$I$194="Type 2"</formula>
    </cfRule>
  </conditionalFormatting>
  <conditionalFormatting sqref="I194:R194">
    <cfRule type="expression" dxfId="2136" priority="2139">
      <formula>$P$194="In progress"</formula>
    </cfRule>
  </conditionalFormatting>
  <conditionalFormatting sqref="I194:R194">
    <cfRule type="expression" dxfId="2135" priority="2138">
      <formula>$P$194="Closed"</formula>
    </cfRule>
  </conditionalFormatting>
  <conditionalFormatting sqref="I194:R194">
    <cfRule type="expression" dxfId="2134" priority="2137">
      <formula>$P$194="Canceled"</formula>
    </cfRule>
  </conditionalFormatting>
  <conditionalFormatting sqref="I194:R194">
    <cfRule type="expression" dxfId="2133" priority="2136">
      <formula>$P$194="Suspended"</formula>
    </cfRule>
  </conditionalFormatting>
  <conditionalFormatting sqref="I194:R194">
    <cfRule type="expression" dxfId="2132" priority="2135">
      <formula>$P$194="Applied"</formula>
    </cfRule>
  </conditionalFormatting>
  <conditionalFormatting sqref="I194:R194">
    <cfRule type="expression" dxfId="2131" priority="2134">
      <formula>$P$194="N/A"</formula>
    </cfRule>
  </conditionalFormatting>
  <conditionalFormatting sqref="I194:R194">
    <cfRule type="expression" dxfId="2130" priority="2133">
      <formula>$P$194=""</formula>
    </cfRule>
  </conditionalFormatting>
  <conditionalFormatting sqref="I194:R194">
    <cfRule type="expression" dxfId="2129" priority="2132">
      <formula>$I$194="Module 1"</formula>
    </cfRule>
  </conditionalFormatting>
  <conditionalFormatting sqref="I194:R194">
    <cfRule type="expression" dxfId="2128" priority="2131">
      <formula>$I$194="Module 2"</formula>
    </cfRule>
  </conditionalFormatting>
  <conditionalFormatting sqref="I194:R194">
    <cfRule type="expression" dxfId="2127" priority="2130">
      <formula>$I$194="Module 3"</formula>
    </cfRule>
    <cfRule type="expression" dxfId="2126" priority="2128">
      <formula>$I$194="Type 1"</formula>
    </cfRule>
    <cfRule type="expression" dxfId="2125" priority="2126">
      <formula>$I$194="Type 3"</formula>
    </cfRule>
  </conditionalFormatting>
  <conditionalFormatting sqref="L194">
    <cfRule type="expression" dxfId="2124" priority="2125">
      <formula>$L$194="1"</formula>
    </cfRule>
  </conditionalFormatting>
  <conditionalFormatting sqref="L194">
    <cfRule type="expression" dxfId="2123" priority="2124">
      <formula>$L$194="2"</formula>
    </cfRule>
  </conditionalFormatting>
  <conditionalFormatting sqref="L194">
    <cfRule type="expression" dxfId="2122" priority="2123">
      <formula>$L$194="3"</formula>
    </cfRule>
  </conditionalFormatting>
  <conditionalFormatting sqref="L194">
    <cfRule type="expression" dxfId="2121" priority="2122">
      <formula>$L$194="4"</formula>
    </cfRule>
  </conditionalFormatting>
  <conditionalFormatting sqref="L194">
    <cfRule type="expression" dxfId="2120" priority="2121">
      <formula>$L$194="5"</formula>
    </cfRule>
  </conditionalFormatting>
  <conditionalFormatting sqref="I195:R195">
    <cfRule type="expression" dxfId="2119" priority="2120">
      <formula>$P$195="Not started"</formula>
    </cfRule>
    <cfRule type="expression" dxfId="2118" priority="2109">
      <formula>$I$195="or"</formula>
    </cfRule>
    <cfRule type="expression" dxfId="2117" priority="2107">
      <formula>$I$195="Type 2"</formula>
    </cfRule>
  </conditionalFormatting>
  <conditionalFormatting sqref="I195:R195">
    <cfRule type="expression" dxfId="2116" priority="2119">
      <formula>$P$195="In progress"</formula>
    </cfRule>
  </conditionalFormatting>
  <conditionalFormatting sqref="I195:R195">
    <cfRule type="expression" dxfId="2115" priority="2118">
      <formula>$P$195="Closed"</formula>
    </cfRule>
  </conditionalFormatting>
  <conditionalFormatting sqref="I195:R195">
    <cfRule type="expression" dxfId="2114" priority="2117">
      <formula>$P$195="Canceled"</formula>
    </cfRule>
  </conditionalFormatting>
  <conditionalFormatting sqref="I195:R195">
    <cfRule type="expression" dxfId="2113" priority="2116">
      <formula>$P$195="Suspended"</formula>
    </cfRule>
  </conditionalFormatting>
  <conditionalFormatting sqref="I195:R195">
    <cfRule type="expression" dxfId="2112" priority="2115">
      <formula>$P$195="Applied"</formula>
    </cfRule>
  </conditionalFormatting>
  <conditionalFormatting sqref="I195:R195">
    <cfRule type="expression" dxfId="2111" priority="2114">
      <formula>$P$195="N/A"</formula>
    </cfRule>
  </conditionalFormatting>
  <conditionalFormatting sqref="I195:R195">
    <cfRule type="expression" dxfId="2110" priority="2113">
      <formula>$P$195=""</formula>
    </cfRule>
  </conditionalFormatting>
  <conditionalFormatting sqref="I195:R195">
    <cfRule type="expression" dxfId="2109" priority="2112">
      <formula>$I$195="Module 1"</formula>
    </cfRule>
  </conditionalFormatting>
  <conditionalFormatting sqref="I195:R195">
    <cfRule type="expression" dxfId="2108" priority="2111">
      <formula>$I$195="Module 2"</formula>
    </cfRule>
  </conditionalFormatting>
  <conditionalFormatting sqref="I195:R195">
    <cfRule type="expression" dxfId="2107" priority="2110">
      <formula>$I$195="Module 3"</formula>
    </cfRule>
    <cfRule type="expression" dxfId="2106" priority="2108">
      <formula>$I$195="Type 1"</formula>
    </cfRule>
    <cfRule type="expression" dxfId="2105" priority="2106">
      <formula>$I$195="Type 3"</formula>
    </cfRule>
  </conditionalFormatting>
  <conditionalFormatting sqref="L195">
    <cfRule type="expression" dxfId="2104" priority="2105">
      <formula>$L$195="1"</formula>
    </cfRule>
  </conditionalFormatting>
  <conditionalFormatting sqref="L195">
    <cfRule type="expression" dxfId="2103" priority="2104">
      <formula>$L$195="2"</formula>
    </cfRule>
  </conditionalFormatting>
  <conditionalFormatting sqref="L195">
    <cfRule type="expression" dxfId="2102" priority="2103">
      <formula>$L$195="3"</formula>
    </cfRule>
  </conditionalFormatting>
  <conditionalFormatting sqref="L195">
    <cfRule type="expression" dxfId="2101" priority="2102">
      <formula>$L$195="4"</formula>
    </cfRule>
  </conditionalFormatting>
  <conditionalFormatting sqref="L195">
    <cfRule type="expression" dxfId="2100" priority="2101">
      <formula>$L$195="5"</formula>
    </cfRule>
  </conditionalFormatting>
  <conditionalFormatting sqref="I196:R196">
    <cfRule type="expression" dxfId="2099" priority="2100">
      <formula>$P$196="Not started"</formula>
    </cfRule>
    <cfRule type="expression" dxfId="2098" priority="2089">
      <formula>$I$196="or"</formula>
    </cfRule>
    <cfRule type="expression" dxfId="2097" priority="2087">
      <formula>$I$196="Type 2"</formula>
    </cfRule>
  </conditionalFormatting>
  <conditionalFormatting sqref="I196:R196">
    <cfRule type="expression" dxfId="2096" priority="2099">
      <formula>$P$196="In progress"</formula>
    </cfRule>
  </conditionalFormatting>
  <conditionalFormatting sqref="I196:R196">
    <cfRule type="expression" dxfId="2095" priority="2098">
      <formula>$P$196="Closed"</formula>
    </cfRule>
  </conditionalFormatting>
  <conditionalFormatting sqref="I196:R196">
    <cfRule type="expression" dxfId="2094" priority="2097">
      <formula>$P$196="Canceled"</formula>
    </cfRule>
  </conditionalFormatting>
  <conditionalFormatting sqref="I196:R196">
    <cfRule type="expression" dxfId="2093" priority="2096">
      <formula>$P$196="Suspended"</formula>
    </cfRule>
  </conditionalFormatting>
  <conditionalFormatting sqref="I196:R196">
    <cfRule type="expression" dxfId="2092" priority="2095">
      <formula>$P$196="Applied"</formula>
    </cfRule>
  </conditionalFormatting>
  <conditionalFormatting sqref="I196:R196">
    <cfRule type="expression" dxfId="2091" priority="2094">
      <formula>$P$196="N/A"</formula>
    </cfRule>
  </conditionalFormatting>
  <conditionalFormatting sqref="I196:R196">
    <cfRule type="expression" dxfId="2090" priority="2093">
      <formula>$P$196=""</formula>
    </cfRule>
  </conditionalFormatting>
  <conditionalFormatting sqref="I196:R196">
    <cfRule type="expression" dxfId="2089" priority="2092">
      <formula>$I$196="Module 1"</formula>
    </cfRule>
  </conditionalFormatting>
  <conditionalFormatting sqref="I196:R196">
    <cfRule type="expression" dxfId="2088" priority="2091">
      <formula>$I$196="Module 2"</formula>
    </cfRule>
  </conditionalFormatting>
  <conditionalFormatting sqref="I196:R196">
    <cfRule type="expression" dxfId="2087" priority="2090">
      <formula>$I$196="Module 3"</formula>
    </cfRule>
    <cfRule type="expression" dxfId="2086" priority="2088">
      <formula>$I$196="Type 1"</formula>
    </cfRule>
    <cfRule type="expression" dxfId="2085" priority="2086">
      <formula>$I$196="Type 3"</formula>
    </cfRule>
  </conditionalFormatting>
  <conditionalFormatting sqref="L196">
    <cfRule type="expression" dxfId="2084" priority="2085">
      <formula>$L$196="1"</formula>
    </cfRule>
  </conditionalFormatting>
  <conditionalFormatting sqref="L196">
    <cfRule type="expression" dxfId="2083" priority="2084">
      <formula>$L$196="2"</formula>
    </cfRule>
  </conditionalFormatting>
  <conditionalFormatting sqref="L196">
    <cfRule type="expression" dxfId="2082" priority="2083">
      <formula>$L$196="3"</formula>
    </cfRule>
  </conditionalFormatting>
  <conditionalFormatting sqref="L196">
    <cfRule type="expression" dxfId="2081" priority="2082">
      <formula>$L$196="4"</formula>
    </cfRule>
  </conditionalFormatting>
  <conditionalFormatting sqref="L196">
    <cfRule type="expression" dxfId="2080" priority="2081">
      <formula>$L$196="5"</formula>
    </cfRule>
  </conditionalFormatting>
  <conditionalFormatting sqref="I197:R197">
    <cfRule type="expression" dxfId="2079" priority="2080">
      <formula>$P$197="Not started"</formula>
    </cfRule>
    <cfRule type="expression" dxfId="2078" priority="2069">
      <formula>$I$197="or"</formula>
    </cfRule>
    <cfRule type="expression" dxfId="2077" priority="2067">
      <formula>$I$197="Type 2"</formula>
    </cfRule>
  </conditionalFormatting>
  <conditionalFormatting sqref="I197:R197">
    <cfRule type="expression" dxfId="2076" priority="2079">
      <formula>$P$197="In progress"</formula>
    </cfRule>
  </conditionalFormatting>
  <conditionalFormatting sqref="I197:R197">
    <cfRule type="expression" dxfId="2075" priority="2078">
      <formula>$P$197="Closed"</formula>
    </cfRule>
  </conditionalFormatting>
  <conditionalFormatting sqref="I197:R197">
    <cfRule type="expression" dxfId="2074" priority="2077">
      <formula>$P$197="Canceled"</formula>
    </cfRule>
  </conditionalFormatting>
  <conditionalFormatting sqref="I197:R197">
    <cfRule type="expression" dxfId="2073" priority="2076">
      <formula>$P$197="Suspended"</formula>
    </cfRule>
  </conditionalFormatting>
  <conditionalFormatting sqref="I197:R197">
    <cfRule type="expression" dxfId="2072" priority="2075">
      <formula>$P$197="Applied"</formula>
    </cfRule>
  </conditionalFormatting>
  <conditionalFormatting sqref="I197:R197">
    <cfRule type="expression" dxfId="2071" priority="2074">
      <formula>$P$197="N/A"</formula>
    </cfRule>
  </conditionalFormatting>
  <conditionalFormatting sqref="I197:R197">
    <cfRule type="expression" dxfId="2070" priority="2073">
      <formula>$P$197=""</formula>
    </cfRule>
  </conditionalFormatting>
  <conditionalFormatting sqref="I197:R197">
    <cfRule type="expression" dxfId="2069" priority="2072">
      <formula>$I$197="Module 1"</formula>
    </cfRule>
  </conditionalFormatting>
  <conditionalFormatting sqref="I197:R197">
    <cfRule type="expression" dxfId="2068" priority="2071">
      <formula>$I$197="Module 2"</formula>
    </cfRule>
  </conditionalFormatting>
  <conditionalFormatting sqref="I197:R197">
    <cfRule type="expression" dxfId="2067" priority="2070">
      <formula>$I$197="Module 3"</formula>
    </cfRule>
    <cfRule type="expression" dxfId="2066" priority="2068">
      <formula>$I$197="Type 1"</formula>
    </cfRule>
    <cfRule type="expression" dxfId="2065" priority="2066">
      <formula>$I$197="Type 3"</formula>
    </cfRule>
  </conditionalFormatting>
  <conditionalFormatting sqref="L197">
    <cfRule type="expression" dxfId="2064" priority="2065">
      <formula>$L$197="1"</formula>
    </cfRule>
  </conditionalFormatting>
  <conditionalFormatting sqref="L197">
    <cfRule type="expression" dxfId="2063" priority="2064">
      <formula>$L$197="2"</formula>
    </cfRule>
  </conditionalFormatting>
  <conditionalFormatting sqref="L197">
    <cfRule type="expression" dxfId="2062" priority="2063">
      <formula>$L$197="3"</formula>
    </cfRule>
  </conditionalFormatting>
  <conditionalFormatting sqref="L197">
    <cfRule type="expression" dxfId="2061" priority="2062">
      <formula>$L$197="4"</formula>
    </cfRule>
  </conditionalFormatting>
  <conditionalFormatting sqref="L197">
    <cfRule type="expression" dxfId="2060" priority="2061">
      <formula>$L$197="5"</formula>
    </cfRule>
  </conditionalFormatting>
  <conditionalFormatting sqref="I198:R198">
    <cfRule type="expression" dxfId="2059" priority="2060">
      <formula>$P$198="Not started"</formula>
    </cfRule>
  </conditionalFormatting>
  <conditionalFormatting sqref="I198:R198">
    <cfRule type="expression" dxfId="2058" priority="2059">
      <formula>$P$198="In progress"</formula>
    </cfRule>
  </conditionalFormatting>
  <conditionalFormatting sqref="I198:R198">
    <cfRule type="expression" dxfId="2057" priority="2058">
      <formula>$P$198="Closed"</formula>
    </cfRule>
  </conditionalFormatting>
  <conditionalFormatting sqref="I198:R198">
    <cfRule type="expression" dxfId="2056" priority="2057">
      <formula>$P$198="Canceled"</formula>
    </cfRule>
  </conditionalFormatting>
  <conditionalFormatting sqref="I198:R198">
    <cfRule type="expression" dxfId="2055" priority="2056">
      <formula>$P$198="Suspended"</formula>
    </cfRule>
  </conditionalFormatting>
  <conditionalFormatting sqref="I198:R198">
    <cfRule type="expression" dxfId="2054" priority="2055">
      <formula>$P$198="Applied"</formula>
    </cfRule>
  </conditionalFormatting>
  <conditionalFormatting sqref="I198:R198">
    <cfRule type="expression" dxfId="2053" priority="2054">
      <formula>$P$198="N/A"</formula>
    </cfRule>
  </conditionalFormatting>
  <conditionalFormatting sqref="I198:R198">
    <cfRule type="expression" dxfId="2052" priority="2053">
      <formula>$P$198=""</formula>
    </cfRule>
  </conditionalFormatting>
  <conditionalFormatting sqref="I198:R198">
    <cfRule type="expression" dxfId="2051" priority="2052">
      <formula>$I$198="Module 1"</formula>
    </cfRule>
  </conditionalFormatting>
  <conditionalFormatting sqref="I198:R198">
    <cfRule type="expression" dxfId="2050" priority="2051">
      <formula>$I$198="Module 2"</formula>
    </cfRule>
  </conditionalFormatting>
  <conditionalFormatting sqref="I198:R198">
    <cfRule type="expression" dxfId="2049" priority="2050">
      <formula>$I$198="Module 3"</formula>
    </cfRule>
  </conditionalFormatting>
  <conditionalFormatting sqref="I198:R198">
    <cfRule type="expression" dxfId="2048" priority="2049">
      <formula>$I$198="or"</formula>
    </cfRule>
  </conditionalFormatting>
  <conditionalFormatting sqref="I198:R198">
    <cfRule type="expression" dxfId="2047" priority="2048">
      <formula>$I$198="Type 1"</formula>
    </cfRule>
  </conditionalFormatting>
  <conditionalFormatting sqref="I198:R198">
    <cfRule type="expression" dxfId="2046" priority="2047">
      <formula>$I$198="Type 2"</formula>
    </cfRule>
  </conditionalFormatting>
  <conditionalFormatting sqref="I198:R198">
    <cfRule type="expression" dxfId="2045" priority="2046">
      <formula>$I$198="Type 3"</formula>
    </cfRule>
  </conditionalFormatting>
  <conditionalFormatting sqref="L198">
    <cfRule type="expression" dxfId="2044" priority="2045">
      <formula>$L$198="1"</formula>
    </cfRule>
  </conditionalFormatting>
  <conditionalFormatting sqref="L198">
    <cfRule type="expression" dxfId="2043" priority="2044">
      <formula>$L$198="2"</formula>
    </cfRule>
  </conditionalFormatting>
  <conditionalFormatting sqref="L198">
    <cfRule type="expression" dxfId="2042" priority="2043">
      <formula>$L$198="3"</formula>
    </cfRule>
  </conditionalFormatting>
  <conditionalFormatting sqref="L198">
    <cfRule type="expression" dxfId="2041" priority="2042">
      <formula>$L$198="4"</formula>
    </cfRule>
  </conditionalFormatting>
  <conditionalFormatting sqref="L198">
    <cfRule type="expression" dxfId="2040" priority="2041">
      <formula>$L$198="5"</formula>
    </cfRule>
  </conditionalFormatting>
  <conditionalFormatting sqref="I199:R199">
    <cfRule type="expression" dxfId="2039" priority="2040">
      <formula>$P$199="Not started"</formula>
    </cfRule>
    <cfRule type="expression" dxfId="2038" priority="2029">
      <formula>$I$199="or"</formula>
    </cfRule>
    <cfRule type="expression" dxfId="2037" priority="2027">
      <formula>$I$199="Type 2"</formula>
    </cfRule>
  </conditionalFormatting>
  <conditionalFormatting sqref="I199:R199">
    <cfRule type="expression" dxfId="2036" priority="2039">
      <formula>$P$199="In progress"</formula>
    </cfRule>
  </conditionalFormatting>
  <conditionalFormatting sqref="I199:R199">
    <cfRule type="expression" dxfId="2035" priority="2038">
      <formula>$P$199="Closed"</formula>
    </cfRule>
  </conditionalFormatting>
  <conditionalFormatting sqref="I199:R199">
    <cfRule type="expression" dxfId="2034" priority="2037">
      <formula>$P$199="Canceled"</formula>
    </cfRule>
  </conditionalFormatting>
  <conditionalFormatting sqref="I199:R199">
    <cfRule type="expression" dxfId="2033" priority="2036">
      <formula>$P$199="Suspended"</formula>
    </cfRule>
  </conditionalFormatting>
  <conditionalFormatting sqref="I199:R199">
    <cfRule type="expression" dxfId="2032" priority="2035">
      <formula>$P$199="Applied"</formula>
    </cfRule>
  </conditionalFormatting>
  <conditionalFormatting sqref="I199:R199">
    <cfRule type="expression" dxfId="2031" priority="2034">
      <formula>$P$199="N/A"</formula>
    </cfRule>
  </conditionalFormatting>
  <conditionalFormatting sqref="I199:R199">
    <cfRule type="expression" dxfId="2030" priority="2033">
      <formula>$P$199=""</formula>
    </cfRule>
  </conditionalFormatting>
  <conditionalFormatting sqref="I199:R199">
    <cfRule type="expression" dxfId="2029" priority="2032">
      <formula>$I$199="Module 1"</formula>
    </cfRule>
  </conditionalFormatting>
  <conditionalFormatting sqref="I199:R199">
    <cfRule type="expression" dxfId="2028" priority="2031">
      <formula>$I$199="Module 2"</formula>
    </cfRule>
  </conditionalFormatting>
  <conditionalFormatting sqref="I199:R199">
    <cfRule type="expression" dxfId="2027" priority="2030">
      <formula>$I$199="Module 3"</formula>
    </cfRule>
    <cfRule type="expression" dxfId="2026" priority="2028">
      <formula>$I$199="Type 1"</formula>
    </cfRule>
    <cfRule type="expression" dxfId="2025" priority="2026">
      <formula>$I$199="Type 3"</formula>
    </cfRule>
  </conditionalFormatting>
  <conditionalFormatting sqref="L199">
    <cfRule type="expression" dxfId="2024" priority="2025">
      <formula>$L$199="1"</formula>
    </cfRule>
  </conditionalFormatting>
  <conditionalFormatting sqref="L199">
    <cfRule type="expression" dxfId="2023" priority="2024">
      <formula>$L$199="2"</formula>
    </cfRule>
  </conditionalFormatting>
  <conditionalFormatting sqref="L199">
    <cfRule type="expression" dxfId="2022" priority="2023">
      <formula>$L$199="3"</formula>
    </cfRule>
  </conditionalFormatting>
  <conditionalFormatting sqref="L199">
    <cfRule type="expression" dxfId="2021" priority="2022">
      <formula>$L$199="4"</formula>
    </cfRule>
  </conditionalFormatting>
  <conditionalFormatting sqref="L199">
    <cfRule type="expression" dxfId="2020" priority="2021">
      <formula>$L$199="5"</formula>
    </cfRule>
  </conditionalFormatting>
  <conditionalFormatting sqref="I200:R200">
    <cfRule type="expression" dxfId="2019" priority="2020">
      <formula>$P$200="Not started"</formula>
    </cfRule>
    <cfRule type="expression" dxfId="2018" priority="2009">
      <formula>$I$200="or"</formula>
    </cfRule>
    <cfRule type="expression" dxfId="2017" priority="2007">
      <formula>$I$200="Type 2"</formula>
    </cfRule>
  </conditionalFormatting>
  <conditionalFormatting sqref="I200:R200">
    <cfRule type="expression" dxfId="2016" priority="2019">
      <formula>$P$200="In progress"</formula>
    </cfRule>
  </conditionalFormatting>
  <conditionalFormatting sqref="I200:R200">
    <cfRule type="expression" dxfId="2015" priority="2018">
      <formula>$P$200="Closed"</formula>
    </cfRule>
  </conditionalFormatting>
  <conditionalFormatting sqref="I200:R200">
    <cfRule type="expression" dxfId="2014" priority="2017">
      <formula>$P$200="Canceled"</formula>
    </cfRule>
  </conditionalFormatting>
  <conditionalFormatting sqref="I200:R200">
    <cfRule type="expression" dxfId="2013" priority="2016">
      <formula>$P$200="Suspended"</formula>
    </cfRule>
  </conditionalFormatting>
  <conditionalFormatting sqref="I200:R200">
    <cfRule type="expression" dxfId="2012" priority="2015">
      <formula>$P$200="Applied"</formula>
    </cfRule>
  </conditionalFormatting>
  <conditionalFormatting sqref="I200:R200">
    <cfRule type="expression" dxfId="2011" priority="2014">
      <formula>$P$200="N/A"</formula>
    </cfRule>
  </conditionalFormatting>
  <conditionalFormatting sqref="I200:R200">
    <cfRule type="expression" dxfId="2010" priority="2013">
      <formula>$P$200=""</formula>
    </cfRule>
  </conditionalFormatting>
  <conditionalFormatting sqref="I200:R200">
    <cfRule type="expression" dxfId="2009" priority="2012">
      <formula>$I$200="Module 1"</formula>
    </cfRule>
  </conditionalFormatting>
  <conditionalFormatting sqref="I200:R200">
    <cfRule type="expression" dxfId="2008" priority="2011">
      <formula>$I$200="Module 2"</formula>
    </cfRule>
  </conditionalFormatting>
  <conditionalFormatting sqref="I200:R200">
    <cfRule type="expression" dxfId="2007" priority="2010">
      <formula>$I$200="Module 3"</formula>
    </cfRule>
    <cfRule type="expression" dxfId="2006" priority="2008">
      <formula>$I$200="Type 1"</formula>
    </cfRule>
    <cfRule type="expression" dxfId="2005" priority="2006">
      <formula>$I$200="Type 3"</formula>
    </cfRule>
  </conditionalFormatting>
  <conditionalFormatting sqref="L200">
    <cfRule type="expression" dxfId="2004" priority="2005">
      <formula>$L$200="1"</formula>
    </cfRule>
  </conditionalFormatting>
  <conditionalFormatting sqref="L200">
    <cfRule type="expression" dxfId="2003" priority="2004">
      <formula>$L$200="2"</formula>
    </cfRule>
  </conditionalFormatting>
  <conditionalFormatting sqref="L200">
    <cfRule type="expression" dxfId="2002" priority="2003">
      <formula>$L$200="3"</formula>
    </cfRule>
  </conditionalFormatting>
  <conditionalFormatting sqref="L200">
    <cfRule type="expression" dxfId="2001" priority="2002">
      <formula>$L$200="4"</formula>
    </cfRule>
  </conditionalFormatting>
  <conditionalFormatting sqref="L200">
    <cfRule type="expression" dxfId="2000" priority="2001">
      <formula>$L$200="5"</formula>
    </cfRule>
  </conditionalFormatting>
  <conditionalFormatting sqref="I201:R201">
    <cfRule type="expression" dxfId="1999" priority="2000">
      <formula>$P$201="Not started"</formula>
    </cfRule>
    <cfRule type="expression" dxfId="1998" priority="1989">
      <formula>$I$201="or"</formula>
    </cfRule>
    <cfRule type="expression" dxfId="1997" priority="1987">
      <formula>$I$201="Type 2"</formula>
    </cfRule>
  </conditionalFormatting>
  <conditionalFormatting sqref="I201:R201">
    <cfRule type="expression" dxfId="1996" priority="1999">
      <formula>$P$201="In progress"</formula>
    </cfRule>
  </conditionalFormatting>
  <conditionalFormatting sqref="I201:R201">
    <cfRule type="expression" dxfId="1995" priority="1998">
      <formula>$P$201="Closed"</formula>
    </cfRule>
  </conditionalFormatting>
  <conditionalFormatting sqref="I201:R201">
    <cfRule type="expression" dxfId="1994" priority="1997">
      <formula>$P$201="Canceled"</formula>
    </cfRule>
  </conditionalFormatting>
  <conditionalFormatting sqref="I201:R201">
    <cfRule type="expression" dxfId="1993" priority="1996">
      <formula>$P$201="Suspended"</formula>
    </cfRule>
  </conditionalFormatting>
  <conditionalFormatting sqref="I201:R201">
    <cfRule type="expression" dxfId="1992" priority="1995">
      <formula>$P$201="Applied"</formula>
    </cfRule>
  </conditionalFormatting>
  <conditionalFormatting sqref="I201:R201">
    <cfRule type="expression" dxfId="1991" priority="1994">
      <formula>$P$201="N/A"</formula>
    </cfRule>
  </conditionalFormatting>
  <conditionalFormatting sqref="I201:R201">
    <cfRule type="expression" dxfId="1990" priority="1993">
      <formula>$P$201=""</formula>
    </cfRule>
  </conditionalFormatting>
  <conditionalFormatting sqref="I201:R201">
    <cfRule type="expression" dxfId="1989" priority="1992">
      <formula>$I$201="Module 1"</formula>
    </cfRule>
  </conditionalFormatting>
  <conditionalFormatting sqref="I201:R201">
    <cfRule type="expression" dxfId="1988" priority="1991">
      <formula>$I$201="Module 2"</formula>
    </cfRule>
  </conditionalFormatting>
  <conditionalFormatting sqref="I201:R201">
    <cfRule type="expression" dxfId="1987" priority="1990">
      <formula>$I$201="Module 3"</formula>
    </cfRule>
    <cfRule type="expression" dxfId="1986" priority="1988">
      <formula>$I$201="Type 1"</formula>
    </cfRule>
    <cfRule type="expression" dxfId="1985" priority="1986">
      <formula>$I$201="Type 3"</formula>
    </cfRule>
  </conditionalFormatting>
  <conditionalFormatting sqref="L201">
    <cfRule type="expression" dxfId="1984" priority="1985">
      <formula>$L$201="1"</formula>
    </cfRule>
  </conditionalFormatting>
  <conditionalFormatting sqref="L201">
    <cfRule type="expression" dxfId="1983" priority="1984">
      <formula>$L$201="2"</formula>
    </cfRule>
  </conditionalFormatting>
  <conditionalFormatting sqref="L201">
    <cfRule type="expression" dxfId="1982" priority="1983">
      <formula>$L$201="3"</formula>
    </cfRule>
  </conditionalFormatting>
  <conditionalFormatting sqref="L201">
    <cfRule type="expression" dxfId="1981" priority="1982">
      <formula>$L$201="4"</formula>
    </cfRule>
  </conditionalFormatting>
  <conditionalFormatting sqref="L201">
    <cfRule type="expression" dxfId="1980" priority="1981">
      <formula>$L$201="5"</formula>
    </cfRule>
  </conditionalFormatting>
  <conditionalFormatting sqref="I202:R202">
    <cfRule type="expression" dxfId="1979" priority="1980">
      <formula>$P$202="Not started"</formula>
    </cfRule>
    <cfRule type="expression" dxfId="1978" priority="1969">
      <formula>$I$202="or"</formula>
    </cfRule>
    <cfRule type="expression" dxfId="1977" priority="1967">
      <formula>$I$202="Type 2"</formula>
    </cfRule>
  </conditionalFormatting>
  <conditionalFormatting sqref="I202:R202">
    <cfRule type="expression" dxfId="1976" priority="1979">
      <formula>$P$202="In progress"</formula>
    </cfRule>
  </conditionalFormatting>
  <conditionalFormatting sqref="I202:R202">
    <cfRule type="expression" dxfId="1975" priority="1978">
      <formula>$P$202="Closed"</formula>
    </cfRule>
  </conditionalFormatting>
  <conditionalFormatting sqref="I202:R202">
    <cfRule type="expression" dxfId="1974" priority="1977">
      <formula>$P$202="Canceled"</formula>
    </cfRule>
  </conditionalFormatting>
  <conditionalFormatting sqref="I202:R202">
    <cfRule type="expression" dxfId="1973" priority="1976">
      <formula>$P$202="Suspended"</formula>
    </cfRule>
  </conditionalFormatting>
  <conditionalFormatting sqref="I202:R202">
    <cfRule type="expression" dxfId="1972" priority="1975">
      <formula>$P$202="Applied"</formula>
    </cfRule>
  </conditionalFormatting>
  <conditionalFormatting sqref="I202:R202">
    <cfRule type="expression" dxfId="1971" priority="1974">
      <formula>$P$202="N/A"</formula>
    </cfRule>
  </conditionalFormatting>
  <conditionalFormatting sqref="I202:R202">
    <cfRule type="expression" dxfId="1970" priority="1973">
      <formula>$P$202=""</formula>
    </cfRule>
  </conditionalFormatting>
  <conditionalFormatting sqref="I202:R202">
    <cfRule type="expression" dxfId="1969" priority="1972">
      <formula>$I$202="Module 1"</formula>
    </cfRule>
  </conditionalFormatting>
  <conditionalFormatting sqref="I202:R202">
    <cfRule type="expression" dxfId="1968" priority="1971">
      <formula>$I$202="Module 2"</formula>
    </cfRule>
  </conditionalFormatting>
  <conditionalFormatting sqref="I202:R202">
    <cfRule type="expression" dxfId="1967" priority="1970">
      <formula>$I$202="Module 3"</formula>
    </cfRule>
    <cfRule type="expression" dxfId="1966" priority="1968">
      <formula>$I$202="Type 1"</formula>
    </cfRule>
    <cfRule type="expression" dxfId="1965" priority="1966">
      <formula>$I$202="Type 3"</formula>
    </cfRule>
  </conditionalFormatting>
  <conditionalFormatting sqref="L202">
    <cfRule type="expression" dxfId="1964" priority="1965">
      <formula>$L$202="1"</formula>
    </cfRule>
  </conditionalFormatting>
  <conditionalFormatting sqref="L202">
    <cfRule type="expression" dxfId="1963" priority="1964">
      <formula>$L$202="2"</formula>
    </cfRule>
  </conditionalFormatting>
  <conditionalFormatting sqref="L202">
    <cfRule type="expression" dxfId="1962" priority="1963">
      <formula>$L$202="3"</formula>
    </cfRule>
  </conditionalFormatting>
  <conditionalFormatting sqref="L202">
    <cfRule type="expression" dxfId="1961" priority="1962">
      <formula>$L$202="4"</formula>
    </cfRule>
  </conditionalFormatting>
  <conditionalFormatting sqref="L202">
    <cfRule type="expression" dxfId="1960" priority="1961">
      <formula>$L$202="5"</formula>
    </cfRule>
  </conditionalFormatting>
  <conditionalFormatting sqref="I203:R203">
    <cfRule type="expression" dxfId="1959" priority="1960">
      <formula>$P$203="Not started"</formula>
    </cfRule>
    <cfRule type="expression" dxfId="1958" priority="1949">
      <formula>$I$203="or"</formula>
    </cfRule>
    <cfRule type="expression" dxfId="1957" priority="1947">
      <formula>$I$203="Type 2"</formula>
    </cfRule>
  </conditionalFormatting>
  <conditionalFormatting sqref="I203:R203">
    <cfRule type="expression" dxfId="1956" priority="1959">
      <formula>$P$203="In progress"</formula>
    </cfRule>
  </conditionalFormatting>
  <conditionalFormatting sqref="I203:R203">
    <cfRule type="expression" dxfId="1955" priority="1958">
      <formula>$P$203="Closed"</formula>
    </cfRule>
  </conditionalFormatting>
  <conditionalFormatting sqref="I203:R203">
    <cfRule type="expression" dxfId="1954" priority="1957">
      <formula>$P$203="Canceled"</formula>
    </cfRule>
  </conditionalFormatting>
  <conditionalFormatting sqref="I203:R203">
    <cfRule type="expression" dxfId="1953" priority="1956">
      <formula>$P$203="Suspended"</formula>
    </cfRule>
  </conditionalFormatting>
  <conditionalFormatting sqref="I203:R203">
    <cfRule type="expression" dxfId="1952" priority="1955">
      <formula>$P$203="Applied"</formula>
    </cfRule>
  </conditionalFormatting>
  <conditionalFormatting sqref="I203:R203">
    <cfRule type="expression" dxfId="1951" priority="1954">
      <formula>$P$203="N/A"</formula>
    </cfRule>
  </conditionalFormatting>
  <conditionalFormatting sqref="I203:R203">
    <cfRule type="expression" dxfId="1950" priority="1953">
      <formula>$P$203=""</formula>
    </cfRule>
  </conditionalFormatting>
  <conditionalFormatting sqref="I203:R203">
    <cfRule type="expression" dxfId="1949" priority="1952">
      <formula>$I$203="Module 1"</formula>
    </cfRule>
  </conditionalFormatting>
  <conditionalFormatting sqref="I203:R203">
    <cfRule type="expression" dxfId="1948" priority="1951">
      <formula>$I$203="Module 2"</formula>
    </cfRule>
  </conditionalFormatting>
  <conditionalFormatting sqref="I203:R203">
    <cfRule type="expression" dxfId="1947" priority="1950">
      <formula>$I$203="Module 3"</formula>
    </cfRule>
    <cfRule type="expression" dxfId="1946" priority="1948">
      <formula>$I$203="Type 1"</formula>
    </cfRule>
    <cfRule type="expression" dxfId="1945" priority="1946">
      <formula>$I$203="Type 3"</formula>
    </cfRule>
  </conditionalFormatting>
  <conditionalFormatting sqref="L203">
    <cfRule type="expression" dxfId="1944" priority="1945">
      <formula>$L$203="1"</formula>
    </cfRule>
  </conditionalFormatting>
  <conditionalFormatting sqref="L203">
    <cfRule type="expression" dxfId="1943" priority="1944">
      <formula>$L$203="2"</formula>
    </cfRule>
  </conditionalFormatting>
  <conditionalFormatting sqref="L203">
    <cfRule type="expression" dxfId="1942" priority="1943">
      <formula>$L$203="3"</formula>
    </cfRule>
  </conditionalFormatting>
  <conditionalFormatting sqref="L203">
    <cfRule type="expression" dxfId="1941" priority="1942">
      <formula>$L$203="4"</formula>
    </cfRule>
  </conditionalFormatting>
  <conditionalFormatting sqref="L203">
    <cfRule type="expression" dxfId="1940" priority="1941">
      <formula>$L$203="5"</formula>
    </cfRule>
  </conditionalFormatting>
  <conditionalFormatting sqref="I204:R204">
    <cfRule type="expression" dxfId="1939" priority="1940">
      <formula>$P$204="Not started"</formula>
    </cfRule>
    <cfRule type="expression" dxfId="1938" priority="1929">
      <formula>$I$204="or"</formula>
    </cfRule>
    <cfRule type="expression" dxfId="1937" priority="1927">
      <formula>$I$204="Type 2"</formula>
    </cfRule>
  </conditionalFormatting>
  <conditionalFormatting sqref="I204:R204">
    <cfRule type="expression" dxfId="1936" priority="1939">
      <formula>$P$204="In progress"</formula>
    </cfRule>
  </conditionalFormatting>
  <conditionalFormatting sqref="I204:R204">
    <cfRule type="expression" dxfId="1935" priority="1938">
      <formula>$P$204="Closed"</formula>
    </cfRule>
  </conditionalFormatting>
  <conditionalFormatting sqref="I204:R204">
    <cfRule type="expression" dxfId="1934" priority="1937">
      <formula>$P$204="Canceled"</formula>
    </cfRule>
  </conditionalFormatting>
  <conditionalFormatting sqref="I204:R204">
    <cfRule type="expression" dxfId="1933" priority="1936">
      <formula>$P$204="Suspended"</formula>
    </cfRule>
  </conditionalFormatting>
  <conditionalFormatting sqref="I204:R204">
    <cfRule type="expression" dxfId="1932" priority="1935">
      <formula>$P$204="Applied"</formula>
    </cfRule>
  </conditionalFormatting>
  <conditionalFormatting sqref="I204:R204">
    <cfRule type="expression" dxfId="1931" priority="1934">
      <formula>$P$204="N/A"</formula>
    </cfRule>
  </conditionalFormatting>
  <conditionalFormatting sqref="I204:R204">
    <cfRule type="expression" dxfId="1930" priority="1933">
      <formula>$P$204=""</formula>
    </cfRule>
  </conditionalFormatting>
  <conditionalFormatting sqref="I204:R204">
    <cfRule type="expression" dxfId="1929" priority="1932">
      <formula>$I$204="Module 1"</formula>
    </cfRule>
  </conditionalFormatting>
  <conditionalFormatting sqref="I204:R204">
    <cfRule type="expression" dxfId="1928" priority="1931">
      <formula>$I$204="Module 2"</formula>
    </cfRule>
  </conditionalFormatting>
  <conditionalFormatting sqref="I204:R204">
    <cfRule type="expression" dxfId="1927" priority="1930">
      <formula>$I$204="Module 3"</formula>
    </cfRule>
    <cfRule type="expression" dxfId="1926" priority="1928">
      <formula>$I$204="Type 1"</formula>
    </cfRule>
    <cfRule type="expression" dxfId="1925" priority="1926">
      <formula>$I$204="Type 3"</formula>
    </cfRule>
  </conditionalFormatting>
  <conditionalFormatting sqref="L204">
    <cfRule type="expression" dxfId="1924" priority="1925">
      <formula>$L$204="1"</formula>
    </cfRule>
  </conditionalFormatting>
  <conditionalFormatting sqref="L204">
    <cfRule type="expression" dxfId="1923" priority="1924">
      <formula>$L$204="2"</formula>
    </cfRule>
  </conditionalFormatting>
  <conditionalFormatting sqref="L204">
    <cfRule type="expression" dxfId="1922" priority="1923">
      <formula>$L$204="3"</formula>
    </cfRule>
  </conditionalFormatting>
  <conditionalFormatting sqref="L204">
    <cfRule type="expression" dxfId="1921" priority="1922">
      <formula>$L$204="4"</formula>
    </cfRule>
  </conditionalFormatting>
  <conditionalFormatting sqref="L204">
    <cfRule type="expression" dxfId="1920" priority="1921">
      <formula>$L$204="5"</formula>
    </cfRule>
  </conditionalFormatting>
  <conditionalFormatting sqref="I205:R205">
    <cfRule type="expression" dxfId="1919" priority="1920">
      <formula>$P$205="Not started"</formula>
    </cfRule>
    <cfRule type="expression" dxfId="1918" priority="1909">
      <formula>$I$205="or"</formula>
    </cfRule>
    <cfRule type="expression" dxfId="1917" priority="1907">
      <formula>$I$205="Type 2"</formula>
    </cfRule>
  </conditionalFormatting>
  <conditionalFormatting sqref="I205:R205">
    <cfRule type="expression" dxfId="1916" priority="1919">
      <formula>$P$205="In progress"</formula>
    </cfRule>
  </conditionalFormatting>
  <conditionalFormatting sqref="I205:R205">
    <cfRule type="expression" dxfId="1915" priority="1918">
      <formula>$P$205="Closed"</formula>
    </cfRule>
  </conditionalFormatting>
  <conditionalFormatting sqref="I205:R205">
    <cfRule type="expression" dxfId="1914" priority="1917">
      <formula>$P$205="Canceled"</formula>
    </cfRule>
  </conditionalFormatting>
  <conditionalFormatting sqref="I205:R205">
    <cfRule type="expression" dxfId="1913" priority="1916">
      <formula>$P$205="Suspended"</formula>
    </cfRule>
  </conditionalFormatting>
  <conditionalFormatting sqref="I205:R205">
    <cfRule type="expression" dxfId="1912" priority="1915">
      <formula>$P$205="Applied"</formula>
    </cfRule>
  </conditionalFormatting>
  <conditionalFormatting sqref="I205:R205">
    <cfRule type="expression" dxfId="1911" priority="1914">
      <formula>$P$205="N/A"</formula>
    </cfRule>
  </conditionalFormatting>
  <conditionalFormatting sqref="I205:R205">
    <cfRule type="expression" dxfId="1910" priority="1913">
      <formula>$P$205=""</formula>
    </cfRule>
  </conditionalFormatting>
  <conditionalFormatting sqref="I205:R205">
    <cfRule type="expression" dxfId="1909" priority="1912">
      <formula>$I$205="Module 1"</formula>
    </cfRule>
  </conditionalFormatting>
  <conditionalFormatting sqref="I205:R205">
    <cfRule type="expression" dxfId="1908" priority="1911">
      <formula>$I$205="Module 2"</formula>
    </cfRule>
  </conditionalFormatting>
  <conditionalFormatting sqref="I205:R205">
    <cfRule type="expression" dxfId="1907" priority="1910">
      <formula>$I$205="Module 3"</formula>
    </cfRule>
    <cfRule type="expression" dxfId="1906" priority="1908">
      <formula>$I$205="Type 1"</formula>
    </cfRule>
    <cfRule type="expression" dxfId="1905" priority="1906">
      <formula>$I$205="Type 3"</formula>
    </cfRule>
  </conditionalFormatting>
  <conditionalFormatting sqref="L205">
    <cfRule type="expression" dxfId="1904" priority="1905">
      <formula>$L$205="1"</formula>
    </cfRule>
  </conditionalFormatting>
  <conditionalFormatting sqref="L205">
    <cfRule type="expression" dxfId="1903" priority="1904">
      <formula>$L$205="2"</formula>
    </cfRule>
  </conditionalFormatting>
  <conditionalFormatting sqref="L205">
    <cfRule type="expression" dxfId="1902" priority="1903">
      <formula>$L$205="3"</formula>
    </cfRule>
  </conditionalFormatting>
  <conditionalFormatting sqref="L205">
    <cfRule type="expression" dxfId="1901" priority="1902">
      <formula>$L$205="4"</formula>
    </cfRule>
  </conditionalFormatting>
  <conditionalFormatting sqref="L205">
    <cfRule type="expression" dxfId="1900" priority="1901">
      <formula>$L$205="5"</formula>
    </cfRule>
  </conditionalFormatting>
  <conditionalFormatting sqref="I206:R206">
    <cfRule type="expression" dxfId="1899" priority="1900">
      <formula>$P$206="Not started"</formula>
    </cfRule>
    <cfRule type="expression" dxfId="1898" priority="1889">
      <formula>$I$206="or"</formula>
    </cfRule>
    <cfRule type="expression" dxfId="1897" priority="1887">
      <formula>$I$206="Type 2"</formula>
    </cfRule>
  </conditionalFormatting>
  <conditionalFormatting sqref="I206:R206">
    <cfRule type="expression" dxfId="1896" priority="1899">
      <formula>$P$206="In progress"</formula>
    </cfRule>
  </conditionalFormatting>
  <conditionalFormatting sqref="I206:R206">
    <cfRule type="expression" dxfId="1895" priority="1898">
      <formula>$P$206="Closed"</formula>
    </cfRule>
  </conditionalFormatting>
  <conditionalFormatting sqref="I206:R206">
    <cfRule type="expression" dxfId="1894" priority="1897">
      <formula>$P$206="Canceled"</formula>
    </cfRule>
  </conditionalFormatting>
  <conditionalFormatting sqref="I206:R206">
    <cfRule type="expression" dxfId="1893" priority="1896">
      <formula>$P$206="Suspended"</formula>
    </cfRule>
  </conditionalFormatting>
  <conditionalFormatting sqref="I206:R206">
    <cfRule type="expression" dxfId="1892" priority="1895">
      <formula>$P$206="Applied"</formula>
    </cfRule>
  </conditionalFormatting>
  <conditionalFormatting sqref="I206:R206">
    <cfRule type="expression" dxfId="1891" priority="1894">
      <formula>$P$206="N/A"</formula>
    </cfRule>
  </conditionalFormatting>
  <conditionalFormatting sqref="I206:R206">
    <cfRule type="expression" dxfId="1890" priority="1893">
      <formula>$P$206=""</formula>
    </cfRule>
  </conditionalFormatting>
  <conditionalFormatting sqref="I206:R206">
    <cfRule type="expression" dxfId="1889" priority="1892">
      <formula>$I$206="Module 1"</formula>
    </cfRule>
  </conditionalFormatting>
  <conditionalFormatting sqref="I206:R206">
    <cfRule type="expression" dxfId="1888" priority="1891">
      <formula>$I$206="Module 2"</formula>
    </cfRule>
  </conditionalFormatting>
  <conditionalFormatting sqref="I206:R206">
    <cfRule type="expression" dxfId="1887" priority="1890">
      <formula>$I$206="Module 3"</formula>
    </cfRule>
    <cfRule type="expression" dxfId="1886" priority="1888">
      <formula>$I$206="Type 1"</formula>
    </cfRule>
    <cfRule type="expression" dxfId="1885" priority="1886">
      <formula>$I$206="Type 3"</formula>
    </cfRule>
  </conditionalFormatting>
  <conditionalFormatting sqref="L206">
    <cfRule type="expression" dxfId="1884" priority="1885">
      <formula>$L$206="1"</formula>
    </cfRule>
  </conditionalFormatting>
  <conditionalFormatting sqref="L206">
    <cfRule type="expression" dxfId="1883" priority="1884">
      <formula>$L$206="2"</formula>
    </cfRule>
  </conditionalFormatting>
  <conditionalFormatting sqref="L206">
    <cfRule type="expression" dxfId="1882" priority="1883">
      <formula>$L$206="3"</formula>
    </cfRule>
  </conditionalFormatting>
  <conditionalFormatting sqref="L206">
    <cfRule type="expression" dxfId="1881" priority="1882">
      <formula>$L$206="4"</formula>
    </cfRule>
  </conditionalFormatting>
  <conditionalFormatting sqref="L206">
    <cfRule type="expression" dxfId="1880" priority="1881">
      <formula>$L$206="5"</formula>
    </cfRule>
  </conditionalFormatting>
  <conditionalFormatting sqref="I207:R207">
    <cfRule type="expression" dxfId="1879" priority="1880">
      <formula>$P$207="Not started"</formula>
    </cfRule>
    <cfRule type="expression" dxfId="1878" priority="1869">
      <formula>$I$207="or"</formula>
    </cfRule>
    <cfRule type="expression" dxfId="1877" priority="1867">
      <formula>$I$207="Type 2"</formula>
    </cfRule>
  </conditionalFormatting>
  <conditionalFormatting sqref="I207:R207">
    <cfRule type="expression" dxfId="1876" priority="1879">
      <formula>$P$207="In progress"</formula>
    </cfRule>
  </conditionalFormatting>
  <conditionalFormatting sqref="I207:R207">
    <cfRule type="expression" dxfId="1875" priority="1878">
      <formula>$P$207="Closed"</formula>
    </cfRule>
  </conditionalFormatting>
  <conditionalFormatting sqref="I207:R207">
    <cfRule type="expression" dxfId="1874" priority="1877">
      <formula>$P$207="Canceled"</formula>
    </cfRule>
  </conditionalFormatting>
  <conditionalFormatting sqref="I207:R207">
    <cfRule type="expression" dxfId="1873" priority="1876">
      <formula>$P$207="Suspended"</formula>
    </cfRule>
  </conditionalFormatting>
  <conditionalFormatting sqref="I207:R207">
    <cfRule type="expression" dxfId="1872" priority="1875">
      <formula>$P$207="Applied"</formula>
    </cfRule>
  </conditionalFormatting>
  <conditionalFormatting sqref="I207:R207">
    <cfRule type="expression" dxfId="1871" priority="1874">
      <formula>$P$207="N/A"</formula>
    </cfRule>
  </conditionalFormatting>
  <conditionalFormatting sqref="I207:R207">
    <cfRule type="expression" dxfId="1870" priority="1873">
      <formula>$P$207=""</formula>
    </cfRule>
  </conditionalFormatting>
  <conditionalFormatting sqref="I207:R207">
    <cfRule type="expression" dxfId="1869" priority="1872">
      <formula>$I$207="Module 1"</formula>
    </cfRule>
  </conditionalFormatting>
  <conditionalFormatting sqref="I207:R207">
    <cfRule type="expression" dxfId="1868" priority="1871">
      <formula>$I$207="Module 2"</formula>
    </cfRule>
  </conditionalFormatting>
  <conditionalFormatting sqref="I207:R207">
    <cfRule type="expression" dxfId="1867" priority="1870">
      <formula>$I$207="Module 3"</formula>
    </cfRule>
    <cfRule type="expression" dxfId="1866" priority="1868">
      <formula>$I$207="Type 1"</formula>
    </cfRule>
    <cfRule type="expression" dxfId="1865" priority="1866">
      <formula>$I$207="Type 3"</formula>
    </cfRule>
  </conditionalFormatting>
  <conditionalFormatting sqref="L207">
    <cfRule type="expression" dxfId="1864" priority="1865">
      <formula>$L$207="1"</formula>
    </cfRule>
  </conditionalFormatting>
  <conditionalFormatting sqref="L207">
    <cfRule type="expression" dxfId="1863" priority="1864">
      <formula>$L$207="2"</formula>
    </cfRule>
  </conditionalFormatting>
  <conditionalFormatting sqref="L207">
    <cfRule type="expression" dxfId="1862" priority="1863">
      <formula>$L$207="3"</formula>
    </cfRule>
  </conditionalFormatting>
  <conditionalFormatting sqref="L207">
    <cfRule type="expression" dxfId="1861" priority="1862">
      <formula>$L$207="4"</formula>
    </cfRule>
  </conditionalFormatting>
  <conditionalFormatting sqref="L207">
    <cfRule type="expression" dxfId="1860" priority="1861">
      <formula>$L$207="5"</formula>
    </cfRule>
  </conditionalFormatting>
  <conditionalFormatting sqref="I208:R208">
    <cfRule type="expression" dxfId="1859" priority="1860">
      <formula>$P$208="Not started"</formula>
    </cfRule>
  </conditionalFormatting>
  <conditionalFormatting sqref="I208:R208">
    <cfRule type="expression" dxfId="1858" priority="1859">
      <formula>$P$208="In progress"</formula>
    </cfRule>
  </conditionalFormatting>
  <conditionalFormatting sqref="I208:R208">
    <cfRule type="expression" dxfId="1857" priority="1858">
      <formula>$P$208="Closed"</formula>
    </cfRule>
  </conditionalFormatting>
  <conditionalFormatting sqref="I208:R208">
    <cfRule type="expression" dxfId="1856" priority="1857">
      <formula>$P$208="Canceled"</formula>
    </cfRule>
  </conditionalFormatting>
  <conditionalFormatting sqref="I208:R208">
    <cfRule type="expression" dxfId="1855" priority="1856">
      <formula>$P$208="Suspended"</formula>
    </cfRule>
  </conditionalFormatting>
  <conditionalFormatting sqref="I208:R208">
    <cfRule type="expression" dxfId="1854" priority="1855">
      <formula>$P$208="Applied"</formula>
    </cfRule>
  </conditionalFormatting>
  <conditionalFormatting sqref="I208:R208">
    <cfRule type="expression" dxfId="1853" priority="1854">
      <formula>$P$208="N/A"</formula>
    </cfRule>
  </conditionalFormatting>
  <conditionalFormatting sqref="I208:R208">
    <cfRule type="expression" dxfId="1852" priority="1853">
      <formula>$P$208=""</formula>
    </cfRule>
  </conditionalFormatting>
  <conditionalFormatting sqref="I208:R208">
    <cfRule type="expression" dxfId="1851" priority="1852">
      <formula>$I$208="Module 1"</formula>
    </cfRule>
  </conditionalFormatting>
  <conditionalFormatting sqref="I208:R208">
    <cfRule type="expression" dxfId="1850" priority="1851">
      <formula>$I$208="Module 2"</formula>
    </cfRule>
  </conditionalFormatting>
  <conditionalFormatting sqref="I208:R208">
    <cfRule type="expression" dxfId="1849" priority="1850">
      <formula>$I$208="Module 3"</formula>
    </cfRule>
  </conditionalFormatting>
  <conditionalFormatting sqref="I208:R208">
    <cfRule type="expression" dxfId="1848" priority="1849">
      <formula>$I$208="or"</formula>
    </cfRule>
  </conditionalFormatting>
  <conditionalFormatting sqref="I208:R208">
    <cfRule type="expression" dxfId="1847" priority="1848">
      <formula>$I$208="Type 1"</formula>
    </cfRule>
  </conditionalFormatting>
  <conditionalFormatting sqref="I208:R208">
    <cfRule type="expression" dxfId="1846" priority="1847">
      <formula>$I$208="Type 2"</formula>
    </cfRule>
  </conditionalFormatting>
  <conditionalFormatting sqref="I208:R208">
    <cfRule type="expression" dxfId="1845" priority="1846">
      <formula>$I$208="Type 3"</formula>
    </cfRule>
  </conditionalFormatting>
  <conditionalFormatting sqref="L208">
    <cfRule type="expression" dxfId="1844" priority="1845">
      <formula>$L$208="1"</formula>
    </cfRule>
  </conditionalFormatting>
  <conditionalFormatting sqref="L208">
    <cfRule type="expression" dxfId="1843" priority="1844">
      <formula>$L$208="2"</formula>
    </cfRule>
  </conditionalFormatting>
  <conditionalFormatting sqref="L208">
    <cfRule type="expression" dxfId="1842" priority="1843">
      <formula>$L$208="3"</formula>
    </cfRule>
  </conditionalFormatting>
  <conditionalFormatting sqref="L208">
    <cfRule type="expression" dxfId="1841" priority="1842">
      <formula>$L$208="4"</formula>
    </cfRule>
  </conditionalFormatting>
  <conditionalFormatting sqref="L208">
    <cfRule type="expression" dxfId="1840" priority="1841">
      <formula>$L$208="5"</formula>
    </cfRule>
  </conditionalFormatting>
  <conditionalFormatting sqref="I209:R209">
    <cfRule type="expression" dxfId="1839" priority="1840">
      <formula>$P$209="Not started"</formula>
    </cfRule>
    <cfRule type="expression" dxfId="1838" priority="1829">
      <formula>$I$209="or"</formula>
    </cfRule>
    <cfRule type="expression" dxfId="1837" priority="1827">
      <formula>$I$209="Type 2"</formula>
    </cfRule>
  </conditionalFormatting>
  <conditionalFormatting sqref="I209:R209">
    <cfRule type="expression" dxfId="1836" priority="1839">
      <formula>$P$209="In progress"</formula>
    </cfRule>
  </conditionalFormatting>
  <conditionalFormatting sqref="I209:R209">
    <cfRule type="expression" dxfId="1835" priority="1838">
      <formula>$P$209="Closed"</formula>
    </cfRule>
  </conditionalFormatting>
  <conditionalFormatting sqref="I209:R209">
    <cfRule type="expression" dxfId="1834" priority="1837">
      <formula>$P$209="Canceled"</formula>
    </cfRule>
  </conditionalFormatting>
  <conditionalFormatting sqref="I209:R209">
    <cfRule type="expression" dxfId="1833" priority="1836">
      <formula>$P$209="Suspended"</formula>
    </cfRule>
  </conditionalFormatting>
  <conditionalFormatting sqref="I209:R209">
    <cfRule type="expression" dxfId="1832" priority="1835">
      <formula>$P$209="Applied"</formula>
    </cfRule>
  </conditionalFormatting>
  <conditionalFormatting sqref="I209:R209">
    <cfRule type="expression" dxfId="1831" priority="1834">
      <formula>$P$209="N/A"</formula>
    </cfRule>
  </conditionalFormatting>
  <conditionalFormatting sqref="I209:R209">
    <cfRule type="expression" dxfId="1830" priority="1833">
      <formula>$P$209=""</formula>
    </cfRule>
  </conditionalFormatting>
  <conditionalFormatting sqref="I209:R209">
    <cfRule type="expression" dxfId="1829" priority="1832">
      <formula>$I$209="Module 1"</formula>
    </cfRule>
  </conditionalFormatting>
  <conditionalFormatting sqref="I209:R209">
    <cfRule type="expression" dxfId="1828" priority="1831">
      <formula>$I$209="Module 2"</formula>
    </cfRule>
  </conditionalFormatting>
  <conditionalFormatting sqref="I209:R209">
    <cfRule type="expression" dxfId="1827" priority="1830">
      <formula>$I$209="Module 3"</formula>
    </cfRule>
    <cfRule type="expression" dxfId="1826" priority="1828">
      <formula>$I$209="Type 1"</formula>
    </cfRule>
    <cfRule type="expression" dxfId="1825" priority="1826">
      <formula>$I$209="Type 3"</formula>
    </cfRule>
  </conditionalFormatting>
  <conditionalFormatting sqref="L209">
    <cfRule type="expression" dxfId="1824" priority="1825">
      <formula>$L$209="1"</formula>
    </cfRule>
  </conditionalFormatting>
  <conditionalFormatting sqref="L209">
    <cfRule type="expression" dxfId="1823" priority="1824">
      <formula>$L$209="2"</formula>
    </cfRule>
  </conditionalFormatting>
  <conditionalFormatting sqref="L209">
    <cfRule type="expression" dxfId="1822" priority="1823">
      <formula>$L$209="3"</formula>
    </cfRule>
  </conditionalFormatting>
  <conditionalFormatting sqref="L209">
    <cfRule type="expression" dxfId="1821" priority="1822">
      <formula>$L$209="4"</formula>
    </cfRule>
  </conditionalFormatting>
  <conditionalFormatting sqref="L209">
    <cfRule type="expression" dxfId="1820" priority="1821">
      <formula>$L$209="5"</formula>
    </cfRule>
  </conditionalFormatting>
  <conditionalFormatting sqref="I210:R210">
    <cfRule type="expression" dxfId="1819" priority="1820">
      <formula>$P$210="Not started"</formula>
    </cfRule>
    <cfRule type="expression" dxfId="1818" priority="1809">
      <formula>$I$210="or"</formula>
    </cfRule>
    <cfRule type="expression" dxfId="1817" priority="1807">
      <formula>$I$210="Type 2"</formula>
    </cfRule>
  </conditionalFormatting>
  <conditionalFormatting sqref="I210:R210">
    <cfRule type="expression" dxfId="1816" priority="1819">
      <formula>$P$210="In progress"</formula>
    </cfRule>
  </conditionalFormatting>
  <conditionalFormatting sqref="I210:R210">
    <cfRule type="expression" dxfId="1815" priority="1818">
      <formula>$P$210="Closed"</formula>
    </cfRule>
  </conditionalFormatting>
  <conditionalFormatting sqref="I210:R210">
    <cfRule type="expression" dxfId="1814" priority="1817">
      <formula>$P$210="Canceled"</formula>
    </cfRule>
  </conditionalFormatting>
  <conditionalFormatting sqref="I210:R210">
    <cfRule type="expression" dxfId="1813" priority="1816">
      <formula>$P$210="Suspended"</formula>
    </cfRule>
  </conditionalFormatting>
  <conditionalFormatting sqref="I210:R210">
    <cfRule type="expression" dxfId="1812" priority="1815">
      <formula>$P$210="Applied"</formula>
    </cfRule>
  </conditionalFormatting>
  <conditionalFormatting sqref="I210:R210">
    <cfRule type="expression" dxfId="1811" priority="1814">
      <formula>$P$210="N/A"</formula>
    </cfRule>
  </conditionalFormatting>
  <conditionalFormatting sqref="I210:R210">
    <cfRule type="expression" dxfId="1810" priority="1813">
      <formula>$P$210=""</formula>
    </cfRule>
  </conditionalFormatting>
  <conditionalFormatting sqref="I210:R210">
    <cfRule type="expression" dxfId="1809" priority="1812">
      <formula>$I$210="Module 1"</formula>
    </cfRule>
  </conditionalFormatting>
  <conditionalFormatting sqref="I210:R210">
    <cfRule type="expression" dxfId="1808" priority="1811">
      <formula>$I$210="Module 2"</formula>
    </cfRule>
  </conditionalFormatting>
  <conditionalFormatting sqref="I210:R210">
    <cfRule type="expression" dxfId="1807" priority="1810">
      <formula>$I$210="Module 3"</formula>
    </cfRule>
    <cfRule type="expression" dxfId="1806" priority="1808">
      <formula>$I$210="Type 1"</formula>
    </cfRule>
    <cfRule type="expression" dxfId="1805" priority="1806">
      <formula>$I$210="Type 3"</formula>
    </cfRule>
  </conditionalFormatting>
  <conditionalFormatting sqref="L210">
    <cfRule type="expression" dxfId="1804" priority="1805">
      <formula>$L$210="1"</formula>
    </cfRule>
  </conditionalFormatting>
  <conditionalFormatting sqref="L210">
    <cfRule type="expression" dxfId="1803" priority="1804">
      <formula>$L$210="2"</formula>
    </cfRule>
  </conditionalFormatting>
  <conditionalFormatting sqref="L210">
    <cfRule type="expression" dxfId="1802" priority="1803">
      <formula>$L$210="3"</formula>
    </cfRule>
  </conditionalFormatting>
  <conditionalFormatting sqref="L210">
    <cfRule type="expression" dxfId="1801" priority="1802">
      <formula>$L$210="4"</formula>
    </cfRule>
  </conditionalFormatting>
  <conditionalFormatting sqref="L210">
    <cfRule type="expression" dxfId="1800" priority="1801">
      <formula>$L$210="5"</formula>
    </cfRule>
  </conditionalFormatting>
  <conditionalFormatting sqref="I211:R211">
    <cfRule type="expression" dxfId="1799" priority="1800">
      <formula>$P$211="Not started"</formula>
    </cfRule>
    <cfRule type="expression" dxfId="1798" priority="1789">
      <formula>$I$211="or"</formula>
    </cfRule>
    <cfRule type="expression" dxfId="1797" priority="1787">
      <formula>$I$211="Type 2"</formula>
    </cfRule>
  </conditionalFormatting>
  <conditionalFormatting sqref="I211:R211">
    <cfRule type="expression" dxfId="1796" priority="1799">
      <formula>$P$211="In progress"</formula>
    </cfRule>
  </conditionalFormatting>
  <conditionalFormatting sqref="I211:R211">
    <cfRule type="expression" dxfId="1795" priority="1798">
      <formula>$P$211="Closed"</formula>
    </cfRule>
  </conditionalFormatting>
  <conditionalFormatting sqref="I211:R211">
    <cfRule type="expression" dxfId="1794" priority="1797">
      <formula>$P$211="Canceled"</formula>
    </cfRule>
  </conditionalFormatting>
  <conditionalFormatting sqref="I211:R211">
    <cfRule type="expression" dxfId="1793" priority="1796">
      <formula>$P$211="Suspended"</formula>
    </cfRule>
  </conditionalFormatting>
  <conditionalFormatting sqref="I211:R211">
    <cfRule type="expression" dxfId="1792" priority="1795">
      <formula>$P$211="Applied"</formula>
    </cfRule>
  </conditionalFormatting>
  <conditionalFormatting sqref="I211:R211">
    <cfRule type="expression" dxfId="1791" priority="1794">
      <formula>$P$211="N/A"</formula>
    </cfRule>
  </conditionalFormatting>
  <conditionalFormatting sqref="I211:R211">
    <cfRule type="expression" dxfId="1790" priority="1793">
      <formula>$P$211=""</formula>
    </cfRule>
  </conditionalFormatting>
  <conditionalFormatting sqref="I211:R211">
    <cfRule type="expression" dxfId="1789" priority="1792">
      <formula>$I$211="Module 1"</formula>
    </cfRule>
  </conditionalFormatting>
  <conditionalFormatting sqref="I211:R211">
    <cfRule type="expression" dxfId="1788" priority="1791">
      <formula>$I$211="Module 2"</formula>
    </cfRule>
  </conditionalFormatting>
  <conditionalFormatting sqref="I211:R211">
    <cfRule type="expression" dxfId="1787" priority="1790">
      <formula>$I$211="Module 3"</formula>
    </cfRule>
    <cfRule type="expression" dxfId="1786" priority="1788">
      <formula>$I$211="Type 1"</formula>
    </cfRule>
    <cfRule type="expression" dxfId="1785" priority="1786">
      <formula>$I$211="Type 3"</formula>
    </cfRule>
  </conditionalFormatting>
  <conditionalFormatting sqref="L211">
    <cfRule type="expression" dxfId="1784" priority="1785">
      <formula>$L$211="1"</formula>
    </cfRule>
  </conditionalFormatting>
  <conditionalFormatting sqref="L211">
    <cfRule type="expression" dxfId="1783" priority="1784">
      <formula>$L$211="2"</formula>
    </cfRule>
  </conditionalFormatting>
  <conditionalFormatting sqref="L211">
    <cfRule type="expression" dxfId="1782" priority="1783">
      <formula>$L$211="3"</formula>
    </cfRule>
  </conditionalFormatting>
  <conditionalFormatting sqref="L211">
    <cfRule type="expression" dxfId="1781" priority="1782">
      <formula>$L$211="4"</formula>
    </cfRule>
  </conditionalFormatting>
  <conditionalFormatting sqref="L211">
    <cfRule type="expression" dxfId="1780" priority="1781">
      <formula>$L$211="5"</formula>
    </cfRule>
  </conditionalFormatting>
  <conditionalFormatting sqref="I212:R212">
    <cfRule type="expression" dxfId="1779" priority="1780">
      <formula>$P$212="Not started"</formula>
    </cfRule>
    <cfRule type="expression" dxfId="1778" priority="1769">
      <formula>$I$212="or"</formula>
    </cfRule>
    <cfRule type="expression" dxfId="1777" priority="1767">
      <formula>$I$212="Type 2"</formula>
    </cfRule>
  </conditionalFormatting>
  <conditionalFormatting sqref="I212:R212">
    <cfRule type="expression" dxfId="1776" priority="1779">
      <formula>$P$212="In progress"</formula>
    </cfRule>
  </conditionalFormatting>
  <conditionalFormatting sqref="I212:R212">
    <cfRule type="expression" dxfId="1775" priority="1778">
      <formula>$P$212="Closed"</formula>
    </cfRule>
  </conditionalFormatting>
  <conditionalFormatting sqref="I212:R212">
    <cfRule type="expression" dxfId="1774" priority="1777">
      <formula>$P$212="Canceled"</formula>
    </cfRule>
  </conditionalFormatting>
  <conditionalFormatting sqref="I212:R212">
    <cfRule type="expression" dxfId="1773" priority="1776">
      <formula>$P$212="Suspended"</formula>
    </cfRule>
  </conditionalFormatting>
  <conditionalFormatting sqref="I212:R212">
    <cfRule type="expression" dxfId="1772" priority="1775">
      <formula>$P$212="Applied"</formula>
    </cfRule>
  </conditionalFormatting>
  <conditionalFormatting sqref="I212:R212">
    <cfRule type="expression" dxfId="1771" priority="1774">
      <formula>$P$212="N/A"</formula>
    </cfRule>
  </conditionalFormatting>
  <conditionalFormatting sqref="I212:R212">
    <cfRule type="expression" dxfId="1770" priority="1773">
      <formula>$P$212=""</formula>
    </cfRule>
  </conditionalFormatting>
  <conditionalFormatting sqref="I212:R212">
    <cfRule type="expression" dxfId="1769" priority="1772">
      <formula>$I$212="Module 1"</formula>
    </cfRule>
  </conditionalFormatting>
  <conditionalFormatting sqref="I212:R212">
    <cfRule type="expression" dxfId="1768" priority="1771">
      <formula>$I$212="Module 2"</formula>
    </cfRule>
  </conditionalFormatting>
  <conditionalFormatting sqref="I212:R212">
    <cfRule type="expression" dxfId="1767" priority="1770">
      <formula>$I$212="Module 3"</formula>
    </cfRule>
    <cfRule type="expression" dxfId="1766" priority="1768">
      <formula>$I$212="Type 1"</formula>
    </cfRule>
    <cfRule type="expression" dxfId="1765" priority="1766">
      <formula>$I$212="Type 3"</formula>
    </cfRule>
  </conditionalFormatting>
  <conditionalFormatting sqref="L212">
    <cfRule type="expression" dxfId="1764" priority="1765">
      <formula>$L$212="1"</formula>
    </cfRule>
  </conditionalFormatting>
  <conditionalFormatting sqref="L212">
    <cfRule type="expression" dxfId="1763" priority="1764">
      <formula>$L$212="2"</formula>
    </cfRule>
  </conditionalFormatting>
  <conditionalFormatting sqref="L212">
    <cfRule type="expression" dxfId="1762" priority="1763">
      <formula>$L$212="3"</formula>
    </cfRule>
  </conditionalFormatting>
  <conditionalFormatting sqref="L212">
    <cfRule type="expression" dxfId="1761" priority="1762">
      <formula>$L$212="4"</formula>
    </cfRule>
  </conditionalFormatting>
  <conditionalFormatting sqref="L212">
    <cfRule type="expression" dxfId="1760" priority="1761">
      <formula>$L$212="5"</formula>
    </cfRule>
  </conditionalFormatting>
  <conditionalFormatting sqref="I213:R213">
    <cfRule type="expression" dxfId="1759" priority="1760">
      <formula>$P$213="Not started"</formula>
    </cfRule>
    <cfRule type="expression" dxfId="1758" priority="1749">
      <formula>$I$213="or"</formula>
    </cfRule>
    <cfRule type="expression" dxfId="1757" priority="1747">
      <formula>$I$213="Type 2"</formula>
    </cfRule>
  </conditionalFormatting>
  <conditionalFormatting sqref="I213:R213">
    <cfRule type="expression" dxfId="1756" priority="1759">
      <formula>$P$213="In progress"</formula>
    </cfRule>
  </conditionalFormatting>
  <conditionalFormatting sqref="I213:R213">
    <cfRule type="expression" dxfId="1755" priority="1758">
      <formula>$P$213="Closed"</formula>
    </cfRule>
  </conditionalFormatting>
  <conditionalFormatting sqref="I213:R213">
    <cfRule type="expression" dxfId="1754" priority="1757">
      <formula>$P$213="Canceled"</formula>
    </cfRule>
  </conditionalFormatting>
  <conditionalFormatting sqref="I213:R213">
    <cfRule type="expression" dxfId="1753" priority="1756">
      <formula>$P$213="Suspended"</formula>
    </cfRule>
  </conditionalFormatting>
  <conditionalFormatting sqref="I213:R213">
    <cfRule type="expression" dxfId="1752" priority="1755">
      <formula>$P$213="Applied"</formula>
    </cfRule>
  </conditionalFormatting>
  <conditionalFormatting sqref="I213:R213">
    <cfRule type="expression" dxfId="1751" priority="1754">
      <formula>$P$213="N/A"</formula>
    </cfRule>
  </conditionalFormatting>
  <conditionalFormatting sqref="I213:R213">
    <cfRule type="expression" dxfId="1750" priority="1753">
      <formula>$P$213=""</formula>
    </cfRule>
  </conditionalFormatting>
  <conditionalFormatting sqref="I213:R213">
    <cfRule type="expression" dxfId="1749" priority="1752">
      <formula>$I$213="Module 1"</formula>
    </cfRule>
  </conditionalFormatting>
  <conditionalFormatting sqref="I213:R213">
    <cfRule type="expression" dxfId="1748" priority="1751">
      <formula>$I$213="Module 2"</formula>
    </cfRule>
  </conditionalFormatting>
  <conditionalFormatting sqref="I213:R213">
    <cfRule type="expression" dxfId="1747" priority="1750">
      <formula>$I$213="Module 3"</formula>
    </cfRule>
    <cfRule type="expression" dxfId="1746" priority="1748">
      <formula>$I$213="Type 1"</formula>
    </cfRule>
    <cfRule type="expression" dxfId="1745" priority="1746">
      <formula>$I$213="Type 3"</formula>
    </cfRule>
  </conditionalFormatting>
  <conditionalFormatting sqref="L213">
    <cfRule type="expression" dxfId="1744" priority="1745">
      <formula>$L$213="1"</formula>
    </cfRule>
  </conditionalFormatting>
  <conditionalFormatting sqref="L213">
    <cfRule type="expression" dxfId="1743" priority="1744">
      <formula>$L$213="2"</formula>
    </cfRule>
  </conditionalFormatting>
  <conditionalFormatting sqref="L213">
    <cfRule type="expression" dxfId="1742" priority="1743">
      <formula>$L$213="3"</formula>
    </cfRule>
  </conditionalFormatting>
  <conditionalFormatting sqref="L213">
    <cfRule type="expression" dxfId="1741" priority="1742">
      <formula>$L$213="4"</formula>
    </cfRule>
  </conditionalFormatting>
  <conditionalFormatting sqref="L213">
    <cfRule type="expression" dxfId="1740" priority="1741">
      <formula>$L$213="5"</formula>
    </cfRule>
  </conditionalFormatting>
  <conditionalFormatting sqref="I214:R214">
    <cfRule type="expression" dxfId="1739" priority="1740">
      <formula>$P$214="Not started"</formula>
    </cfRule>
    <cfRule type="expression" dxfId="1738" priority="1729">
      <formula>$I$214="or"</formula>
    </cfRule>
    <cfRule type="expression" dxfId="1737" priority="1727">
      <formula>$I$214="Type 2"</formula>
    </cfRule>
  </conditionalFormatting>
  <conditionalFormatting sqref="I214:R214">
    <cfRule type="expression" dxfId="1736" priority="1739">
      <formula>$P$214="In progress"</formula>
    </cfRule>
  </conditionalFormatting>
  <conditionalFormatting sqref="I214:R214">
    <cfRule type="expression" dxfId="1735" priority="1738">
      <formula>$P$214="Closed"</formula>
    </cfRule>
  </conditionalFormatting>
  <conditionalFormatting sqref="I214:R214">
    <cfRule type="expression" dxfId="1734" priority="1737">
      <formula>$P$214="Canceled"</formula>
    </cfRule>
  </conditionalFormatting>
  <conditionalFormatting sqref="I214:R214">
    <cfRule type="expression" dxfId="1733" priority="1736">
      <formula>$P$214="Suspended"</formula>
    </cfRule>
  </conditionalFormatting>
  <conditionalFormatting sqref="I214:R214">
    <cfRule type="expression" dxfId="1732" priority="1735">
      <formula>$P$214="Applied"</formula>
    </cfRule>
  </conditionalFormatting>
  <conditionalFormatting sqref="I214:R214">
    <cfRule type="expression" dxfId="1731" priority="1734">
      <formula>$P$214="N/A"</formula>
    </cfRule>
  </conditionalFormatting>
  <conditionalFormatting sqref="I214:R214">
    <cfRule type="expression" dxfId="1730" priority="1733">
      <formula>$P$214=""</formula>
    </cfRule>
  </conditionalFormatting>
  <conditionalFormatting sqref="I214:R214">
    <cfRule type="expression" dxfId="1729" priority="1732">
      <formula>$I$214="Module 1"</formula>
    </cfRule>
  </conditionalFormatting>
  <conditionalFormatting sqref="I214:R214">
    <cfRule type="expression" dxfId="1728" priority="1731">
      <formula>$I$214="Module 2"</formula>
    </cfRule>
  </conditionalFormatting>
  <conditionalFormatting sqref="I214:R214">
    <cfRule type="expression" dxfId="1727" priority="1730">
      <formula>$I$214="Module 3"</formula>
    </cfRule>
    <cfRule type="expression" dxfId="1726" priority="1728">
      <formula>$I$214="Type 1"</formula>
    </cfRule>
    <cfRule type="expression" dxfId="1725" priority="1726">
      <formula>$I$214="Type 3"</formula>
    </cfRule>
  </conditionalFormatting>
  <conditionalFormatting sqref="L214">
    <cfRule type="expression" dxfId="1724" priority="1725">
      <formula>$L$214="1"</formula>
    </cfRule>
  </conditionalFormatting>
  <conditionalFormatting sqref="L214">
    <cfRule type="expression" dxfId="1723" priority="1724">
      <formula>$L$214="2"</formula>
    </cfRule>
  </conditionalFormatting>
  <conditionalFormatting sqref="L214">
    <cfRule type="expression" dxfId="1722" priority="1723">
      <formula>$L$214="3"</formula>
    </cfRule>
  </conditionalFormatting>
  <conditionalFormatting sqref="L214">
    <cfRule type="expression" dxfId="1721" priority="1722">
      <formula>$L$214="4"</formula>
    </cfRule>
  </conditionalFormatting>
  <conditionalFormatting sqref="L214">
    <cfRule type="expression" dxfId="1720" priority="1721">
      <formula>$L$214="5"</formula>
    </cfRule>
  </conditionalFormatting>
  <conditionalFormatting sqref="I215:R215">
    <cfRule type="expression" dxfId="1719" priority="1720">
      <formula>$P$215="Not started"</formula>
    </cfRule>
    <cfRule type="expression" dxfId="1718" priority="1709">
      <formula>$I$215="or"</formula>
    </cfRule>
    <cfRule type="expression" dxfId="1717" priority="1707">
      <formula>$I$215="Type 2"</formula>
    </cfRule>
  </conditionalFormatting>
  <conditionalFormatting sqref="I215:R215">
    <cfRule type="expression" dxfId="1716" priority="1719">
      <formula>$P$215="In progress"</formula>
    </cfRule>
  </conditionalFormatting>
  <conditionalFormatting sqref="I215:R215">
    <cfRule type="expression" dxfId="1715" priority="1718">
      <formula>$P$215="Closed"</formula>
    </cfRule>
  </conditionalFormatting>
  <conditionalFormatting sqref="I215:R215">
    <cfRule type="expression" dxfId="1714" priority="1717">
      <formula>$P$215="Canceled"</formula>
    </cfRule>
  </conditionalFormatting>
  <conditionalFormatting sqref="I215:R215">
    <cfRule type="expression" dxfId="1713" priority="1716">
      <formula>$P$215="Suspended"</formula>
    </cfRule>
  </conditionalFormatting>
  <conditionalFormatting sqref="I215:R215">
    <cfRule type="expression" dxfId="1712" priority="1715">
      <formula>$P$215="Applied"</formula>
    </cfRule>
  </conditionalFormatting>
  <conditionalFormatting sqref="I215:R215">
    <cfRule type="expression" dxfId="1711" priority="1714">
      <formula>$P$215="N/A"</formula>
    </cfRule>
  </conditionalFormatting>
  <conditionalFormatting sqref="I215:R215">
    <cfRule type="expression" dxfId="1710" priority="1713">
      <formula>$P$215=""</formula>
    </cfRule>
  </conditionalFormatting>
  <conditionalFormatting sqref="I215:R215">
    <cfRule type="expression" dxfId="1709" priority="1712">
      <formula>$I$215="Module 1"</formula>
    </cfRule>
  </conditionalFormatting>
  <conditionalFormatting sqref="I215:R215">
    <cfRule type="expression" dxfId="1708" priority="1711">
      <formula>$I$215="Module 2"</formula>
    </cfRule>
  </conditionalFormatting>
  <conditionalFormatting sqref="I215:R215">
    <cfRule type="expression" dxfId="1707" priority="1710">
      <formula>$I$215="Module 3"</formula>
    </cfRule>
    <cfRule type="expression" dxfId="1706" priority="1708">
      <formula>$I$215="Type 1"</formula>
    </cfRule>
    <cfRule type="expression" dxfId="1705" priority="1706">
      <formula>$I$215="Type 3"</formula>
    </cfRule>
  </conditionalFormatting>
  <conditionalFormatting sqref="L215">
    <cfRule type="expression" dxfId="1704" priority="1705">
      <formula>$L$215="1"</formula>
    </cfRule>
  </conditionalFormatting>
  <conditionalFormatting sqref="L215">
    <cfRule type="expression" dxfId="1703" priority="1704">
      <formula>$L$215="2"</formula>
    </cfRule>
  </conditionalFormatting>
  <conditionalFormatting sqref="L215">
    <cfRule type="expression" dxfId="1702" priority="1703">
      <formula>$L$215="3"</formula>
    </cfRule>
  </conditionalFormatting>
  <conditionalFormatting sqref="L215">
    <cfRule type="expression" dxfId="1701" priority="1702">
      <formula>$L$215="4"</formula>
    </cfRule>
  </conditionalFormatting>
  <conditionalFormatting sqref="L215">
    <cfRule type="expression" dxfId="1700" priority="1701">
      <formula>$L$215="5"</formula>
    </cfRule>
  </conditionalFormatting>
  <conditionalFormatting sqref="I216:R216">
    <cfRule type="expression" dxfId="1699" priority="1700">
      <formula>$P$216="Not started"</formula>
    </cfRule>
    <cfRule type="expression" dxfId="1698" priority="1689">
      <formula>$I$216="or"</formula>
    </cfRule>
    <cfRule type="expression" dxfId="1697" priority="1687">
      <formula>$I$216="Type 2"</formula>
    </cfRule>
  </conditionalFormatting>
  <conditionalFormatting sqref="I216:R216">
    <cfRule type="expression" dxfId="1696" priority="1699">
      <formula>$P$216="In progress"</formula>
    </cfRule>
  </conditionalFormatting>
  <conditionalFormatting sqref="I216:R216">
    <cfRule type="expression" dxfId="1695" priority="1698">
      <formula>$P$216="Closed"</formula>
    </cfRule>
  </conditionalFormatting>
  <conditionalFormatting sqref="I216:R216">
    <cfRule type="expression" dxfId="1694" priority="1697">
      <formula>$P$216="Canceled"</formula>
    </cfRule>
  </conditionalFormatting>
  <conditionalFormatting sqref="I216:R216">
    <cfRule type="expression" dxfId="1693" priority="1696">
      <formula>$P$216="Suspended"</formula>
    </cfRule>
  </conditionalFormatting>
  <conditionalFormatting sqref="I216:R216">
    <cfRule type="expression" dxfId="1692" priority="1695">
      <formula>$P$216="Applied"</formula>
    </cfRule>
  </conditionalFormatting>
  <conditionalFormatting sqref="I216:R216">
    <cfRule type="expression" dxfId="1691" priority="1694">
      <formula>$P$216="N/A"</formula>
    </cfRule>
  </conditionalFormatting>
  <conditionalFormatting sqref="I216:R216">
    <cfRule type="expression" dxfId="1690" priority="1693">
      <formula>$P$216=""</formula>
    </cfRule>
  </conditionalFormatting>
  <conditionalFormatting sqref="I216:R216">
    <cfRule type="expression" dxfId="1689" priority="1692">
      <formula>$I$216="Module 1"</formula>
    </cfRule>
  </conditionalFormatting>
  <conditionalFormatting sqref="I216:R216">
    <cfRule type="expression" dxfId="1688" priority="1691">
      <formula>$I$216="Module 2"</formula>
    </cfRule>
  </conditionalFormatting>
  <conditionalFormatting sqref="I216:R216">
    <cfRule type="expression" dxfId="1687" priority="1690">
      <formula>$I$216="Module 3"</formula>
    </cfRule>
    <cfRule type="expression" dxfId="1686" priority="1688">
      <formula>$I$216="Type 1"</formula>
    </cfRule>
    <cfRule type="expression" dxfId="1685" priority="1686">
      <formula>$I$216="Type 3"</formula>
    </cfRule>
  </conditionalFormatting>
  <conditionalFormatting sqref="L216">
    <cfRule type="expression" dxfId="1684" priority="1685">
      <formula>$L$216="1"</formula>
    </cfRule>
  </conditionalFormatting>
  <conditionalFormatting sqref="L216">
    <cfRule type="expression" dxfId="1683" priority="1684">
      <formula>$L$216="2"</formula>
    </cfRule>
  </conditionalFormatting>
  <conditionalFormatting sqref="L216">
    <cfRule type="expression" dxfId="1682" priority="1683">
      <formula>$L$216="3"</formula>
    </cfRule>
  </conditionalFormatting>
  <conditionalFormatting sqref="L216">
    <cfRule type="expression" dxfId="1681" priority="1682">
      <formula>$L$216="4"</formula>
    </cfRule>
  </conditionalFormatting>
  <conditionalFormatting sqref="L216">
    <cfRule type="expression" dxfId="1680" priority="1681">
      <formula>$L$216="5"</formula>
    </cfRule>
  </conditionalFormatting>
  <conditionalFormatting sqref="I217:R217">
    <cfRule type="expression" dxfId="1679" priority="1680">
      <formula>$P$217="Not started"</formula>
    </cfRule>
    <cfRule type="expression" dxfId="1678" priority="1669">
      <formula>$I$217="or"</formula>
    </cfRule>
    <cfRule type="expression" dxfId="1677" priority="1667">
      <formula>$I$217="Type 2"</formula>
    </cfRule>
  </conditionalFormatting>
  <conditionalFormatting sqref="I217:R217">
    <cfRule type="expression" dxfId="1676" priority="1679">
      <formula>$P$217="In progress"</formula>
    </cfRule>
  </conditionalFormatting>
  <conditionalFormatting sqref="I217:R217">
    <cfRule type="expression" dxfId="1675" priority="1678">
      <formula>$P$217="Closed"</formula>
    </cfRule>
  </conditionalFormatting>
  <conditionalFormatting sqref="I217:R217">
    <cfRule type="expression" dxfId="1674" priority="1677">
      <formula>$P$217="Canceled"</formula>
    </cfRule>
  </conditionalFormatting>
  <conditionalFormatting sqref="I217:R217">
    <cfRule type="expression" dxfId="1673" priority="1676">
      <formula>$P$217="Suspended"</formula>
    </cfRule>
  </conditionalFormatting>
  <conditionalFormatting sqref="I217:R217">
    <cfRule type="expression" dxfId="1672" priority="1675">
      <formula>$P$217="Applied"</formula>
    </cfRule>
  </conditionalFormatting>
  <conditionalFormatting sqref="I217:R217">
    <cfRule type="expression" dxfId="1671" priority="1674">
      <formula>$P$217="N/A"</formula>
    </cfRule>
  </conditionalFormatting>
  <conditionalFormatting sqref="I217:R217">
    <cfRule type="expression" dxfId="1670" priority="1673">
      <formula>$P$217=""</formula>
    </cfRule>
  </conditionalFormatting>
  <conditionalFormatting sqref="I217:R217">
    <cfRule type="expression" dxfId="1669" priority="1672">
      <formula>$I$217="Module 1"</formula>
    </cfRule>
  </conditionalFormatting>
  <conditionalFormatting sqref="I217:R217">
    <cfRule type="expression" dxfId="1668" priority="1671">
      <formula>$I$217="Module 2"</formula>
    </cfRule>
  </conditionalFormatting>
  <conditionalFormatting sqref="I217:R217">
    <cfRule type="expression" dxfId="1667" priority="1670">
      <formula>$I$217="Module 3"</formula>
    </cfRule>
    <cfRule type="expression" dxfId="1666" priority="1668">
      <formula>$I$217="Type 1"</formula>
    </cfRule>
    <cfRule type="expression" dxfId="1665" priority="1666">
      <formula>$I$217="Type 3"</formula>
    </cfRule>
  </conditionalFormatting>
  <conditionalFormatting sqref="L217">
    <cfRule type="expression" dxfId="1664" priority="1665">
      <formula>$L$217="1"</formula>
    </cfRule>
  </conditionalFormatting>
  <conditionalFormatting sqref="L217">
    <cfRule type="expression" dxfId="1663" priority="1664">
      <formula>$L$217="2"</formula>
    </cfRule>
  </conditionalFormatting>
  <conditionalFormatting sqref="L217">
    <cfRule type="expression" dxfId="1662" priority="1663">
      <formula>$L$217="3"</formula>
    </cfRule>
  </conditionalFormatting>
  <conditionalFormatting sqref="L217">
    <cfRule type="expression" dxfId="1661" priority="1662">
      <formula>$L$217="4"</formula>
    </cfRule>
  </conditionalFormatting>
  <conditionalFormatting sqref="L217">
    <cfRule type="expression" dxfId="1660" priority="1661">
      <formula>$L$217="5"</formula>
    </cfRule>
  </conditionalFormatting>
  <conditionalFormatting sqref="I218:R218">
    <cfRule type="expression" dxfId="1659" priority="1660">
      <formula>$P$218="Not started"</formula>
    </cfRule>
  </conditionalFormatting>
  <conditionalFormatting sqref="I218:R218">
    <cfRule type="expression" dxfId="1658" priority="1659">
      <formula>$P$218="In progress"</formula>
    </cfRule>
  </conditionalFormatting>
  <conditionalFormatting sqref="I218:R218">
    <cfRule type="expression" dxfId="1657" priority="1658">
      <formula>$P$218="Closed"</formula>
    </cfRule>
  </conditionalFormatting>
  <conditionalFormatting sqref="I218:R218">
    <cfRule type="expression" dxfId="1656" priority="1657">
      <formula>$P$218="Canceled"</formula>
    </cfRule>
  </conditionalFormatting>
  <conditionalFormatting sqref="I218:R218">
    <cfRule type="expression" dxfId="1655" priority="1656">
      <formula>$P$218="Suspended"</formula>
    </cfRule>
  </conditionalFormatting>
  <conditionalFormatting sqref="I218:R218">
    <cfRule type="expression" dxfId="1654" priority="1655">
      <formula>$P$218="Applied"</formula>
    </cfRule>
  </conditionalFormatting>
  <conditionalFormatting sqref="I218:R218">
    <cfRule type="expression" dxfId="1653" priority="1654">
      <formula>$P$218="N/A"</formula>
    </cfRule>
  </conditionalFormatting>
  <conditionalFormatting sqref="I218:R218">
    <cfRule type="expression" dxfId="1652" priority="1653">
      <formula>$P$218=""</formula>
    </cfRule>
  </conditionalFormatting>
  <conditionalFormatting sqref="I218:R218">
    <cfRule type="expression" dxfId="1651" priority="1652">
      <formula>$I$218="Module 1"</formula>
    </cfRule>
  </conditionalFormatting>
  <conditionalFormatting sqref="I218:R218">
    <cfRule type="expression" dxfId="1650" priority="1651">
      <formula>$I$218="Module 2"</formula>
    </cfRule>
  </conditionalFormatting>
  <conditionalFormatting sqref="I218:R218">
    <cfRule type="expression" dxfId="1649" priority="1650">
      <formula>$I$218="Module 3"</formula>
    </cfRule>
  </conditionalFormatting>
  <conditionalFormatting sqref="I218:R218">
    <cfRule type="expression" dxfId="1648" priority="1649">
      <formula>$I$218="or"</formula>
    </cfRule>
  </conditionalFormatting>
  <conditionalFormatting sqref="I218:R218">
    <cfRule type="expression" dxfId="1647" priority="1648">
      <formula>$I$218="Type 1"</formula>
    </cfRule>
  </conditionalFormatting>
  <conditionalFormatting sqref="I218:R218">
    <cfRule type="expression" dxfId="1646" priority="1647">
      <formula>$I$218="Type 2"</formula>
    </cfRule>
  </conditionalFormatting>
  <conditionalFormatting sqref="I218:R218">
    <cfRule type="expression" dxfId="1645" priority="1646">
      <formula>$I$218="Type 3"</formula>
    </cfRule>
  </conditionalFormatting>
  <conditionalFormatting sqref="L218">
    <cfRule type="expression" dxfId="1644" priority="1645">
      <formula>$L$218="1"</formula>
    </cfRule>
  </conditionalFormatting>
  <conditionalFormatting sqref="L218">
    <cfRule type="expression" dxfId="1643" priority="1644">
      <formula>$L$218="2"</formula>
    </cfRule>
  </conditionalFormatting>
  <conditionalFormatting sqref="L218">
    <cfRule type="expression" dxfId="1642" priority="1643">
      <formula>$L$218="3"</formula>
    </cfRule>
  </conditionalFormatting>
  <conditionalFormatting sqref="L218">
    <cfRule type="expression" dxfId="1641" priority="1642">
      <formula>$L$218="4"</formula>
    </cfRule>
  </conditionalFormatting>
  <conditionalFormatting sqref="L218">
    <cfRule type="expression" dxfId="1640" priority="1641">
      <formula>$L$218="5"</formula>
    </cfRule>
  </conditionalFormatting>
  <conditionalFormatting sqref="I219:R219">
    <cfRule type="expression" dxfId="1639" priority="1640">
      <formula>$P$219="Not started"</formula>
    </cfRule>
    <cfRule type="expression" dxfId="1638" priority="1629">
      <formula>$I$219="or"</formula>
    </cfRule>
    <cfRule type="expression" dxfId="1637" priority="1627">
      <formula>$I$219="Type 2"</formula>
    </cfRule>
  </conditionalFormatting>
  <conditionalFormatting sqref="I219:R219">
    <cfRule type="expression" dxfId="1636" priority="1639">
      <formula>$P$219="In progress"</formula>
    </cfRule>
  </conditionalFormatting>
  <conditionalFormatting sqref="I219:R219">
    <cfRule type="expression" dxfId="1635" priority="1638">
      <formula>$P$219="Closed"</formula>
    </cfRule>
  </conditionalFormatting>
  <conditionalFormatting sqref="I219:R219">
    <cfRule type="expression" dxfId="1634" priority="1637">
      <formula>$P$219="Canceled"</formula>
    </cfRule>
  </conditionalFormatting>
  <conditionalFormatting sqref="I219:R219">
    <cfRule type="expression" dxfId="1633" priority="1636">
      <formula>$P$219="Suspended"</formula>
    </cfRule>
  </conditionalFormatting>
  <conditionalFormatting sqref="I219:R219">
    <cfRule type="expression" dxfId="1632" priority="1635">
      <formula>$P$219="Applied"</formula>
    </cfRule>
  </conditionalFormatting>
  <conditionalFormatting sqref="I219:R219">
    <cfRule type="expression" dxfId="1631" priority="1634">
      <formula>$P$219="N/A"</formula>
    </cfRule>
  </conditionalFormatting>
  <conditionalFormatting sqref="I219:R219">
    <cfRule type="expression" dxfId="1630" priority="1633">
      <formula>$P$219=""</formula>
    </cfRule>
  </conditionalFormatting>
  <conditionalFormatting sqref="I219:R219">
    <cfRule type="expression" dxfId="1629" priority="1632">
      <formula>$I$219="Module 1"</formula>
    </cfRule>
  </conditionalFormatting>
  <conditionalFormatting sqref="I219:R219">
    <cfRule type="expression" dxfId="1628" priority="1631">
      <formula>$I$219="Module 2"</formula>
    </cfRule>
  </conditionalFormatting>
  <conditionalFormatting sqref="I219:R219">
    <cfRule type="expression" dxfId="1627" priority="1630">
      <formula>$I$219="Module 3"</formula>
    </cfRule>
    <cfRule type="expression" dxfId="1626" priority="1628">
      <formula>$I$219="Type 1"</formula>
    </cfRule>
    <cfRule type="expression" dxfId="1625" priority="1626">
      <formula>$I$219="Type 3"</formula>
    </cfRule>
  </conditionalFormatting>
  <conditionalFormatting sqref="L219">
    <cfRule type="expression" dxfId="1624" priority="1625">
      <formula>$L$219="1"</formula>
    </cfRule>
  </conditionalFormatting>
  <conditionalFormatting sqref="L219">
    <cfRule type="expression" dxfId="1623" priority="1624">
      <formula>$L$219="2"</formula>
    </cfRule>
  </conditionalFormatting>
  <conditionalFormatting sqref="L219">
    <cfRule type="expression" dxfId="1622" priority="1623">
      <formula>$L$219="3"</formula>
    </cfRule>
  </conditionalFormatting>
  <conditionalFormatting sqref="L219">
    <cfRule type="expression" dxfId="1621" priority="1622">
      <formula>$L$219="4"</formula>
    </cfRule>
  </conditionalFormatting>
  <conditionalFormatting sqref="L219">
    <cfRule type="expression" dxfId="1620" priority="1621">
      <formula>$L$219="5"</formula>
    </cfRule>
  </conditionalFormatting>
  <conditionalFormatting sqref="I220:R220">
    <cfRule type="expression" dxfId="1619" priority="1620">
      <formula>$P$220="Not started"</formula>
    </cfRule>
    <cfRule type="expression" dxfId="1618" priority="1609">
      <formula>$I$220="or"</formula>
    </cfRule>
    <cfRule type="expression" dxfId="1617" priority="1607">
      <formula>$I$220="Type 2"</formula>
    </cfRule>
  </conditionalFormatting>
  <conditionalFormatting sqref="I220:R220">
    <cfRule type="expression" dxfId="1616" priority="1619">
      <formula>$P$220="In progress"</formula>
    </cfRule>
  </conditionalFormatting>
  <conditionalFormatting sqref="I220:R220">
    <cfRule type="expression" dxfId="1615" priority="1618">
      <formula>$P$220="Closed"</formula>
    </cfRule>
  </conditionalFormatting>
  <conditionalFormatting sqref="I220:R220">
    <cfRule type="expression" dxfId="1614" priority="1617">
      <formula>$P$220="Canceled"</formula>
    </cfRule>
  </conditionalFormatting>
  <conditionalFormatting sqref="I220:R220">
    <cfRule type="expression" dxfId="1613" priority="1616">
      <formula>$P$220="Suspended"</formula>
    </cfRule>
  </conditionalFormatting>
  <conditionalFormatting sqref="I220:R220">
    <cfRule type="expression" dxfId="1612" priority="1615">
      <formula>$P$220="Applied"</formula>
    </cfRule>
  </conditionalFormatting>
  <conditionalFormatting sqref="I220:R220">
    <cfRule type="expression" dxfId="1611" priority="1614">
      <formula>$P$220="N/A"</formula>
    </cfRule>
  </conditionalFormatting>
  <conditionalFormatting sqref="I220:R220">
    <cfRule type="expression" dxfId="1610" priority="1613">
      <formula>$P$220=""</formula>
    </cfRule>
  </conditionalFormatting>
  <conditionalFormatting sqref="I220:R220">
    <cfRule type="expression" dxfId="1609" priority="1612">
      <formula>$I$220="Module 1"</formula>
    </cfRule>
  </conditionalFormatting>
  <conditionalFormatting sqref="I220:R220">
    <cfRule type="expression" dxfId="1608" priority="1611">
      <formula>$I$220="Module 2"</formula>
    </cfRule>
  </conditionalFormatting>
  <conditionalFormatting sqref="I220:R220">
    <cfRule type="expression" dxfId="1607" priority="1610">
      <formula>$I$220="Module 3"</formula>
    </cfRule>
    <cfRule type="expression" dxfId="1606" priority="1608">
      <formula>$I$220="Type 1"</formula>
    </cfRule>
    <cfRule type="expression" dxfId="1605" priority="1606">
      <formula>$I$220="Type 3"</formula>
    </cfRule>
  </conditionalFormatting>
  <conditionalFormatting sqref="L220">
    <cfRule type="expression" dxfId="1604" priority="1605">
      <formula>$L$220="1"</formula>
    </cfRule>
  </conditionalFormatting>
  <conditionalFormatting sqref="L220">
    <cfRule type="expression" dxfId="1603" priority="1604">
      <formula>$L$220="2"</formula>
    </cfRule>
  </conditionalFormatting>
  <conditionalFormatting sqref="L220">
    <cfRule type="expression" dxfId="1602" priority="1603">
      <formula>$L$220="3"</formula>
    </cfRule>
  </conditionalFormatting>
  <conditionalFormatting sqref="L220">
    <cfRule type="expression" dxfId="1601" priority="1602">
      <formula>$L$220="4"</formula>
    </cfRule>
  </conditionalFormatting>
  <conditionalFormatting sqref="L220">
    <cfRule type="expression" dxfId="1600" priority="1601">
      <formula>$L$220="5"</formula>
    </cfRule>
  </conditionalFormatting>
  <conditionalFormatting sqref="I221:R221">
    <cfRule type="expression" dxfId="1599" priority="1600">
      <formula>$P$221="Not started"</formula>
    </cfRule>
    <cfRule type="expression" dxfId="1598" priority="1589">
      <formula>$I$221="or"</formula>
    </cfRule>
    <cfRule type="expression" dxfId="1597" priority="1587">
      <formula>$I$221="Type 2"</formula>
    </cfRule>
  </conditionalFormatting>
  <conditionalFormatting sqref="I221:R221">
    <cfRule type="expression" dxfId="1596" priority="1599">
      <formula>$P$221="In progress"</formula>
    </cfRule>
  </conditionalFormatting>
  <conditionalFormatting sqref="I221:R221">
    <cfRule type="expression" dxfId="1595" priority="1598">
      <formula>$P$221="Closed"</formula>
    </cfRule>
  </conditionalFormatting>
  <conditionalFormatting sqref="I221:R221">
    <cfRule type="expression" dxfId="1594" priority="1597">
      <formula>$P$221="Canceled"</formula>
    </cfRule>
  </conditionalFormatting>
  <conditionalFormatting sqref="I221:R221">
    <cfRule type="expression" dxfId="1593" priority="1596">
      <formula>$P$221="Suspended"</formula>
    </cfRule>
  </conditionalFormatting>
  <conditionalFormatting sqref="I221:R221">
    <cfRule type="expression" dxfId="1592" priority="1595">
      <formula>$P$221="Applied"</formula>
    </cfRule>
  </conditionalFormatting>
  <conditionalFormatting sqref="I221:R221">
    <cfRule type="expression" dxfId="1591" priority="1594">
      <formula>$P$221="N/A"</formula>
    </cfRule>
  </conditionalFormatting>
  <conditionalFormatting sqref="I221:R221">
    <cfRule type="expression" dxfId="1590" priority="1593">
      <formula>$P$221=""</formula>
    </cfRule>
  </conditionalFormatting>
  <conditionalFormatting sqref="I221:R221">
    <cfRule type="expression" dxfId="1589" priority="1592">
      <formula>$I$221="Module 1"</formula>
    </cfRule>
  </conditionalFormatting>
  <conditionalFormatting sqref="I221:R221">
    <cfRule type="expression" dxfId="1588" priority="1591">
      <formula>$I$221="Module 2"</formula>
    </cfRule>
  </conditionalFormatting>
  <conditionalFormatting sqref="I221:R221">
    <cfRule type="expression" dxfId="1587" priority="1590">
      <formula>$I$221="Module 3"</formula>
    </cfRule>
    <cfRule type="expression" dxfId="1586" priority="1588">
      <formula>$I$221="Type 1"</formula>
    </cfRule>
    <cfRule type="expression" dxfId="1585" priority="1586">
      <formula>$I$221="Type 3"</formula>
    </cfRule>
  </conditionalFormatting>
  <conditionalFormatting sqref="L221">
    <cfRule type="expression" dxfId="1584" priority="1585">
      <formula>$L$221="1"</formula>
    </cfRule>
  </conditionalFormatting>
  <conditionalFormatting sqref="L221">
    <cfRule type="expression" dxfId="1583" priority="1584">
      <formula>$L$221="2"</formula>
    </cfRule>
  </conditionalFormatting>
  <conditionalFormatting sqref="L221">
    <cfRule type="expression" dxfId="1582" priority="1583">
      <formula>$L$221="3"</formula>
    </cfRule>
  </conditionalFormatting>
  <conditionalFormatting sqref="L221">
    <cfRule type="expression" dxfId="1581" priority="1582">
      <formula>$L$221="4"</formula>
    </cfRule>
  </conditionalFormatting>
  <conditionalFormatting sqref="L221">
    <cfRule type="expression" dxfId="1580" priority="1581">
      <formula>$L$221="5"</formula>
    </cfRule>
  </conditionalFormatting>
  <conditionalFormatting sqref="I222:R222">
    <cfRule type="expression" dxfId="1579" priority="1580">
      <formula>$P$222="Not started"</formula>
    </cfRule>
    <cfRule type="expression" dxfId="1578" priority="1569">
      <formula>$I$222="or"</formula>
    </cfRule>
    <cfRule type="expression" dxfId="1577" priority="1567">
      <formula>$I$222="Type 2"</formula>
    </cfRule>
  </conditionalFormatting>
  <conditionalFormatting sqref="I222:R222">
    <cfRule type="expression" dxfId="1576" priority="1579">
      <formula>$P$222="In progress"</formula>
    </cfRule>
  </conditionalFormatting>
  <conditionalFormatting sqref="I222:R222">
    <cfRule type="expression" dxfId="1575" priority="1578">
      <formula>$P$222="Closed"</formula>
    </cfRule>
  </conditionalFormatting>
  <conditionalFormatting sqref="I222:R222">
    <cfRule type="expression" dxfId="1574" priority="1577">
      <formula>$P$222="Canceled"</formula>
    </cfRule>
  </conditionalFormatting>
  <conditionalFormatting sqref="I222:R222">
    <cfRule type="expression" dxfId="1573" priority="1576">
      <formula>$P$222="Suspended"</formula>
    </cfRule>
  </conditionalFormatting>
  <conditionalFormatting sqref="I222:R222">
    <cfRule type="expression" dxfId="1572" priority="1575">
      <formula>$P$222="Applied"</formula>
    </cfRule>
  </conditionalFormatting>
  <conditionalFormatting sqref="I222:R222">
    <cfRule type="expression" dxfId="1571" priority="1574">
      <formula>$P$222="N/A"</formula>
    </cfRule>
  </conditionalFormatting>
  <conditionalFormatting sqref="I222:R222">
    <cfRule type="expression" dxfId="1570" priority="1573">
      <formula>$P$222=""</formula>
    </cfRule>
  </conditionalFormatting>
  <conditionalFormatting sqref="I222:R222">
    <cfRule type="expression" dxfId="1569" priority="1572">
      <formula>$I$222="Module 1"</formula>
    </cfRule>
  </conditionalFormatting>
  <conditionalFormatting sqref="I222:R222">
    <cfRule type="expression" dxfId="1568" priority="1571">
      <formula>$I$222="Module 2"</formula>
    </cfRule>
  </conditionalFormatting>
  <conditionalFormatting sqref="I222:R222">
    <cfRule type="expression" dxfId="1567" priority="1570">
      <formula>$I$222="Module 3"</formula>
    </cfRule>
    <cfRule type="expression" dxfId="1566" priority="1568">
      <formula>$I$222="Type 1"</formula>
    </cfRule>
    <cfRule type="expression" dxfId="1565" priority="1566">
      <formula>$I$222="Type 3"</formula>
    </cfRule>
  </conditionalFormatting>
  <conditionalFormatting sqref="L222">
    <cfRule type="expression" dxfId="1564" priority="1565">
      <formula>$L$222="1"</formula>
    </cfRule>
  </conditionalFormatting>
  <conditionalFormatting sqref="L222">
    <cfRule type="expression" dxfId="1563" priority="1564">
      <formula>$L$222="2"</formula>
    </cfRule>
  </conditionalFormatting>
  <conditionalFormatting sqref="L222">
    <cfRule type="expression" dxfId="1562" priority="1563">
      <formula>$L$222="3"</formula>
    </cfRule>
  </conditionalFormatting>
  <conditionalFormatting sqref="L222">
    <cfRule type="expression" dxfId="1561" priority="1562">
      <formula>$L$222="4"</formula>
    </cfRule>
  </conditionalFormatting>
  <conditionalFormatting sqref="L222">
    <cfRule type="expression" dxfId="1560" priority="1561">
      <formula>$L$222="5"</formula>
    </cfRule>
  </conditionalFormatting>
  <conditionalFormatting sqref="I223:R223">
    <cfRule type="expression" dxfId="1559" priority="1560">
      <formula>$P$223="Not started"</formula>
    </cfRule>
    <cfRule type="expression" dxfId="1558" priority="1549">
      <formula>$I$223="or"</formula>
    </cfRule>
    <cfRule type="expression" dxfId="1557" priority="1547">
      <formula>$I$223="Type 2"</formula>
    </cfRule>
  </conditionalFormatting>
  <conditionalFormatting sqref="I223:R223">
    <cfRule type="expression" dxfId="1556" priority="1559">
      <formula>$P$223="In progress"</formula>
    </cfRule>
  </conditionalFormatting>
  <conditionalFormatting sqref="I223:R223">
    <cfRule type="expression" dxfId="1555" priority="1558">
      <formula>$P$223="Closed"</formula>
    </cfRule>
  </conditionalFormatting>
  <conditionalFormatting sqref="I223:R223">
    <cfRule type="expression" dxfId="1554" priority="1557">
      <formula>$P$223="Canceled"</formula>
    </cfRule>
  </conditionalFormatting>
  <conditionalFormatting sqref="I223:R223">
    <cfRule type="expression" dxfId="1553" priority="1556">
      <formula>$P$223="Suspended"</formula>
    </cfRule>
  </conditionalFormatting>
  <conditionalFormatting sqref="I223:R223">
    <cfRule type="expression" dxfId="1552" priority="1555">
      <formula>$P$223="Applied"</formula>
    </cfRule>
  </conditionalFormatting>
  <conditionalFormatting sqref="I223:R223">
    <cfRule type="expression" dxfId="1551" priority="1554">
      <formula>$P$223="N/A"</formula>
    </cfRule>
  </conditionalFormatting>
  <conditionalFormatting sqref="I223:R223">
    <cfRule type="expression" dxfId="1550" priority="1553">
      <formula>$P$223=""</formula>
    </cfRule>
  </conditionalFormatting>
  <conditionalFormatting sqref="I223:R223">
    <cfRule type="expression" dxfId="1549" priority="1552">
      <formula>$I$223="Module 1"</formula>
    </cfRule>
  </conditionalFormatting>
  <conditionalFormatting sqref="I223:R223">
    <cfRule type="expression" dxfId="1548" priority="1551">
      <formula>$I$223="Module 2"</formula>
    </cfRule>
  </conditionalFormatting>
  <conditionalFormatting sqref="I223:R223">
    <cfRule type="expression" dxfId="1547" priority="1550">
      <formula>$I$223="Module 3"</formula>
    </cfRule>
    <cfRule type="expression" dxfId="1546" priority="1548">
      <formula>$I$223="Type 1"</formula>
    </cfRule>
    <cfRule type="expression" dxfId="1545" priority="1546">
      <formula>$I$223="Type 3"</formula>
    </cfRule>
  </conditionalFormatting>
  <conditionalFormatting sqref="L223">
    <cfRule type="expression" dxfId="1544" priority="1545">
      <formula>$L$223="1"</formula>
    </cfRule>
  </conditionalFormatting>
  <conditionalFormatting sqref="L223">
    <cfRule type="expression" dxfId="1543" priority="1544">
      <formula>$L$223="2"</formula>
    </cfRule>
  </conditionalFormatting>
  <conditionalFormatting sqref="L223">
    <cfRule type="expression" dxfId="1542" priority="1543">
      <formula>$L$223="3"</formula>
    </cfRule>
  </conditionalFormatting>
  <conditionalFormatting sqref="L223">
    <cfRule type="expression" dxfId="1541" priority="1542">
      <formula>$L$223="4"</formula>
    </cfRule>
  </conditionalFormatting>
  <conditionalFormatting sqref="L223">
    <cfRule type="expression" dxfId="1540" priority="1541">
      <formula>$L$223="5"</formula>
    </cfRule>
  </conditionalFormatting>
  <conditionalFormatting sqref="I224:R224">
    <cfRule type="expression" dxfId="1539" priority="1540">
      <formula>$P$224="Not started"</formula>
    </cfRule>
    <cfRule type="expression" dxfId="1538" priority="1529">
      <formula>$I$224="or"</formula>
    </cfRule>
    <cfRule type="expression" dxfId="1537" priority="1527">
      <formula>$I$224="Type 2"</formula>
    </cfRule>
  </conditionalFormatting>
  <conditionalFormatting sqref="I224:R224">
    <cfRule type="expression" dxfId="1536" priority="1539">
      <formula>$P$224="In progress"</formula>
    </cfRule>
  </conditionalFormatting>
  <conditionalFormatting sqref="I224:R224">
    <cfRule type="expression" dxfId="1535" priority="1538">
      <formula>$P$224="Closed"</formula>
    </cfRule>
  </conditionalFormatting>
  <conditionalFormatting sqref="I224:R224">
    <cfRule type="expression" dxfId="1534" priority="1537">
      <formula>$P$224="Canceled"</formula>
    </cfRule>
  </conditionalFormatting>
  <conditionalFormatting sqref="I224:R224">
    <cfRule type="expression" dxfId="1533" priority="1536">
      <formula>$P$224="Suspended"</formula>
    </cfRule>
  </conditionalFormatting>
  <conditionalFormatting sqref="I224:R224">
    <cfRule type="expression" dxfId="1532" priority="1535">
      <formula>$P$224="Applied"</formula>
    </cfRule>
  </conditionalFormatting>
  <conditionalFormatting sqref="I224:R224">
    <cfRule type="expression" dxfId="1531" priority="1534">
      <formula>$P$224="N/A"</formula>
    </cfRule>
  </conditionalFormatting>
  <conditionalFormatting sqref="I224:R224">
    <cfRule type="expression" dxfId="1530" priority="1533">
      <formula>$P$224=""</formula>
    </cfRule>
  </conditionalFormatting>
  <conditionalFormatting sqref="I224:R224">
    <cfRule type="expression" dxfId="1529" priority="1532">
      <formula>$I$224="Module 1"</formula>
    </cfRule>
  </conditionalFormatting>
  <conditionalFormatting sqref="I224:R224">
    <cfRule type="expression" dxfId="1528" priority="1531">
      <formula>$I$224="Module 2"</formula>
    </cfRule>
  </conditionalFormatting>
  <conditionalFormatting sqref="I224:R224">
    <cfRule type="expression" dxfId="1527" priority="1530">
      <formula>$I$224="Module 3"</formula>
    </cfRule>
    <cfRule type="expression" dxfId="1526" priority="1528">
      <formula>$I$224="Type 1"</formula>
    </cfRule>
    <cfRule type="expression" dxfId="1525" priority="1526">
      <formula>$I$224="Type 3"</formula>
    </cfRule>
  </conditionalFormatting>
  <conditionalFormatting sqref="L224">
    <cfRule type="expression" dxfId="1524" priority="1525">
      <formula>$L$224="1"</formula>
    </cfRule>
  </conditionalFormatting>
  <conditionalFormatting sqref="L224">
    <cfRule type="expression" dxfId="1523" priority="1524">
      <formula>$L$224="2"</formula>
    </cfRule>
  </conditionalFormatting>
  <conditionalFormatting sqref="L224">
    <cfRule type="expression" dxfId="1522" priority="1523">
      <formula>$L$224="3"</formula>
    </cfRule>
  </conditionalFormatting>
  <conditionalFormatting sqref="L224">
    <cfRule type="expression" dxfId="1521" priority="1522">
      <formula>$L$224="4"</formula>
    </cfRule>
  </conditionalFormatting>
  <conditionalFormatting sqref="L224">
    <cfRule type="expression" dxfId="1520" priority="1521">
      <formula>$L$224="5"</formula>
    </cfRule>
  </conditionalFormatting>
  <conditionalFormatting sqref="I225:R225">
    <cfRule type="expression" dxfId="1519" priority="1520">
      <formula>$P$225="Not started"</formula>
    </cfRule>
    <cfRule type="expression" dxfId="1518" priority="1509">
      <formula>$I$225="or"</formula>
    </cfRule>
    <cfRule type="expression" dxfId="1517" priority="1507">
      <formula>$I$225="Type 2"</formula>
    </cfRule>
  </conditionalFormatting>
  <conditionalFormatting sqref="I225:R225">
    <cfRule type="expression" dxfId="1516" priority="1519">
      <formula>$P$225="In progress"</formula>
    </cfRule>
  </conditionalFormatting>
  <conditionalFormatting sqref="I225:R225">
    <cfRule type="expression" dxfId="1515" priority="1518">
      <formula>$P$225="Closed"</formula>
    </cfRule>
  </conditionalFormatting>
  <conditionalFormatting sqref="I225:R225">
    <cfRule type="expression" dxfId="1514" priority="1517">
      <formula>$P$225="Canceled"</formula>
    </cfRule>
  </conditionalFormatting>
  <conditionalFormatting sqref="I225:R225">
    <cfRule type="expression" dxfId="1513" priority="1516">
      <formula>$P$225="Suspended"</formula>
    </cfRule>
  </conditionalFormatting>
  <conditionalFormatting sqref="I225:R225">
    <cfRule type="expression" dxfId="1512" priority="1515">
      <formula>$P$225="Applied"</formula>
    </cfRule>
  </conditionalFormatting>
  <conditionalFormatting sqref="I225:R225">
    <cfRule type="expression" dxfId="1511" priority="1514">
      <formula>$P$225="N/A"</formula>
    </cfRule>
  </conditionalFormatting>
  <conditionalFormatting sqref="I225:R225">
    <cfRule type="expression" dxfId="1510" priority="1513">
      <formula>$P$225=""</formula>
    </cfRule>
  </conditionalFormatting>
  <conditionalFormatting sqref="I225:R225">
    <cfRule type="expression" dxfId="1509" priority="1512">
      <formula>$I$225="Module 1"</formula>
    </cfRule>
  </conditionalFormatting>
  <conditionalFormatting sqref="I225:R225">
    <cfRule type="expression" dxfId="1508" priority="1511">
      <formula>$I$225="Module 2"</formula>
    </cfRule>
  </conditionalFormatting>
  <conditionalFormatting sqref="I225:R225">
    <cfRule type="expression" dxfId="1507" priority="1510">
      <formula>$I$225="Module 3"</formula>
    </cfRule>
    <cfRule type="expression" dxfId="1506" priority="1508">
      <formula>$I$225="Type 1"</formula>
    </cfRule>
    <cfRule type="expression" dxfId="1505" priority="1506">
      <formula>$I$225="Type 3"</formula>
    </cfRule>
  </conditionalFormatting>
  <conditionalFormatting sqref="L225">
    <cfRule type="expression" dxfId="1504" priority="1505">
      <formula>$L$225="1"</formula>
    </cfRule>
  </conditionalFormatting>
  <conditionalFormatting sqref="L225">
    <cfRule type="expression" dxfId="1503" priority="1504">
      <formula>$L$225="2"</formula>
    </cfRule>
  </conditionalFormatting>
  <conditionalFormatting sqref="L225">
    <cfRule type="expression" dxfId="1502" priority="1503">
      <formula>$L$225="3"</formula>
    </cfRule>
  </conditionalFormatting>
  <conditionalFormatting sqref="L225">
    <cfRule type="expression" dxfId="1501" priority="1502">
      <formula>$L$225="4"</formula>
    </cfRule>
  </conditionalFormatting>
  <conditionalFormatting sqref="L225">
    <cfRule type="expression" dxfId="1500" priority="1501">
      <formula>$L$225="5"</formula>
    </cfRule>
  </conditionalFormatting>
  <conditionalFormatting sqref="I226:R226">
    <cfRule type="expression" dxfId="1499" priority="1500">
      <formula>$P$226="Not started"</formula>
    </cfRule>
    <cfRule type="expression" dxfId="1498" priority="1489">
      <formula>$I$226="or"</formula>
    </cfRule>
    <cfRule type="expression" dxfId="1497" priority="1487">
      <formula>$I$226="Type 2"</formula>
    </cfRule>
  </conditionalFormatting>
  <conditionalFormatting sqref="I226:R226">
    <cfRule type="expression" dxfId="1496" priority="1499">
      <formula>$P$226="In progress"</formula>
    </cfRule>
  </conditionalFormatting>
  <conditionalFormatting sqref="I226:R226">
    <cfRule type="expression" dxfId="1495" priority="1498">
      <formula>$P$226="Closed"</formula>
    </cfRule>
  </conditionalFormatting>
  <conditionalFormatting sqref="I226:R226">
    <cfRule type="expression" dxfId="1494" priority="1497">
      <formula>$P$226="Canceled"</formula>
    </cfRule>
  </conditionalFormatting>
  <conditionalFormatting sqref="I226:R226">
    <cfRule type="expression" dxfId="1493" priority="1496">
      <formula>$P$226="Suspended"</formula>
    </cfRule>
  </conditionalFormatting>
  <conditionalFormatting sqref="I226:R226">
    <cfRule type="expression" dxfId="1492" priority="1495">
      <formula>$P$226="Applied"</formula>
    </cfRule>
  </conditionalFormatting>
  <conditionalFormatting sqref="I226:R226">
    <cfRule type="expression" dxfId="1491" priority="1494">
      <formula>$P$226="N/A"</formula>
    </cfRule>
  </conditionalFormatting>
  <conditionalFormatting sqref="I226:R226">
    <cfRule type="expression" dxfId="1490" priority="1493">
      <formula>$P$226=""</formula>
    </cfRule>
  </conditionalFormatting>
  <conditionalFormatting sqref="I226:R226">
    <cfRule type="expression" dxfId="1489" priority="1492">
      <formula>$I$226="Module 1"</formula>
    </cfRule>
  </conditionalFormatting>
  <conditionalFormatting sqref="I226:R226">
    <cfRule type="expression" dxfId="1488" priority="1491">
      <formula>$I$226="Module 2"</formula>
    </cfRule>
  </conditionalFormatting>
  <conditionalFormatting sqref="I226:R226">
    <cfRule type="expression" dxfId="1487" priority="1490">
      <formula>$I$226="Module 3"</formula>
    </cfRule>
    <cfRule type="expression" dxfId="1486" priority="1488">
      <formula>$I$226="Type 1"</formula>
    </cfRule>
    <cfRule type="expression" dxfId="1485" priority="1486">
      <formula>$I$226="Type 3"</formula>
    </cfRule>
  </conditionalFormatting>
  <conditionalFormatting sqref="L226">
    <cfRule type="expression" dxfId="1484" priority="1485">
      <formula>$L$226="1"</formula>
    </cfRule>
  </conditionalFormatting>
  <conditionalFormatting sqref="L226">
    <cfRule type="expression" dxfId="1483" priority="1484">
      <formula>$L$226="2"</formula>
    </cfRule>
  </conditionalFormatting>
  <conditionalFormatting sqref="L226">
    <cfRule type="expression" dxfId="1482" priority="1483">
      <formula>$L$226="3"</formula>
    </cfRule>
  </conditionalFormatting>
  <conditionalFormatting sqref="L226">
    <cfRule type="expression" dxfId="1481" priority="1482">
      <formula>$L$226="4"</formula>
    </cfRule>
  </conditionalFormatting>
  <conditionalFormatting sqref="L226">
    <cfRule type="expression" dxfId="1480" priority="1481">
      <formula>$L$226="5"</formula>
    </cfRule>
  </conditionalFormatting>
  <conditionalFormatting sqref="I227:R227">
    <cfRule type="expression" dxfId="1479" priority="1480">
      <formula>$P$227="Not started"</formula>
    </cfRule>
    <cfRule type="expression" dxfId="1478" priority="1469">
      <formula>$I$227="or"</formula>
    </cfRule>
    <cfRule type="expression" dxfId="1477" priority="1467">
      <formula>$I$227="Type 2"</formula>
    </cfRule>
  </conditionalFormatting>
  <conditionalFormatting sqref="I227:R227">
    <cfRule type="expression" dxfId="1476" priority="1479">
      <formula>$P$227="In progress"</formula>
    </cfRule>
  </conditionalFormatting>
  <conditionalFormatting sqref="I227:R227">
    <cfRule type="expression" dxfId="1475" priority="1478">
      <formula>$P$227="Closed"</formula>
    </cfRule>
  </conditionalFormatting>
  <conditionalFormatting sqref="I227:R227">
    <cfRule type="expression" dxfId="1474" priority="1477">
      <formula>$P$227="Canceled"</formula>
    </cfRule>
  </conditionalFormatting>
  <conditionalFormatting sqref="I227:R227">
    <cfRule type="expression" dxfId="1473" priority="1476">
      <formula>$P$227="Suspended"</formula>
    </cfRule>
  </conditionalFormatting>
  <conditionalFormatting sqref="I227:R227">
    <cfRule type="expression" dxfId="1472" priority="1475">
      <formula>$P$227="Applied"</formula>
    </cfRule>
  </conditionalFormatting>
  <conditionalFormatting sqref="I227:R227">
    <cfRule type="expression" dxfId="1471" priority="1474">
      <formula>$P$227="N/A"</formula>
    </cfRule>
  </conditionalFormatting>
  <conditionalFormatting sqref="I227:R227">
    <cfRule type="expression" dxfId="1470" priority="1473">
      <formula>$P$227=""</formula>
    </cfRule>
  </conditionalFormatting>
  <conditionalFormatting sqref="I227:R227">
    <cfRule type="expression" dxfId="1469" priority="1472">
      <formula>$I$227="Module 1"</formula>
    </cfRule>
  </conditionalFormatting>
  <conditionalFormatting sqref="I227:R227">
    <cfRule type="expression" dxfId="1468" priority="1471">
      <formula>$I$227="Module 2"</formula>
    </cfRule>
  </conditionalFormatting>
  <conditionalFormatting sqref="I227:R227">
    <cfRule type="expression" dxfId="1467" priority="1470">
      <formula>$I$227="Module 3"</formula>
    </cfRule>
    <cfRule type="expression" dxfId="1466" priority="1468">
      <formula>$I$227="Type 1"</formula>
    </cfRule>
    <cfRule type="expression" dxfId="1465" priority="1466">
      <formula>$I$227="Type 3"</formula>
    </cfRule>
  </conditionalFormatting>
  <conditionalFormatting sqref="L227">
    <cfRule type="expression" dxfId="1464" priority="1465">
      <formula>$L$227="1"</formula>
    </cfRule>
  </conditionalFormatting>
  <conditionalFormatting sqref="L227">
    <cfRule type="expression" dxfId="1463" priority="1464">
      <formula>$L$227="2"</formula>
    </cfRule>
  </conditionalFormatting>
  <conditionalFormatting sqref="L227">
    <cfRule type="expression" dxfId="1462" priority="1463">
      <formula>$L$227="3"</formula>
    </cfRule>
  </conditionalFormatting>
  <conditionalFormatting sqref="L227">
    <cfRule type="expression" dxfId="1461" priority="1462">
      <formula>$L$227="4"</formula>
    </cfRule>
  </conditionalFormatting>
  <conditionalFormatting sqref="L227">
    <cfRule type="expression" dxfId="1460" priority="1461">
      <formula>$L$227="5"</formula>
    </cfRule>
  </conditionalFormatting>
  <conditionalFormatting sqref="I228:R228">
    <cfRule type="expression" dxfId="1459" priority="1460">
      <formula>$P$228="Not started"</formula>
    </cfRule>
  </conditionalFormatting>
  <conditionalFormatting sqref="I228:R228">
    <cfRule type="expression" dxfId="1458" priority="1459">
      <formula>$P$228="In progress"</formula>
    </cfRule>
  </conditionalFormatting>
  <conditionalFormatting sqref="I228:R228">
    <cfRule type="expression" dxfId="1457" priority="1458">
      <formula>$P$228="Closed"</formula>
    </cfRule>
  </conditionalFormatting>
  <conditionalFormatting sqref="I228:R228">
    <cfRule type="expression" dxfId="1456" priority="1457">
      <formula>$P$228="Canceled"</formula>
    </cfRule>
  </conditionalFormatting>
  <conditionalFormatting sqref="I228:R228">
    <cfRule type="expression" dxfId="1455" priority="1456">
      <formula>$P$228="Suspended"</formula>
    </cfRule>
  </conditionalFormatting>
  <conditionalFormatting sqref="I228:R228">
    <cfRule type="expression" dxfId="1454" priority="1455">
      <formula>$P$228="Applied"</formula>
    </cfRule>
  </conditionalFormatting>
  <conditionalFormatting sqref="I228:R228">
    <cfRule type="expression" dxfId="1453" priority="1454">
      <formula>$P$228="N/A"</formula>
    </cfRule>
  </conditionalFormatting>
  <conditionalFormatting sqref="I228:R228">
    <cfRule type="expression" dxfId="1452" priority="1453">
      <formula>$P$228=""</formula>
    </cfRule>
  </conditionalFormatting>
  <conditionalFormatting sqref="I228:R228">
    <cfRule type="expression" dxfId="1451" priority="1452">
      <formula>$I$228="Module 1"</formula>
    </cfRule>
  </conditionalFormatting>
  <conditionalFormatting sqref="I228:R228">
    <cfRule type="expression" dxfId="1450" priority="1451">
      <formula>$I$228="Module 2"</formula>
    </cfRule>
  </conditionalFormatting>
  <conditionalFormatting sqref="I228:R228">
    <cfRule type="expression" dxfId="1449" priority="1450">
      <formula>$I$228="Module 3"</formula>
    </cfRule>
  </conditionalFormatting>
  <conditionalFormatting sqref="I228:R228">
    <cfRule type="expression" dxfId="1448" priority="1449">
      <formula>$I$228="or"</formula>
    </cfRule>
  </conditionalFormatting>
  <conditionalFormatting sqref="I228:R228">
    <cfRule type="expression" dxfId="1447" priority="1448">
      <formula>$I$228="Type 1"</formula>
    </cfRule>
  </conditionalFormatting>
  <conditionalFormatting sqref="I228:R228">
    <cfRule type="expression" dxfId="1446" priority="1447">
      <formula>$I$228="Type 2"</formula>
    </cfRule>
  </conditionalFormatting>
  <conditionalFormatting sqref="I228:R228">
    <cfRule type="expression" dxfId="1445" priority="1446">
      <formula>$I$228="Type 3"</formula>
    </cfRule>
  </conditionalFormatting>
  <conditionalFormatting sqref="L228">
    <cfRule type="expression" dxfId="1444" priority="1445">
      <formula>$L$228="1"</formula>
    </cfRule>
  </conditionalFormatting>
  <conditionalFormatting sqref="L228">
    <cfRule type="expression" dxfId="1443" priority="1444">
      <formula>$L$228="2"</formula>
    </cfRule>
  </conditionalFormatting>
  <conditionalFormatting sqref="L228">
    <cfRule type="expression" dxfId="1442" priority="1443">
      <formula>$L$228="3"</formula>
    </cfRule>
  </conditionalFormatting>
  <conditionalFormatting sqref="L228">
    <cfRule type="expression" dxfId="1441" priority="1442">
      <formula>$L$228="4"</formula>
    </cfRule>
  </conditionalFormatting>
  <conditionalFormatting sqref="L228">
    <cfRule type="expression" dxfId="1440" priority="1441">
      <formula>$L$228="5"</formula>
    </cfRule>
  </conditionalFormatting>
  <conditionalFormatting sqref="I229:R229">
    <cfRule type="expression" dxfId="1439" priority="1440">
      <formula>$P$229="Not started"</formula>
    </cfRule>
    <cfRule type="expression" dxfId="1438" priority="1429">
      <formula>$I$229="or"</formula>
    </cfRule>
    <cfRule type="expression" dxfId="1437" priority="1427">
      <formula>$I$229="Type 2"</formula>
    </cfRule>
  </conditionalFormatting>
  <conditionalFormatting sqref="I229:R229">
    <cfRule type="expression" dxfId="1436" priority="1439">
      <formula>$P$229="In progress"</formula>
    </cfRule>
  </conditionalFormatting>
  <conditionalFormatting sqref="I229:R229">
    <cfRule type="expression" dxfId="1435" priority="1438">
      <formula>$P$229="Closed"</formula>
    </cfRule>
  </conditionalFormatting>
  <conditionalFormatting sqref="I229:R229">
    <cfRule type="expression" dxfId="1434" priority="1437">
      <formula>$P$229="Canceled"</formula>
    </cfRule>
  </conditionalFormatting>
  <conditionalFormatting sqref="I229:R229">
    <cfRule type="expression" dxfId="1433" priority="1436">
      <formula>$P$229="Suspended"</formula>
    </cfRule>
  </conditionalFormatting>
  <conditionalFormatting sqref="I229:R229">
    <cfRule type="expression" dxfId="1432" priority="1435">
      <formula>$P$229="Applied"</formula>
    </cfRule>
  </conditionalFormatting>
  <conditionalFormatting sqref="I229:R229">
    <cfRule type="expression" dxfId="1431" priority="1434">
      <formula>$P$229="N/A"</formula>
    </cfRule>
  </conditionalFormatting>
  <conditionalFormatting sqref="I229:R229">
    <cfRule type="expression" dxfId="1430" priority="1433">
      <formula>$P$229=""</formula>
    </cfRule>
  </conditionalFormatting>
  <conditionalFormatting sqref="I229:R229">
    <cfRule type="expression" dxfId="1429" priority="1432">
      <formula>$I$229="Module 1"</formula>
    </cfRule>
  </conditionalFormatting>
  <conditionalFormatting sqref="I229:R229">
    <cfRule type="expression" dxfId="1428" priority="1431">
      <formula>$I$229="Module 2"</formula>
    </cfRule>
  </conditionalFormatting>
  <conditionalFormatting sqref="I229:R229">
    <cfRule type="expression" dxfId="1427" priority="1430">
      <formula>$I$229="Module 3"</formula>
    </cfRule>
    <cfRule type="expression" dxfId="1426" priority="1428">
      <formula>$I$229="Type 1"</formula>
    </cfRule>
    <cfRule type="expression" dxfId="1425" priority="1426">
      <formula>$I$229="Type 3"</formula>
    </cfRule>
  </conditionalFormatting>
  <conditionalFormatting sqref="L229">
    <cfRule type="expression" dxfId="1424" priority="1425">
      <formula>$L$229="1"</formula>
    </cfRule>
  </conditionalFormatting>
  <conditionalFormatting sqref="L229">
    <cfRule type="expression" dxfId="1423" priority="1424">
      <formula>$L$229="2"</formula>
    </cfRule>
  </conditionalFormatting>
  <conditionalFormatting sqref="L229">
    <cfRule type="expression" dxfId="1422" priority="1423">
      <formula>$L$229="3"</formula>
    </cfRule>
  </conditionalFormatting>
  <conditionalFormatting sqref="L229">
    <cfRule type="expression" dxfId="1421" priority="1422">
      <formula>$L$229="4"</formula>
    </cfRule>
  </conditionalFormatting>
  <conditionalFormatting sqref="L229">
    <cfRule type="expression" dxfId="1420" priority="1421">
      <formula>$L$229="5"</formula>
    </cfRule>
  </conditionalFormatting>
  <conditionalFormatting sqref="I230:R230">
    <cfRule type="expression" dxfId="1419" priority="1420">
      <formula>$P$230="Not started"</formula>
    </cfRule>
    <cfRule type="expression" dxfId="1418" priority="1409">
      <formula>$I$230="or"</formula>
    </cfRule>
    <cfRule type="expression" dxfId="1417" priority="1407">
      <formula>$I$230="Type 2"</formula>
    </cfRule>
  </conditionalFormatting>
  <conditionalFormatting sqref="I230:R230">
    <cfRule type="expression" dxfId="1416" priority="1419">
      <formula>$P$230="In progress"</formula>
    </cfRule>
  </conditionalFormatting>
  <conditionalFormatting sqref="I230:R230">
    <cfRule type="expression" dxfId="1415" priority="1418">
      <formula>$P$230="Closed"</formula>
    </cfRule>
  </conditionalFormatting>
  <conditionalFormatting sqref="I230:R230">
    <cfRule type="expression" dxfId="1414" priority="1417">
      <formula>$P$230="Canceled"</formula>
    </cfRule>
  </conditionalFormatting>
  <conditionalFormatting sqref="I230:R230">
    <cfRule type="expression" dxfId="1413" priority="1416">
      <formula>$P$230="Suspended"</formula>
    </cfRule>
  </conditionalFormatting>
  <conditionalFormatting sqref="I230:R230">
    <cfRule type="expression" dxfId="1412" priority="1415">
      <formula>$P$230="Applied"</formula>
    </cfRule>
  </conditionalFormatting>
  <conditionalFormatting sqref="I230:R230">
    <cfRule type="expression" dxfId="1411" priority="1414">
      <formula>$P$230="N/A"</formula>
    </cfRule>
  </conditionalFormatting>
  <conditionalFormatting sqref="I230:R230">
    <cfRule type="expression" dxfId="1410" priority="1413">
      <formula>$P$230=""</formula>
    </cfRule>
  </conditionalFormatting>
  <conditionalFormatting sqref="I230:R230">
    <cfRule type="expression" dxfId="1409" priority="1412">
      <formula>$I$230="Module 1"</formula>
    </cfRule>
  </conditionalFormatting>
  <conditionalFormatting sqref="I230:R230">
    <cfRule type="expression" dxfId="1408" priority="1411">
      <formula>$I$230="Module 2"</formula>
    </cfRule>
  </conditionalFormatting>
  <conditionalFormatting sqref="I230:R230">
    <cfRule type="expression" dxfId="1407" priority="1410">
      <formula>$I$230="Module 3"</formula>
    </cfRule>
    <cfRule type="expression" dxfId="1406" priority="1408">
      <formula>$I$230="Type 1"</formula>
    </cfRule>
    <cfRule type="expression" dxfId="1405" priority="1406">
      <formula>$I$230="Type 3"</formula>
    </cfRule>
  </conditionalFormatting>
  <conditionalFormatting sqref="L230">
    <cfRule type="expression" dxfId="1404" priority="1405">
      <formula>$L$230="1"</formula>
    </cfRule>
  </conditionalFormatting>
  <conditionalFormatting sqref="L230">
    <cfRule type="expression" dxfId="1403" priority="1404">
      <formula>$L$230="2"</formula>
    </cfRule>
  </conditionalFormatting>
  <conditionalFormatting sqref="L230">
    <cfRule type="expression" dxfId="1402" priority="1403">
      <formula>$L$230="3"</formula>
    </cfRule>
  </conditionalFormatting>
  <conditionalFormatting sqref="L230">
    <cfRule type="expression" dxfId="1401" priority="1402">
      <formula>$L$230="4"</formula>
    </cfRule>
  </conditionalFormatting>
  <conditionalFormatting sqref="L230">
    <cfRule type="expression" dxfId="1400" priority="1401">
      <formula>$L$230="5"</formula>
    </cfRule>
  </conditionalFormatting>
  <conditionalFormatting sqref="I231:R231">
    <cfRule type="expression" dxfId="1399" priority="1400">
      <formula>$P$231="Not started"</formula>
    </cfRule>
    <cfRule type="expression" dxfId="1398" priority="1389">
      <formula>$I$231="or"</formula>
    </cfRule>
    <cfRule type="expression" dxfId="1397" priority="1387">
      <formula>$I$231="Type 2"</formula>
    </cfRule>
  </conditionalFormatting>
  <conditionalFormatting sqref="I231:R231">
    <cfRule type="expression" dxfId="1396" priority="1399">
      <formula>$P$231="In progress"</formula>
    </cfRule>
  </conditionalFormatting>
  <conditionalFormatting sqref="I231:R231">
    <cfRule type="expression" dxfId="1395" priority="1398">
      <formula>$P$231="Closed"</formula>
    </cfRule>
  </conditionalFormatting>
  <conditionalFormatting sqref="I231:R231">
    <cfRule type="expression" dxfId="1394" priority="1397">
      <formula>$P$231="Canceled"</formula>
    </cfRule>
  </conditionalFormatting>
  <conditionalFormatting sqref="I231:R231">
    <cfRule type="expression" dxfId="1393" priority="1396">
      <formula>$P$231="Suspended"</formula>
    </cfRule>
  </conditionalFormatting>
  <conditionalFormatting sqref="I231:R231">
    <cfRule type="expression" dxfId="1392" priority="1395">
      <formula>$P$231="Applied"</formula>
    </cfRule>
  </conditionalFormatting>
  <conditionalFormatting sqref="I231:R231">
    <cfRule type="expression" dxfId="1391" priority="1394">
      <formula>$P$231="N/A"</formula>
    </cfRule>
  </conditionalFormatting>
  <conditionalFormatting sqref="I231:R231">
    <cfRule type="expression" dxfId="1390" priority="1393">
      <formula>$P$231=""</formula>
    </cfRule>
  </conditionalFormatting>
  <conditionalFormatting sqref="I231:R231">
    <cfRule type="expression" dxfId="1389" priority="1392">
      <formula>$I$231="Module 1"</formula>
    </cfRule>
  </conditionalFormatting>
  <conditionalFormatting sqref="I231:R231">
    <cfRule type="expression" dxfId="1388" priority="1391">
      <formula>$I$231="Module 2"</formula>
    </cfRule>
  </conditionalFormatting>
  <conditionalFormatting sqref="I231:R231">
    <cfRule type="expression" dxfId="1387" priority="1390">
      <formula>$I$231="Module 3"</formula>
    </cfRule>
    <cfRule type="expression" dxfId="1386" priority="1388">
      <formula>$I$231="Type 1"</formula>
    </cfRule>
    <cfRule type="expression" dxfId="1385" priority="1386">
      <formula>$I$231="Type 3"</formula>
    </cfRule>
  </conditionalFormatting>
  <conditionalFormatting sqref="L231">
    <cfRule type="expression" dxfId="1384" priority="1385">
      <formula>$L$231="1"</formula>
    </cfRule>
  </conditionalFormatting>
  <conditionalFormatting sqref="L231">
    <cfRule type="expression" dxfId="1383" priority="1384">
      <formula>$L$231="2"</formula>
    </cfRule>
  </conditionalFormatting>
  <conditionalFormatting sqref="L231">
    <cfRule type="expression" dxfId="1382" priority="1383">
      <formula>$L$231="3"</formula>
    </cfRule>
  </conditionalFormatting>
  <conditionalFormatting sqref="L231">
    <cfRule type="expression" dxfId="1381" priority="1382">
      <formula>$L$231="4"</formula>
    </cfRule>
  </conditionalFormatting>
  <conditionalFormatting sqref="L231">
    <cfRule type="expression" dxfId="1380" priority="1381">
      <formula>$L$231="5"</formula>
    </cfRule>
  </conditionalFormatting>
  <conditionalFormatting sqref="I232:R232">
    <cfRule type="expression" dxfId="1379" priority="1380">
      <formula>$P$232="Not started"</formula>
    </cfRule>
    <cfRule type="expression" dxfId="1378" priority="1369">
      <formula>$I$232="or"</formula>
    </cfRule>
    <cfRule type="expression" dxfId="1377" priority="1367">
      <formula>$I$232="Type 2"</formula>
    </cfRule>
  </conditionalFormatting>
  <conditionalFormatting sqref="I232:R232">
    <cfRule type="expression" dxfId="1376" priority="1379">
      <formula>$P$232="In progress"</formula>
    </cfRule>
  </conditionalFormatting>
  <conditionalFormatting sqref="I232:R232">
    <cfRule type="expression" dxfId="1375" priority="1378">
      <formula>$P$232="Closed"</formula>
    </cfRule>
  </conditionalFormatting>
  <conditionalFormatting sqref="I232:R232">
    <cfRule type="expression" dxfId="1374" priority="1377">
      <formula>$P$232="Canceled"</formula>
    </cfRule>
  </conditionalFormatting>
  <conditionalFormatting sqref="I232:R232">
    <cfRule type="expression" dxfId="1373" priority="1376">
      <formula>$P$232="Suspended"</formula>
    </cfRule>
  </conditionalFormatting>
  <conditionalFormatting sqref="I232:R232">
    <cfRule type="expression" dxfId="1372" priority="1375">
      <formula>$P$232="Applied"</formula>
    </cfRule>
  </conditionalFormatting>
  <conditionalFormatting sqref="I232:R232">
    <cfRule type="expression" dxfId="1371" priority="1374">
      <formula>$P$232="N/A"</formula>
    </cfRule>
  </conditionalFormatting>
  <conditionalFormatting sqref="I232:R232">
    <cfRule type="expression" dxfId="1370" priority="1373">
      <formula>$P$232=""</formula>
    </cfRule>
  </conditionalFormatting>
  <conditionalFormatting sqref="I232:R232">
    <cfRule type="expression" dxfId="1369" priority="1372">
      <formula>$I$232="Module 1"</formula>
    </cfRule>
  </conditionalFormatting>
  <conditionalFormatting sqref="I232:R232">
    <cfRule type="expression" dxfId="1368" priority="1371">
      <formula>$I$232="Module 2"</formula>
    </cfRule>
  </conditionalFormatting>
  <conditionalFormatting sqref="I232:R232">
    <cfRule type="expression" dxfId="1367" priority="1370">
      <formula>$I$232="Module 3"</formula>
    </cfRule>
    <cfRule type="expression" dxfId="1366" priority="1368">
      <formula>$I$232="Type 1"</formula>
    </cfRule>
    <cfRule type="expression" dxfId="1365" priority="1366">
      <formula>$I$232="Type 3"</formula>
    </cfRule>
  </conditionalFormatting>
  <conditionalFormatting sqref="L232">
    <cfRule type="expression" dxfId="1364" priority="1365">
      <formula>$L$232="1"</formula>
    </cfRule>
  </conditionalFormatting>
  <conditionalFormatting sqref="L232">
    <cfRule type="expression" dxfId="1363" priority="1364">
      <formula>$L$232="2"</formula>
    </cfRule>
  </conditionalFormatting>
  <conditionalFormatting sqref="L232">
    <cfRule type="expression" dxfId="1362" priority="1363">
      <formula>$L$232="3"</formula>
    </cfRule>
  </conditionalFormatting>
  <conditionalFormatting sqref="L232">
    <cfRule type="expression" dxfId="1361" priority="1362">
      <formula>$L$232="4"</formula>
    </cfRule>
  </conditionalFormatting>
  <conditionalFormatting sqref="L232">
    <cfRule type="expression" dxfId="1360" priority="1361">
      <formula>$L$232="5"</formula>
    </cfRule>
  </conditionalFormatting>
  <conditionalFormatting sqref="I233:R233">
    <cfRule type="expression" dxfId="1359" priority="1360">
      <formula>$P$233="Not started"</formula>
    </cfRule>
    <cfRule type="expression" dxfId="1358" priority="1349">
      <formula>$I$233="or"</formula>
    </cfRule>
    <cfRule type="expression" dxfId="1357" priority="1347">
      <formula>$I$233="Type 2"</formula>
    </cfRule>
  </conditionalFormatting>
  <conditionalFormatting sqref="I233:R233">
    <cfRule type="expression" dxfId="1356" priority="1359">
      <formula>$P$233="In progress"</formula>
    </cfRule>
  </conditionalFormatting>
  <conditionalFormatting sqref="I233:R233">
    <cfRule type="expression" dxfId="1355" priority="1358">
      <formula>$P$233="Closed"</formula>
    </cfRule>
  </conditionalFormatting>
  <conditionalFormatting sqref="I233:R233">
    <cfRule type="expression" dxfId="1354" priority="1357">
      <formula>$P$233="Canceled"</formula>
    </cfRule>
  </conditionalFormatting>
  <conditionalFormatting sqref="I233:R233">
    <cfRule type="expression" dxfId="1353" priority="1356">
      <formula>$P$233="Suspended"</formula>
    </cfRule>
  </conditionalFormatting>
  <conditionalFormatting sqref="I233:R233">
    <cfRule type="expression" dxfId="1352" priority="1355">
      <formula>$P$233="Applied"</formula>
    </cfRule>
  </conditionalFormatting>
  <conditionalFormatting sqref="I233:R233">
    <cfRule type="expression" dxfId="1351" priority="1354">
      <formula>$P$233="N/A"</formula>
    </cfRule>
  </conditionalFormatting>
  <conditionalFormatting sqref="I233:R233">
    <cfRule type="expression" dxfId="1350" priority="1353">
      <formula>$P$233=""</formula>
    </cfRule>
  </conditionalFormatting>
  <conditionalFormatting sqref="I233:R233">
    <cfRule type="expression" dxfId="1349" priority="1352">
      <formula>$I$233="Module 1"</formula>
    </cfRule>
  </conditionalFormatting>
  <conditionalFormatting sqref="I233:R233">
    <cfRule type="expression" dxfId="1348" priority="1351">
      <formula>$I$233="Module 2"</formula>
    </cfRule>
  </conditionalFormatting>
  <conditionalFormatting sqref="I233:R233">
    <cfRule type="expression" dxfId="1347" priority="1350">
      <formula>$I$233="Module 3"</formula>
    </cfRule>
    <cfRule type="expression" dxfId="1346" priority="1348">
      <formula>$I$233="Type 1"</formula>
    </cfRule>
    <cfRule type="expression" dxfId="1345" priority="1346">
      <formula>$I$233="Type 3"</formula>
    </cfRule>
  </conditionalFormatting>
  <conditionalFormatting sqref="L233">
    <cfRule type="expression" dxfId="1344" priority="1345">
      <formula>$L$233="1"</formula>
    </cfRule>
  </conditionalFormatting>
  <conditionalFormatting sqref="L233">
    <cfRule type="expression" dxfId="1343" priority="1344">
      <formula>$L$233="2"</formula>
    </cfRule>
  </conditionalFormatting>
  <conditionalFormatting sqref="L233">
    <cfRule type="expression" dxfId="1342" priority="1343">
      <formula>$L$233="3"</formula>
    </cfRule>
  </conditionalFormatting>
  <conditionalFormatting sqref="L233">
    <cfRule type="expression" dxfId="1341" priority="1342">
      <formula>$L$233="4"</formula>
    </cfRule>
  </conditionalFormatting>
  <conditionalFormatting sqref="L233">
    <cfRule type="expression" dxfId="1340" priority="1341">
      <formula>$L$233="5"</formula>
    </cfRule>
  </conditionalFormatting>
  <conditionalFormatting sqref="I234:R234">
    <cfRule type="expression" dxfId="1339" priority="1340">
      <formula>$P$234="Not started"</formula>
    </cfRule>
    <cfRule type="expression" dxfId="1338" priority="1329">
      <formula>$I$234="or"</formula>
    </cfRule>
    <cfRule type="expression" dxfId="1337" priority="1327">
      <formula>$I$234="Type 2"</formula>
    </cfRule>
  </conditionalFormatting>
  <conditionalFormatting sqref="I234:R234">
    <cfRule type="expression" dxfId="1336" priority="1339">
      <formula>$P$234="In progress"</formula>
    </cfRule>
  </conditionalFormatting>
  <conditionalFormatting sqref="I234:R234">
    <cfRule type="expression" dxfId="1335" priority="1338">
      <formula>$P$234="Closed"</formula>
    </cfRule>
  </conditionalFormatting>
  <conditionalFormatting sqref="I234:R234">
    <cfRule type="expression" dxfId="1334" priority="1337">
      <formula>$P$234="Canceled"</formula>
    </cfRule>
  </conditionalFormatting>
  <conditionalFormatting sqref="I234:R234">
    <cfRule type="expression" dxfId="1333" priority="1336">
      <formula>$P$234="Suspended"</formula>
    </cfRule>
  </conditionalFormatting>
  <conditionalFormatting sqref="I234:R234">
    <cfRule type="expression" dxfId="1332" priority="1335">
      <formula>$P$234="Applied"</formula>
    </cfRule>
  </conditionalFormatting>
  <conditionalFormatting sqref="I234:R234">
    <cfRule type="expression" dxfId="1331" priority="1334">
      <formula>$P$234="N/A"</formula>
    </cfRule>
  </conditionalFormatting>
  <conditionalFormatting sqref="I234:R234">
    <cfRule type="expression" dxfId="1330" priority="1333">
      <formula>$P$234=""</formula>
    </cfRule>
  </conditionalFormatting>
  <conditionalFormatting sqref="I234:R234">
    <cfRule type="expression" dxfId="1329" priority="1332">
      <formula>$I$234="Module 1"</formula>
    </cfRule>
  </conditionalFormatting>
  <conditionalFormatting sqref="I234:R234">
    <cfRule type="expression" dxfId="1328" priority="1331">
      <formula>$I$234="Module 2"</formula>
    </cfRule>
  </conditionalFormatting>
  <conditionalFormatting sqref="I234:R234">
    <cfRule type="expression" dxfId="1327" priority="1330">
      <formula>$I$234="Module 3"</formula>
    </cfRule>
    <cfRule type="expression" dxfId="1326" priority="1328">
      <formula>$I$234="Type 1"</formula>
    </cfRule>
    <cfRule type="expression" dxfId="1325" priority="1326">
      <formula>$I$234="Type 3"</formula>
    </cfRule>
  </conditionalFormatting>
  <conditionalFormatting sqref="L234">
    <cfRule type="expression" dxfId="1324" priority="1325">
      <formula>$L$234="1"</formula>
    </cfRule>
  </conditionalFormatting>
  <conditionalFormatting sqref="L234">
    <cfRule type="expression" dxfId="1323" priority="1324">
      <formula>$L$234="2"</formula>
    </cfRule>
  </conditionalFormatting>
  <conditionalFormatting sqref="L234">
    <cfRule type="expression" dxfId="1322" priority="1323">
      <formula>$L$234="3"</formula>
    </cfRule>
  </conditionalFormatting>
  <conditionalFormatting sqref="L234">
    <cfRule type="expression" dxfId="1321" priority="1322">
      <formula>$L$234="4"</formula>
    </cfRule>
  </conditionalFormatting>
  <conditionalFormatting sqref="L234">
    <cfRule type="expression" dxfId="1320" priority="1321">
      <formula>$L$234="5"</formula>
    </cfRule>
  </conditionalFormatting>
  <conditionalFormatting sqref="I235:R235">
    <cfRule type="expression" dxfId="1319" priority="1320">
      <formula>$P$235="Not started"</formula>
    </cfRule>
    <cfRule type="expression" dxfId="1318" priority="1309">
      <formula>$I$235="or"</formula>
    </cfRule>
    <cfRule type="expression" dxfId="1317" priority="1307">
      <formula>$I$235="Type 2"</formula>
    </cfRule>
  </conditionalFormatting>
  <conditionalFormatting sqref="I235:R235">
    <cfRule type="expression" dxfId="1316" priority="1319">
      <formula>$P$235="In progress"</formula>
    </cfRule>
  </conditionalFormatting>
  <conditionalFormatting sqref="I235:R235">
    <cfRule type="expression" dxfId="1315" priority="1318">
      <formula>$P$235="Closed"</formula>
    </cfRule>
  </conditionalFormatting>
  <conditionalFormatting sqref="I235:R235">
    <cfRule type="expression" dxfId="1314" priority="1317">
      <formula>$P$235="Canceled"</formula>
    </cfRule>
  </conditionalFormatting>
  <conditionalFormatting sqref="I235:R235">
    <cfRule type="expression" dxfId="1313" priority="1316">
      <formula>$P$235="Suspended"</formula>
    </cfRule>
  </conditionalFormatting>
  <conditionalFormatting sqref="I235:R235">
    <cfRule type="expression" dxfId="1312" priority="1315">
      <formula>$P$235="Applied"</formula>
    </cfRule>
  </conditionalFormatting>
  <conditionalFormatting sqref="I235:R235">
    <cfRule type="expression" dxfId="1311" priority="1314">
      <formula>$P$235="N/A"</formula>
    </cfRule>
  </conditionalFormatting>
  <conditionalFormatting sqref="I235:R235">
    <cfRule type="expression" dxfId="1310" priority="1313">
      <formula>$P$235=""</formula>
    </cfRule>
  </conditionalFormatting>
  <conditionalFormatting sqref="I235:R235">
    <cfRule type="expression" dxfId="1309" priority="1312">
      <formula>$I$235="Module 1"</formula>
    </cfRule>
  </conditionalFormatting>
  <conditionalFormatting sqref="I235:R235">
    <cfRule type="expression" dxfId="1308" priority="1311">
      <formula>$I$235="Module 2"</formula>
    </cfRule>
  </conditionalFormatting>
  <conditionalFormatting sqref="I235:R235">
    <cfRule type="expression" dxfId="1307" priority="1310">
      <formula>$I$235="Module 3"</formula>
    </cfRule>
    <cfRule type="expression" dxfId="1306" priority="1308">
      <formula>$I$235="Type 1"</formula>
    </cfRule>
    <cfRule type="expression" dxfId="1305" priority="1306">
      <formula>$I$235="Type 3"</formula>
    </cfRule>
  </conditionalFormatting>
  <conditionalFormatting sqref="L235">
    <cfRule type="expression" dxfId="1304" priority="1305">
      <formula>$L$235="1"</formula>
    </cfRule>
  </conditionalFormatting>
  <conditionalFormatting sqref="L235">
    <cfRule type="expression" dxfId="1303" priority="1304">
      <formula>$L$235="2"</formula>
    </cfRule>
  </conditionalFormatting>
  <conditionalFormatting sqref="L235">
    <cfRule type="expression" dxfId="1302" priority="1303">
      <formula>$L$235="3"</formula>
    </cfRule>
  </conditionalFormatting>
  <conditionalFormatting sqref="L235">
    <cfRule type="expression" dxfId="1301" priority="1302">
      <formula>$L$235="4"</formula>
    </cfRule>
  </conditionalFormatting>
  <conditionalFormatting sqref="L235">
    <cfRule type="expression" dxfId="1300" priority="1301">
      <formula>$L$235="5"</formula>
    </cfRule>
  </conditionalFormatting>
  <conditionalFormatting sqref="I236:R236">
    <cfRule type="expression" dxfId="1299" priority="1300">
      <formula>$P$236="Not started"</formula>
    </cfRule>
    <cfRule type="expression" dxfId="1298" priority="1289">
      <formula>$I$236="or"</formula>
    </cfRule>
    <cfRule type="expression" dxfId="1297" priority="1287">
      <formula>$I$236="Type 2"</formula>
    </cfRule>
  </conditionalFormatting>
  <conditionalFormatting sqref="I236:R236">
    <cfRule type="expression" dxfId="1296" priority="1299">
      <formula>$P$236="In progress"</formula>
    </cfRule>
  </conditionalFormatting>
  <conditionalFormatting sqref="I236:R236">
    <cfRule type="expression" dxfId="1295" priority="1298">
      <formula>$P$236="Closed"</formula>
    </cfRule>
  </conditionalFormatting>
  <conditionalFormatting sqref="I236:R236">
    <cfRule type="expression" dxfId="1294" priority="1297">
      <formula>$P$236="Canceled"</formula>
    </cfRule>
  </conditionalFormatting>
  <conditionalFormatting sqref="I236:R236">
    <cfRule type="expression" dxfId="1293" priority="1296">
      <formula>$P$236="Suspended"</formula>
    </cfRule>
  </conditionalFormatting>
  <conditionalFormatting sqref="I236:R236">
    <cfRule type="expression" dxfId="1292" priority="1295">
      <formula>$P$236="Applied"</formula>
    </cfRule>
  </conditionalFormatting>
  <conditionalFormatting sqref="I236:R236">
    <cfRule type="expression" dxfId="1291" priority="1294">
      <formula>$P$236="N/A"</formula>
    </cfRule>
  </conditionalFormatting>
  <conditionalFormatting sqref="I236:R236">
    <cfRule type="expression" dxfId="1290" priority="1293">
      <formula>$P$236=""</formula>
    </cfRule>
  </conditionalFormatting>
  <conditionalFormatting sqref="I236:R236">
    <cfRule type="expression" dxfId="1289" priority="1292">
      <formula>$I$236="Module 1"</formula>
    </cfRule>
  </conditionalFormatting>
  <conditionalFormatting sqref="I236:R236">
    <cfRule type="expression" dxfId="1288" priority="1291">
      <formula>$I$236="Module 2"</formula>
    </cfRule>
  </conditionalFormatting>
  <conditionalFormatting sqref="I236:R236">
    <cfRule type="expression" dxfId="1287" priority="1290">
      <formula>$I$236="Module 3"</formula>
    </cfRule>
    <cfRule type="expression" dxfId="1286" priority="1288">
      <formula>$I$236="Type 1"</formula>
    </cfRule>
    <cfRule type="expression" dxfId="1285" priority="1286">
      <formula>$I$236="Type 3"</formula>
    </cfRule>
  </conditionalFormatting>
  <conditionalFormatting sqref="L236">
    <cfRule type="expression" dxfId="1284" priority="1285">
      <formula>$L$236="1"</formula>
    </cfRule>
  </conditionalFormatting>
  <conditionalFormatting sqref="L236">
    <cfRule type="expression" dxfId="1283" priority="1284">
      <formula>$L$236="2"</formula>
    </cfRule>
  </conditionalFormatting>
  <conditionalFormatting sqref="L236">
    <cfRule type="expression" dxfId="1282" priority="1283">
      <formula>$L$236="3"</formula>
    </cfRule>
  </conditionalFormatting>
  <conditionalFormatting sqref="L236">
    <cfRule type="expression" dxfId="1281" priority="1282">
      <formula>$L$236="4"</formula>
    </cfRule>
  </conditionalFormatting>
  <conditionalFormatting sqref="L236">
    <cfRule type="expression" dxfId="1280" priority="1281">
      <formula>$L$236="5"</formula>
    </cfRule>
  </conditionalFormatting>
  <conditionalFormatting sqref="I237:R237">
    <cfRule type="expression" dxfId="1279" priority="1280">
      <formula>$P$237="Not started"</formula>
    </cfRule>
    <cfRule type="expression" dxfId="1278" priority="1269">
      <formula>$I$237="or"</formula>
    </cfRule>
    <cfRule type="expression" dxfId="1277" priority="1267">
      <formula>$I$237="Type 2"</formula>
    </cfRule>
  </conditionalFormatting>
  <conditionalFormatting sqref="I237:R237">
    <cfRule type="expression" dxfId="1276" priority="1279">
      <formula>$P$237="In progress"</formula>
    </cfRule>
  </conditionalFormatting>
  <conditionalFormatting sqref="I237:R237">
    <cfRule type="expression" dxfId="1275" priority="1278">
      <formula>$P$237="Closed"</formula>
    </cfRule>
  </conditionalFormatting>
  <conditionalFormatting sqref="I237:R237">
    <cfRule type="expression" dxfId="1274" priority="1277">
      <formula>$P$237="Canceled"</formula>
    </cfRule>
  </conditionalFormatting>
  <conditionalFormatting sqref="I237:R237">
    <cfRule type="expression" dxfId="1273" priority="1276">
      <formula>$P$237="Suspended"</formula>
    </cfRule>
  </conditionalFormatting>
  <conditionalFormatting sqref="I237:R237">
    <cfRule type="expression" dxfId="1272" priority="1275">
      <formula>$P$237="Applied"</formula>
    </cfRule>
  </conditionalFormatting>
  <conditionalFormatting sqref="I237:R237">
    <cfRule type="expression" dxfId="1271" priority="1274">
      <formula>$P$237="N/A"</formula>
    </cfRule>
  </conditionalFormatting>
  <conditionalFormatting sqref="I237:R237">
    <cfRule type="expression" dxfId="1270" priority="1273">
      <formula>$P$237=""</formula>
    </cfRule>
  </conditionalFormatting>
  <conditionalFormatting sqref="I237:R237">
    <cfRule type="expression" dxfId="1269" priority="1272">
      <formula>$I$237="Module 1"</formula>
    </cfRule>
  </conditionalFormatting>
  <conditionalFormatting sqref="I237:R237">
    <cfRule type="expression" dxfId="1268" priority="1271">
      <formula>$I$237="Module 2"</formula>
    </cfRule>
  </conditionalFormatting>
  <conditionalFormatting sqref="I237:R237">
    <cfRule type="expression" dxfId="1267" priority="1270">
      <formula>$I$237="Module 3"</formula>
    </cfRule>
    <cfRule type="expression" dxfId="1266" priority="1268">
      <formula>$I$237="Type 1"</formula>
    </cfRule>
    <cfRule type="expression" dxfId="1265" priority="1266">
      <formula>$I$237="Type 3"</formula>
    </cfRule>
  </conditionalFormatting>
  <conditionalFormatting sqref="L237">
    <cfRule type="expression" dxfId="1264" priority="1265">
      <formula>$L$237="1"</formula>
    </cfRule>
  </conditionalFormatting>
  <conditionalFormatting sqref="L237">
    <cfRule type="expression" dxfId="1263" priority="1264">
      <formula>$L$237="2"</formula>
    </cfRule>
  </conditionalFormatting>
  <conditionalFormatting sqref="L237">
    <cfRule type="expression" dxfId="1262" priority="1263">
      <formula>$L$237="3"</formula>
    </cfRule>
  </conditionalFormatting>
  <conditionalFormatting sqref="L237">
    <cfRule type="expression" dxfId="1261" priority="1262">
      <formula>$L$237="4"</formula>
    </cfRule>
  </conditionalFormatting>
  <conditionalFormatting sqref="L237">
    <cfRule type="expression" dxfId="1260" priority="1261">
      <formula>$L$237="5"</formula>
    </cfRule>
  </conditionalFormatting>
  <conditionalFormatting sqref="I238:R238">
    <cfRule type="expression" dxfId="1259" priority="1260">
      <formula>$P$238="Not started"</formula>
    </cfRule>
  </conditionalFormatting>
  <conditionalFormatting sqref="I238:R238">
    <cfRule type="expression" dxfId="1258" priority="1259">
      <formula>$P$238="In progress"</formula>
    </cfRule>
  </conditionalFormatting>
  <conditionalFormatting sqref="I238:R238">
    <cfRule type="expression" dxfId="1257" priority="1258">
      <formula>$P$238="Closed"</formula>
    </cfRule>
  </conditionalFormatting>
  <conditionalFormatting sqref="I238:R238">
    <cfRule type="expression" dxfId="1256" priority="1257">
      <formula>$P$238="Canceled"</formula>
    </cfRule>
  </conditionalFormatting>
  <conditionalFormatting sqref="I238:R238">
    <cfRule type="expression" dxfId="1255" priority="1256">
      <formula>$P$238="Suspended"</formula>
    </cfRule>
  </conditionalFormatting>
  <conditionalFormatting sqref="I238:R238">
    <cfRule type="expression" dxfId="1254" priority="1255">
      <formula>$P$238="Applied"</formula>
    </cfRule>
  </conditionalFormatting>
  <conditionalFormatting sqref="I238:R238">
    <cfRule type="expression" dxfId="1253" priority="1254">
      <formula>$P$238="N/A"</formula>
    </cfRule>
  </conditionalFormatting>
  <conditionalFormatting sqref="I238:R238">
    <cfRule type="expression" dxfId="1252" priority="1253">
      <formula>$P$238=""</formula>
    </cfRule>
  </conditionalFormatting>
  <conditionalFormatting sqref="I238:R238">
    <cfRule type="expression" dxfId="1251" priority="1252">
      <formula>$I$238="Module 1"</formula>
    </cfRule>
  </conditionalFormatting>
  <conditionalFormatting sqref="I238:R238">
    <cfRule type="expression" dxfId="1250" priority="1251">
      <formula>$I$238="Module 2"</formula>
    </cfRule>
  </conditionalFormatting>
  <conditionalFormatting sqref="I238:R238">
    <cfRule type="expression" dxfId="1249" priority="1250">
      <formula>$I$238="Module 3"</formula>
    </cfRule>
  </conditionalFormatting>
  <conditionalFormatting sqref="I238:R238">
    <cfRule type="expression" dxfId="1248" priority="1249">
      <formula>$I$238="or"</formula>
    </cfRule>
  </conditionalFormatting>
  <conditionalFormatting sqref="I238:R238">
    <cfRule type="expression" dxfId="1247" priority="1248">
      <formula>$I$238="Type 1"</formula>
    </cfRule>
  </conditionalFormatting>
  <conditionalFormatting sqref="I238:R238">
    <cfRule type="expression" dxfId="1246" priority="1247">
      <formula>$I$238="Type 2"</formula>
    </cfRule>
  </conditionalFormatting>
  <conditionalFormatting sqref="I238:R238">
    <cfRule type="expression" dxfId="1245" priority="1246">
      <formula>$I$238="Type 3"</formula>
    </cfRule>
  </conditionalFormatting>
  <conditionalFormatting sqref="L238">
    <cfRule type="expression" dxfId="1244" priority="1245">
      <formula>$L$238="1"</formula>
    </cfRule>
  </conditionalFormatting>
  <conditionalFormatting sqref="L238">
    <cfRule type="expression" dxfId="1243" priority="1244">
      <formula>$L$238="2"</formula>
    </cfRule>
  </conditionalFormatting>
  <conditionalFormatting sqref="L238">
    <cfRule type="expression" dxfId="1242" priority="1243">
      <formula>$L$238="3"</formula>
    </cfRule>
  </conditionalFormatting>
  <conditionalFormatting sqref="L238">
    <cfRule type="expression" dxfId="1241" priority="1242">
      <formula>$L$238="4"</formula>
    </cfRule>
  </conditionalFormatting>
  <conditionalFormatting sqref="L238">
    <cfRule type="expression" dxfId="1240" priority="1241">
      <formula>$L$238="5"</formula>
    </cfRule>
  </conditionalFormatting>
  <conditionalFormatting sqref="I239:R239">
    <cfRule type="expression" dxfId="1239" priority="1240">
      <formula>$P$239="Not started"</formula>
    </cfRule>
    <cfRule type="expression" dxfId="1238" priority="1229">
      <formula>$I$239="or"</formula>
    </cfRule>
    <cfRule type="expression" dxfId="1237" priority="1227">
      <formula>$I$239="Type 2"</formula>
    </cfRule>
  </conditionalFormatting>
  <conditionalFormatting sqref="I239:R239">
    <cfRule type="expression" dxfId="1236" priority="1239">
      <formula>$P$239="In progress"</formula>
    </cfRule>
  </conditionalFormatting>
  <conditionalFormatting sqref="I239:R239">
    <cfRule type="expression" dxfId="1235" priority="1238">
      <formula>$P$239="Closed"</formula>
    </cfRule>
  </conditionalFormatting>
  <conditionalFormatting sqref="I239:R239">
    <cfRule type="expression" dxfId="1234" priority="1237">
      <formula>$P$239="Canceled"</formula>
    </cfRule>
  </conditionalFormatting>
  <conditionalFormatting sqref="I239:R239">
    <cfRule type="expression" dxfId="1233" priority="1236">
      <formula>$P$239="Suspended"</formula>
    </cfRule>
  </conditionalFormatting>
  <conditionalFormatting sqref="I239:R239">
    <cfRule type="expression" dxfId="1232" priority="1235">
      <formula>$P$239="Applied"</formula>
    </cfRule>
  </conditionalFormatting>
  <conditionalFormatting sqref="I239:R239">
    <cfRule type="expression" dxfId="1231" priority="1234">
      <formula>$P$239="N/A"</formula>
    </cfRule>
  </conditionalFormatting>
  <conditionalFormatting sqref="I239:R239">
    <cfRule type="expression" dxfId="1230" priority="1233">
      <formula>$P$239=""</formula>
    </cfRule>
  </conditionalFormatting>
  <conditionalFormatting sqref="I239:R239">
    <cfRule type="expression" dxfId="1229" priority="1232">
      <formula>$I$239="Module 1"</formula>
    </cfRule>
  </conditionalFormatting>
  <conditionalFormatting sqref="I239:R239">
    <cfRule type="expression" dxfId="1228" priority="1231">
      <formula>$I$239="Module 2"</formula>
    </cfRule>
  </conditionalFormatting>
  <conditionalFormatting sqref="I239:R239">
    <cfRule type="expression" dxfId="1227" priority="1230">
      <formula>$I$239="Module 3"</formula>
    </cfRule>
    <cfRule type="expression" dxfId="1226" priority="1228">
      <formula>$I$239="Type 1"</formula>
    </cfRule>
    <cfRule type="expression" dxfId="1225" priority="1226">
      <formula>$I$239="Type 3"</formula>
    </cfRule>
  </conditionalFormatting>
  <conditionalFormatting sqref="L239">
    <cfRule type="expression" dxfId="1224" priority="1225">
      <formula>$L$239="1"</formula>
    </cfRule>
  </conditionalFormatting>
  <conditionalFormatting sqref="L239">
    <cfRule type="expression" dxfId="1223" priority="1224">
      <formula>$L$239="2"</formula>
    </cfRule>
  </conditionalFormatting>
  <conditionalFormatting sqref="L239">
    <cfRule type="expression" dxfId="1222" priority="1223">
      <formula>$L$239="3"</formula>
    </cfRule>
  </conditionalFormatting>
  <conditionalFormatting sqref="L239">
    <cfRule type="expression" dxfId="1221" priority="1222">
      <formula>$L$239="4"</formula>
    </cfRule>
  </conditionalFormatting>
  <conditionalFormatting sqref="L239">
    <cfRule type="expression" dxfId="1220" priority="1221">
      <formula>$L$239="5"</formula>
    </cfRule>
  </conditionalFormatting>
  <conditionalFormatting sqref="I240:R240">
    <cfRule type="expression" dxfId="1219" priority="1220">
      <formula>$P$240="Not started"</formula>
    </cfRule>
    <cfRule type="expression" dxfId="1218" priority="1209">
      <formula>$I$240="or"</formula>
    </cfRule>
    <cfRule type="expression" dxfId="1217" priority="1207">
      <formula>$I$240="Type 2"</formula>
    </cfRule>
  </conditionalFormatting>
  <conditionalFormatting sqref="I240:R240">
    <cfRule type="expression" dxfId="1216" priority="1219">
      <formula>$P$240="In progress"</formula>
    </cfRule>
  </conditionalFormatting>
  <conditionalFormatting sqref="I240:R240">
    <cfRule type="expression" dxfId="1215" priority="1218">
      <formula>$P$240="Closed"</formula>
    </cfRule>
  </conditionalFormatting>
  <conditionalFormatting sqref="I240:R240">
    <cfRule type="expression" dxfId="1214" priority="1217">
      <formula>$P$240="Canceled"</formula>
    </cfRule>
  </conditionalFormatting>
  <conditionalFormatting sqref="I240:R240">
    <cfRule type="expression" dxfId="1213" priority="1216">
      <formula>$P$240="Suspended"</formula>
    </cfRule>
  </conditionalFormatting>
  <conditionalFormatting sqref="I240:R240">
    <cfRule type="expression" dxfId="1212" priority="1215">
      <formula>$P$240="Applied"</formula>
    </cfRule>
  </conditionalFormatting>
  <conditionalFormatting sqref="I240:R240">
    <cfRule type="expression" dxfId="1211" priority="1214">
      <formula>$P$240="N/A"</formula>
    </cfRule>
  </conditionalFormatting>
  <conditionalFormatting sqref="I240:R240">
    <cfRule type="expression" dxfId="1210" priority="1213">
      <formula>$P$240=""</formula>
    </cfRule>
  </conditionalFormatting>
  <conditionalFormatting sqref="I240:R240">
    <cfRule type="expression" dxfId="1209" priority="1212">
      <formula>$I$240="Module 1"</formula>
    </cfRule>
  </conditionalFormatting>
  <conditionalFormatting sqref="I240:R240">
    <cfRule type="expression" dxfId="1208" priority="1211">
      <formula>$I$240="Module 2"</formula>
    </cfRule>
  </conditionalFormatting>
  <conditionalFormatting sqref="I240:R240">
    <cfRule type="expression" dxfId="1207" priority="1210">
      <formula>$I$240="Module 3"</formula>
    </cfRule>
    <cfRule type="expression" dxfId="1206" priority="1208">
      <formula>$I$240="Type 1"</formula>
    </cfRule>
    <cfRule type="expression" dxfId="1205" priority="1206">
      <formula>$I$240="Type 3"</formula>
    </cfRule>
  </conditionalFormatting>
  <conditionalFormatting sqref="L240">
    <cfRule type="expression" dxfId="1204" priority="1205">
      <formula>$L$240="1"</formula>
    </cfRule>
  </conditionalFormatting>
  <conditionalFormatting sqref="L240">
    <cfRule type="expression" dxfId="1203" priority="1204">
      <formula>$L$240="2"</formula>
    </cfRule>
  </conditionalFormatting>
  <conditionalFormatting sqref="L240">
    <cfRule type="expression" dxfId="1202" priority="1203">
      <formula>$L$240="3"</formula>
    </cfRule>
  </conditionalFormatting>
  <conditionalFormatting sqref="L240">
    <cfRule type="expression" dxfId="1201" priority="1202">
      <formula>$L$240="4"</formula>
    </cfRule>
  </conditionalFormatting>
  <conditionalFormatting sqref="L240">
    <cfRule type="expression" dxfId="1200" priority="1201">
      <formula>$L$240="5"</formula>
    </cfRule>
  </conditionalFormatting>
  <conditionalFormatting sqref="I241:R241">
    <cfRule type="expression" dxfId="1199" priority="1200">
      <formula>$P$241="Not started"</formula>
    </cfRule>
    <cfRule type="expression" dxfId="1198" priority="1189">
      <formula>$I$241="or"</formula>
    </cfRule>
    <cfRule type="expression" dxfId="1197" priority="1187">
      <formula>$I$241="Type 2"</formula>
    </cfRule>
  </conditionalFormatting>
  <conditionalFormatting sqref="I241:R241">
    <cfRule type="expression" dxfId="1196" priority="1199">
      <formula>$P$241="In progress"</formula>
    </cfRule>
  </conditionalFormatting>
  <conditionalFormatting sqref="I241:R241">
    <cfRule type="expression" dxfId="1195" priority="1198">
      <formula>$P$241="Closed"</formula>
    </cfRule>
  </conditionalFormatting>
  <conditionalFormatting sqref="I241:R241">
    <cfRule type="expression" dxfId="1194" priority="1197">
      <formula>$P$241="Canceled"</formula>
    </cfRule>
  </conditionalFormatting>
  <conditionalFormatting sqref="I241:R241">
    <cfRule type="expression" dxfId="1193" priority="1196">
      <formula>$P$241="Suspended"</formula>
    </cfRule>
  </conditionalFormatting>
  <conditionalFormatting sqref="I241:R241">
    <cfRule type="expression" dxfId="1192" priority="1195">
      <formula>$P$241="Applied"</formula>
    </cfRule>
  </conditionalFormatting>
  <conditionalFormatting sqref="I241:R241">
    <cfRule type="expression" dxfId="1191" priority="1194">
      <formula>$P$241="N/A"</formula>
    </cfRule>
  </conditionalFormatting>
  <conditionalFormatting sqref="I241:R241">
    <cfRule type="expression" dxfId="1190" priority="1193">
      <formula>$P$241=""</formula>
    </cfRule>
  </conditionalFormatting>
  <conditionalFormatting sqref="I241:R241">
    <cfRule type="expression" dxfId="1189" priority="1192">
      <formula>$I$241="Module 1"</formula>
    </cfRule>
  </conditionalFormatting>
  <conditionalFormatting sqref="I241:R241">
    <cfRule type="expression" dxfId="1188" priority="1191">
      <formula>$I$241="Module 2"</formula>
    </cfRule>
  </conditionalFormatting>
  <conditionalFormatting sqref="I241:R241">
    <cfRule type="expression" dxfId="1187" priority="1190">
      <formula>$I$241="Module 3"</formula>
    </cfRule>
    <cfRule type="expression" dxfId="1186" priority="1188">
      <formula>$I$241="Type 1"</formula>
    </cfRule>
    <cfRule type="expression" dxfId="1185" priority="1186">
      <formula>$I$241="Type 3"</formula>
    </cfRule>
  </conditionalFormatting>
  <conditionalFormatting sqref="L241">
    <cfRule type="expression" dxfId="1184" priority="1185">
      <formula>$L$241="1"</formula>
    </cfRule>
  </conditionalFormatting>
  <conditionalFormatting sqref="L241">
    <cfRule type="expression" dxfId="1183" priority="1184">
      <formula>$L$241="2"</formula>
    </cfRule>
  </conditionalFormatting>
  <conditionalFormatting sqref="L241">
    <cfRule type="expression" dxfId="1182" priority="1183">
      <formula>$L$241="3"</formula>
    </cfRule>
  </conditionalFormatting>
  <conditionalFormatting sqref="L241">
    <cfRule type="expression" dxfId="1181" priority="1182">
      <formula>$L$241="4"</formula>
    </cfRule>
  </conditionalFormatting>
  <conditionalFormatting sqref="L241">
    <cfRule type="expression" dxfId="1180" priority="1181">
      <formula>$L$241="5"</formula>
    </cfRule>
  </conditionalFormatting>
  <conditionalFormatting sqref="I242:R242">
    <cfRule type="expression" dxfId="1179" priority="1180">
      <formula>$P$242="Not started"</formula>
    </cfRule>
    <cfRule type="expression" dxfId="1178" priority="1169">
      <formula>$I$242="or"</formula>
    </cfRule>
    <cfRule type="expression" dxfId="1177" priority="1167">
      <formula>$I$242="Type 2"</formula>
    </cfRule>
  </conditionalFormatting>
  <conditionalFormatting sqref="I242:R242">
    <cfRule type="expression" dxfId="1176" priority="1179">
      <formula>$P$242="In progress"</formula>
    </cfRule>
  </conditionalFormatting>
  <conditionalFormatting sqref="I242:R242">
    <cfRule type="expression" dxfId="1175" priority="1178">
      <formula>$P$242="Closed"</formula>
    </cfRule>
  </conditionalFormatting>
  <conditionalFormatting sqref="I242:R242">
    <cfRule type="expression" dxfId="1174" priority="1177">
      <formula>$P$242="Canceled"</formula>
    </cfRule>
  </conditionalFormatting>
  <conditionalFormatting sqref="I242:R242">
    <cfRule type="expression" dxfId="1173" priority="1176">
      <formula>$P$242="Suspended"</formula>
    </cfRule>
  </conditionalFormatting>
  <conditionalFormatting sqref="I242:R242">
    <cfRule type="expression" dxfId="1172" priority="1175">
      <formula>$P$242="Applied"</formula>
    </cfRule>
  </conditionalFormatting>
  <conditionalFormatting sqref="I242:R242">
    <cfRule type="expression" dxfId="1171" priority="1174">
      <formula>$P$242="N/A"</formula>
    </cfRule>
  </conditionalFormatting>
  <conditionalFormatting sqref="I242:R242">
    <cfRule type="expression" dxfId="1170" priority="1173">
      <formula>$P$242=""</formula>
    </cfRule>
  </conditionalFormatting>
  <conditionalFormatting sqref="I242:R242">
    <cfRule type="expression" dxfId="1169" priority="1172">
      <formula>$I$242="Module 1"</formula>
    </cfRule>
  </conditionalFormatting>
  <conditionalFormatting sqref="I242:R242">
    <cfRule type="expression" dxfId="1168" priority="1171">
      <formula>$I$242="Module 2"</formula>
    </cfRule>
  </conditionalFormatting>
  <conditionalFormatting sqref="I242:R242">
    <cfRule type="expression" dxfId="1167" priority="1170">
      <formula>$I$242="Module 3"</formula>
    </cfRule>
    <cfRule type="expression" dxfId="1166" priority="1168">
      <formula>$I$242="Type 1"</formula>
    </cfRule>
    <cfRule type="expression" dxfId="1165" priority="1166">
      <formula>$I$242="Type 3"</formula>
    </cfRule>
  </conditionalFormatting>
  <conditionalFormatting sqref="L242">
    <cfRule type="expression" dxfId="1164" priority="1165">
      <formula>$L$242="1"</formula>
    </cfRule>
  </conditionalFormatting>
  <conditionalFormatting sqref="L242">
    <cfRule type="expression" dxfId="1163" priority="1164">
      <formula>$L$242="2"</formula>
    </cfRule>
  </conditionalFormatting>
  <conditionalFormatting sqref="L242">
    <cfRule type="expression" dxfId="1162" priority="1163">
      <formula>$L$242="3"</formula>
    </cfRule>
  </conditionalFormatting>
  <conditionalFormatting sqref="L242">
    <cfRule type="expression" dxfId="1161" priority="1162">
      <formula>$L$242="4"</formula>
    </cfRule>
  </conditionalFormatting>
  <conditionalFormatting sqref="L242">
    <cfRule type="expression" dxfId="1160" priority="1161">
      <formula>$L$242="5"</formula>
    </cfRule>
  </conditionalFormatting>
  <conditionalFormatting sqref="I243:R243">
    <cfRule type="expression" dxfId="1159" priority="1160">
      <formula>$P$243="Not started"</formula>
    </cfRule>
    <cfRule type="expression" dxfId="1158" priority="1149">
      <formula>$I$243="or"</formula>
    </cfRule>
    <cfRule type="expression" dxfId="1157" priority="1147">
      <formula>$I$243="Type 2"</formula>
    </cfRule>
  </conditionalFormatting>
  <conditionalFormatting sqref="I243:R243">
    <cfRule type="expression" dxfId="1156" priority="1159">
      <formula>$P$243="In progress"</formula>
    </cfRule>
  </conditionalFormatting>
  <conditionalFormatting sqref="I243:R243">
    <cfRule type="expression" dxfId="1155" priority="1158">
      <formula>$P$243="Closed"</formula>
    </cfRule>
  </conditionalFormatting>
  <conditionalFormatting sqref="I243:R243">
    <cfRule type="expression" dxfId="1154" priority="1157">
      <formula>$P$243="Canceled"</formula>
    </cfRule>
  </conditionalFormatting>
  <conditionalFormatting sqref="I243:R243">
    <cfRule type="expression" dxfId="1153" priority="1156">
      <formula>$P$243="Suspended"</formula>
    </cfRule>
  </conditionalFormatting>
  <conditionalFormatting sqref="I243:R243">
    <cfRule type="expression" dxfId="1152" priority="1155">
      <formula>$P$243="Applied"</formula>
    </cfRule>
  </conditionalFormatting>
  <conditionalFormatting sqref="I243:R243">
    <cfRule type="expression" dxfId="1151" priority="1154">
      <formula>$P$243="N/A"</formula>
    </cfRule>
  </conditionalFormatting>
  <conditionalFormatting sqref="I243:R243">
    <cfRule type="expression" dxfId="1150" priority="1153">
      <formula>$P$243=""</formula>
    </cfRule>
  </conditionalFormatting>
  <conditionalFormatting sqref="I243:R243">
    <cfRule type="expression" dxfId="1149" priority="1152">
      <formula>$I$243="Module 1"</formula>
    </cfRule>
  </conditionalFormatting>
  <conditionalFormatting sqref="I243:R243">
    <cfRule type="expression" dxfId="1148" priority="1151">
      <formula>$I$243="Module 2"</formula>
    </cfRule>
  </conditionalFormatting>
  <conditionalFormatting sqref="I243:R243">
    <cfRule type="expression" dxfId="1147" priority="1150">
      <formula>$I$243="Module 3"</formula>
    </cfRule>
    <cfRule type="expression" dxfId="1146" priority="1148">
      <formula>$I$243="Type 1"</formula>
    </cfRule>
    <cfRule type="expression" dxfId="1145" priority="1146">
      <formula>$I$243="Type 3"</formula>
    </cfRule>
  </conditionalFormatting>
  <conditionalFormatting sqref="L243">
    <cfRule type="expression" dxfId="1144" priority="1145">
      <formula>$L$243="1"</formula>
    </cfRule>
  </conditionalFormatting>
  <conditionalFormatting sqref="L243">
    <cfRule type="expression" dxfId="1143" priority="1144">
      <formula>$L$243="2"</formula>
    </cfRule>
  </conditionalFormatting>
  <conditionalFormatting sqref="L243">
    <cfRule type="expression" dxfId="1142" priority="1143">
      <formula>$L$243="3"</formula>
    </cfRule>
  </conditionalFormatting>
  <conditionalFormatting sqref="L243">
    <cfRule type="expression" dxfId="1141" priority="1142">
      <formula>$L$243="4"</formula>
    </cfRule>
  </conditionalFormatting>
  <conditionalFormatting sqref="L243">
    <cfRule type="expression" dxfId="1140" priority="1141">
      <formula>$L$243="5"</formula>
    </cfRule>
  </conditionalFormatting>
  <conditionalFormatting sqref="I244:R244">
    <cfRule type="expression" dxfId="1139" priority="1140">
      <formula>$P$244="Not started"</formula>
    </cfRule>
    <cfRule type="expression" dxfId="1138" priority="1129">
      <formula>$I$244="or"</formula>
    </cfRule>
    <cfRule type="expression" dxfId="1137" priority="1127">
      <formula>$I$244="Type 2"</formula>
    </cfRule>
  </conditionalFormatting>
  <conditionalFormatting sqref="I244:R244">
    <cfRule type="expression" dxfId="1136" priority="1139">
      <formula>$P$244="In progress"</formula>
    </cfRule>
  </conditionalFormatting>
  <conditionalFormatting sqref="I244:R244">
    <cfRule type="expression" dxfId="1135" priority="1138">
      <formula>$P$244="Closed"</formula>
    </cfRule>
  </conditionalFormatting>
  <conditionalFormatting sqref="I244:R244">
    <cfRule type="expression" dxfId="1134" priority="1137">
      <formula>$P$244="Canceled"</formula>
    </cfRule>
  </conditionalFormatting>
  <conditionalFormatting sqref="I244:R244">
    <cfRule type="expression" dxfId="1133" priority="1136">
      <formula>$P$244="Suspended"</formula>
    </cfRule>
  </conditionalFormatting>
  <conditionalFormatting sqref="I244:R244">
    <cfRule type="expression" dxfId="1132" priority="1135">
      <formula>$P$244="Applied"</formula>
    </cfRule>
  </conditionalFormatting>
  <conditionalFormatting sqref="I244:R244">
    <cfRule type="expression" dxfId="1131" priority="1134">
      <formula>$P$244="N/A"</formula>
    </cfRule>
  </conditionalFormatting>
  <conditionalFormatting sqref="I244:R244">
    <cfRule type="expression" dxfId="1130" priority="1133">
      <formula>$P$244=""</formula>
    </cfRule>
  </conditionalFormatting>
  <conditionalFormatting sqref="I244:R244">
    <cfRule type="expression" dxfId="1129" priority="1132">
      <formula>$I$244="Module 1"</formula>
    </cfRule>
  </conditionalFormatting>
  <conditionalFormatting sqref="I244:R244">
    <cfRule type="expression" dxfId="1128" priority="1131">
      <formula>$I$244="Module 2"</formula>
    </cfRule>
  </conditionalFormatting>
  <conditionalFormatting sqref="I244:R244">
    <cfRule type="expression" dxfId="1127" priority="1130">
      <formula>$I$244="Module 3"</formula>
    </cfRule>
    <cfRule type="expression" dxfId="1126" priority="1128">
      <formula>$I$244="Type 1"</formula>
    </cfRule>
    <cfRule type="expression" dxfId="1125" priority="1126">
      <formula>$I$244="Type 3"</formula>
    </cfRule>
  </conditionalFormatting>
  <conditionalFormatting sqref="L244">
    <cfRule type="expression" dxfId="1124" priority="1125">
      <formula>$L$244="1"</formula>
    </cfRule>
  </conditionalFormatting>
  <conditionalFormatting sqref="L244">
    <cfRule type="expression" dxfId="1123" priority="1124">
      <formula>$L$244="2"</formula>
    </cfRule>
  </conditionalFormatting>
  <conditionalFormatting sqref="L244">
    <cfRule type="expression" dxfId="1122" priority="1123">
      <formula>$L$244="3"</formula>
    </cfRule>
  </conditionalFormatting>
  <conditionalFormatting sqref="L244">
    <cfRule type="expression" dxfId="1121" priority="1122">
      <formula>$L$244="4"</formula>
    </cfRule>
  </conditionalFormatting>
  <conditionalFormatting sqref="L244">
    <cfRule type="expression" dxfId="1120" priority="1121">
      <formula>$L$244="5"</formula>
    </cfRule>
  </conditionalFormatting>
  <conditionalFormatting sqref="I245:R245">
    <cfRule type="expression" dxfId="1119" priority="1120">
      <formula>$P$245="Not started"</formula>
    </cfRule>
    <cfRule type="expression" dxfId="1118" priority="1109">
      <formula>$I$245="or"</formula>
    </cfRule>
    <cfRule type="expression" dxfId="1117" priority="1107">
      <formula>$I$245="Type 2"</formula>
    </cfRule>
  </conditionalFormatting>
  <conditionalFormatting sqref="I245:R245">
    <cfRule type="expression" dxfId="1116" priority="1119">
      <formula>$P$245="In progress"</formula>
    </cfRule>
  </conditionalFormatting>
  <conditionalFormatting sqref="I245:R245">
    <cfRule type="expression" dxfId="1115" priority="1118">
      <formula>$P$245="Closed"</formula>
    </cfRule>
  </conditionalFormatting>
  <conditionalFormatting sqref="I245:R245">
    <cfRule type="expression" dxfId="1114" priority="1117">
      <formula>$P$245="Canceled"</formula>
    </cfRule>
  </conditionalFormatting>
  <conditionalFormatting sqref="I245:R245">
    <cfRule type="expression" dxfId="1113" priority="1116">
      <formula>$P$245="Suspended"</formula>
    </cfRule>
  </conditionalFormatting>
  <conditionalFormatting sqref="I245:R245">
    <cfRule type="expression" dxfId="1112" priority="1115">
      <formula>$P$245="Applied"</formula>
    </cfRule>
  </conditionalFormatting>
  <conditionalFormatting sqref="I245:R245">
    <cfRule type="expression" dxfId="1111" priority="1114">
      <formula>$P$245="N/A"</formula>
    </cfRule>
  </conditionalFormatting>
  <conditionalFormatting sqref="I245:R245">
    <cfRule type="expression" dxfId="1110" priority="1113">
      <formula>$P$245=""</formula>
    </cfRule>
  </conditionalFormatting>
  <conditionalFormatting sqref="I245:R245">
    <cfRule type="expression" dxfId="1109" priority="1112">
      <formula>$I$245="Module 1"</formula>
    </cfRule>
  </conditionalFormatting>
  <conditionalFormatting sqref="I245:R245">
    <cfRule type="expression" dxfId="1108" priority="1111">
      <formula>$I$245="Module 2"</formula>
    </cfRule>
  </conditionalFormatting>
  <conditionalFormatting sqref="I245:R245">
    <cfRule type="expression" dxfId="1107" priority="1110">
      <formula>$I$245="Module 3"</formula>
    </cfRule>
    <cfRule type="expression" dxfId="1106" priority="1108">
      <formula>$I$245="Type 1"</formula>
    </cfRule>
    <cfRule type="expression" dxfId="1105" priority="1106">
      <formula>$I$245="Type 3"</formula>
    </cfRule>
  </conditionalFormatting>
  <conditionalFormatting sqref="L245">
    <cfRule type="expression" dxfId="1104" priority="1105">
      <formula>$L$245="1"</formula>
    </cfRule>
  </conditionalFormatting>
  <conditionalFormatting sqref="L245">
    <cfRule type="expression" dxfId="1103" priority="1104">
      <formula>$L$245="2"</formula>
    </cfRule>
  </conditionalFormatting>
  <conditionalFormatting sqref="L245">
    <cfRule type="expression" dxfId="1102" priority="1103">
      <formula>$L$245="3"</formula>
    </cfRule>
  </conditionalFormatting>
  <conditionalFormatting sqref="L245">
    <cfRule type="expression" dxfId="1101" priority="1102">
      <formula>$L$245="4"</formula>
    </cfRule>
  </conditionalFormatting>
  <conditionalFormatting sqref="L245">
    <cfRule type="expression" dxfId="1100" priority="1101">
      <formula>$L$245="5"</formula>
    </cfRule>
  </conditionalFormatting>
  <conditionalFormatting sqref="I246:R246">
    <cfRule type="expression" dxfId="1099" priority="1100">
      <formula>$P$246="Not started"</formula>
    </cfRule>
    <cfRule type="expression" dxfId="1098" priority="1089">
      <formula>$I$246="or"</formula>
    </cfRule>
    <cfRule type="expression" dxfId="1097" priority="1087">
      <formula>$I$246="Type 2"</formula>
    </cfRule>
  </conditionalFormatting>
  <conditionalFormatting sqref="I246:R246">
    <cfRule type="expression" dxfId="1096" priority="1099">
      <formula>$P$246="In progress"</formula>
    </cfRule>
  </conditionalFormatting>
  <conditionalFormatting sqref="I246:R246">
    <cfRule type="expression" dxfId="1095" priority="1098">
      <formula>$P$246="Closed"</formula>
    </cfRule>
  </conditionalFormatting>
  <conditionalFormatting sqref="I246:R246">
    <cfRule type="expression" dxfId="1094" priority="1097">
      <formula>$P$246="Canceled"</formula>
    </cfRule>
  </conditionalFormatting>
  <conditionalFormatting sqref="I246:R246">
    <cfRule type="expression" dxfId="1093" priority="1096">
      <formula>$P$246="Suspended"</formula>
    </cfRule>
  </conditionalFormatting>
  <conditionalFormatting sqref="I246:R246">
    <cfRule type="expression" dxfId="1092" priority="1095">
      <formula>$P$246="Applied"</formula>
    </cfRule>
  </conditionalFormatting>
  <conditionalFormatting sqref="I246:R246">
    <cfRule type="expression" dxfId="1091" priority="1094">
      <formula>$P$246="N/A"</formula>
    </cfRule>
  </conditionalFormatting>
  <conditionalFormatting sqref="I246:R246">
    <cfRule type="expression" dxfId="1090" priority="1093">
      <formula>$P$246=""</formula>
    </cfRule>
  </conditionalFormatting>
  <conditionalFormatting sqref="I246:R246">
    <cfRule type="expression" dxfId="1089" priority="1092">
      <formula>$I$246="Module 1"</formula>
    </cfRule>
  </conditionalFormatting>
  <conditionalFormatting sqref="I246:R246">
    <cfRule type="expression" dxfId="1088" priority="1091">
      <formula>$I$246="Module 2"</formula>
    </cfRule>
  </conditionalFormatting>
  <conditionalFormatting sqref="I246:R246">
    <cfRule type="expression" dxfId="1087" priority="1090">
      <formula>$I$246="Module 3"</formula>
    </cfRule>
    <cfRule type="expression" dxfId="1086" priority="1088">
      <formula>$I$246="Type 1"</formula>
    </cfRule>
    <cfRule type="expression" dxfId="1085" priority="1086">
      <formula>$I$246="Type 3"</formula>
    </cfRule>
  </conditionalFormatting>
  <conditionalFormatting sqref="L246">
    <cfRule type="expression" dxfId="1084" priority="1085">
      <formula>$L$246="1"</formula>
    </cfRule>
  </conditionalFormatting>
  <conditionalFormatting sqref="L246">
    <cfRule type="expression" dxfId="1083" priority="1084">
      <formula>$L$246="2"</formula>
    </cfRule>
  </conditionalFormatting>
  <conditionalFormatting sqref="L246">
    <cfRule type="expression" dxfId="1082" priority="1083">
      <formula>$L$246="3"</formula>
    </cfRule>
  </conditionalFormatting>
  <conditionalFormatting sqref="L246">
    <cfRule type="expression" dxfId="1081" priority="1082">
      <formula>$L$246="4"</formula>
    </cfRule>
  </conditionalFormatting>
  <conditionalFormatting sqref="L246">
    <cfRule type="expression" dxfId="1080" priority="1081">
      <formula>$L$246="5"</formula>
    </cfRule>
  </conditionalFormatting>
  <conditionalFormatting sqref="I247:R247">
    <cfRule type="expression" dxfId="1079" priority="1080">
      <formula>$P$247="Not started"</formula>
    </cfRule>
    <cfRule type="expression" dxfId="1078" priority="1069">
      <formula>$I$247="or"</formula>
    </cfRule>
    <cfRule type="expression" dxfId="1077" priority="1067">
      <formula>$I$247="Type 2"</formula>
    </cfRule>
  </conditionalFormatting>
  <conditionalFormatting sqref="I247:R247">
    <cfRule type="expression" dxfId="1076" priority="1079">
      <formula>$P$247="In progress"</formula>
    </cfRule>
  </conditionalFormatting>
  <conditionalFormatting sqref="I247:R247">
    <cfRule type="expression" dxfId="1075" priority="1078">
      <formula>$P$247="Closed"</formula>
    </cfRule>
  </conditionalFormatting>
  <conditionalFormatting sqref="I247:R247">
    <cfRule type="expression" dxfId="1074" priority="1077">
      <formula>$P$247="Canceled"</formula>
    </cfRule>
  </conditionalFormatting>
  <conditionalFormatting sqref="I247:R247">
    <cfRule type="expression" dxfId="1073" priority="1076">
      <formula>$P$247="Suspended"</formula>
    </cfRule>
  </conditionalFormatting>
  <conditionalFormatting sqref="I247:R247">
    <cfRule type="expression" dxfId="1072" priority="1075">
      <formula>$P$247="Applied"</formula>
    </cfRule>
  </conditionalFormatting>
  <conditionalFormatting sqref="I247:R247">
    <cfRule type="expression" dxfId="1071" priority="1074">
      <formula>$P$247="N/A"</formula>
    </cfRule>
  </conditionalFormatting>
  <conditionalFormatting sqref="I247:R247">
    <cfRule type="expression" dxfId="1070" priority="1073">
      <formula>$P$247=""</formula>
    </cfRule>
  </conditionalFormatting>
  <conditionalFormatting sqref="I247:R247">
    <cfRule type="expression" dxfId="1069" priority="1072">
      <formula>$I$247="Module 1"</formula>
    </cfRule>
  </conditionalFormatting>
  <conditionalFormatting sqref="I247:R247">
    <cfRule type="expression" dxfId="1068" priority="1071">
      <formula>$I$247="Module 2"</formula>
    </cfRule>
  </conditionalFormatting>
  <conditionalFormatting sqref="I247:R247">
    <cfRule type="expression" dxfId="1067" priority="1070">
      <formula>$I$247="Module 3"</formula>
    </cfRule>
    <cfRule type="expression" dxfId="1066" priority="1068">
      <formula>$I$247="Type 1"</formula>
    </cfRule>
    <cfRule type="expression" dxfId="1065" priority="1066">
      <formula>$I$247="Type 3"</formula>
    </cfRule>
  </conditionalFormatting>
  <conditionalFormatting sqref="L247">
    <cfRule type="expression" dxfId="1064" priority="1065">
      <formula>$L$247="1"</formula>
    </cfRule>
  </conditionalFormatting>
  <conditionalFormatting sqref="L247">
    <cfRule type="expression" dxfId="1063" priority="1064">
      <formula>$L$247="2"</formula>
    </cfRule>
  </conditionalFormatting>
  <conditionalFormatting sqref="L247">
    <cfRule type="expression" dxfId="1062" priority="1063">
      <formula>$L$247="3"</formula>
    </cfRule>
  </conditionalFormatting>
  <conditionalFormatting sqref="L247">
    <cfRule type="expression" dxfId="1061" priority="1062">
      <formula>$L$247="4"</formula>
    </cfRule>
  </conditionalFormatting>
  <conditionalFormatting sqref="L247">
    <cfRule type="expression" dxfId="1060" priority="1061">
      <formula>$L$247="5"</formula>
    </cfRule>
  </conditionalFormatting>
  <conditionalFormatting sqref="I248:R248">
    <cfRule type="expression" dxfId="1059" priority="1060">
      <formula>$P$248="Not started"</formula>
    </cfRule>
  </conditionalFormatting>
  <conditionalFormatting sqref="I248:R248">
    <cfRule type="expression" dxfId="1058" priority="1059">
      <formula>$P$248="In progress"</formula>
    </cfRule>
  </conditionalFormatting>
  <conditionalFormatting sqref="I248:R248">
    <cfRule type="expression" dxfId="1057" priority="1058">
      <formula>$P$248="Closed"</formula>
    </cfRule>
  </conditionalFormatting>
  <conditionalFormatting sqref="I248:R248">
    <cfRule type="expression" dxfId="1056" priority="1057">
      <formula>$P$248="Canceled"</formula>
    </cfRule>
  </conditionalFormatting>
  <conditionalFormatting sqref="I248:R248">
    <cfRule type="expression" dxfId="1055" priority="1056">
      <formula>$P$248="Suspended"</formula>
    </cfRule>
  </conditionalFormatting>
  <conditionalFormatting sqref="I248:R248">
    <cfRule type="expression" dxfId="1054" priority="1055">
      <formula>$P$248="Applied"</formula>
    </cfRule>
  </conditionalFormatting>
  <conditionalFormatting sqref="I248:R248">
    <cfRule type="expression" dxfId="1053" priority="1054">
      <formula>$P$248="N/A"</formula>
    </cfRule>
  </conditionalFormatting>
  <conditionalFormatting sqref="I248:R248">
    <cfRule type="expression" dxfId="1052" priority="1053">
      <formula>$P$248=""</formula>
    </cfRule>
  </conditionalFormatting>
  <conditionalFormatting sqref="I248:R248">
    <cfRule type="expression" dxfId="1051" priority="1052">
      <formula>$I$248="Module 1"</formula>
    </cfRule>
  </conditionalFormatting>
  <conditionalFormatting sqref="I248:R248">
    <cfRule type="expression" dxfId="1050" priority="1051">
      <formula>$I$248="Module 2"</formula>
    </cfRule>
  </conditionalFormatting>
  <conditionalFormatting sqref="I248:R248">
    <cfRule type="expression" dxfId="1049" priority="1050">
      <formula>$I$248="Module 3"</formula>
    </cfRule>
  </conditionalFormatting>
  <conditionalFormatting sqref="I248:R248">
    <cfRule type="expression" dxfId="1048" priority="1049">
      <formula>$I$248="or"</formula>
    </cfRule>
  </conditionalFormatting>
  <conditionalFormatting sqref="I248:R248">
    <cfRule type="expression" dxfId="1047" priority="1048">
      <formula>$I$248="Type 1"</formula>
    </cfRule>
  </conditionalFormatting>
  <conditionalFormatting sqref="I248:R248">
    <cfRule type="expression" dxfId="1046" priority="1047">
      <formula>$I$248="Type 2"</formula>
    </cfRule>
  </conditionalFormatting>
  <conditionalFormatting sqref="I248:R248">
    <cfRule type="expression" dxfId="1045" priority="1046">
      <formula>$I$248="Type 3"</formula>
    </cfRule>
  </conditionalFormatting>
  <conditionalFormatting sqref="L248">
    <cfRule type="expression" dxfId="1044" priority="1045">
      <formula>$L$248="1"</formula>
    </cfRule>
  </conditionalFormatting>
  <conditionalFormatting sqref="L248">
    <cfRule type="expression" dxfId="1043" priority="1044">
      <formula>$L$248="2"</formula>
    </cfRule>
  </conditionalFormatting>
  <conditionalFormatting sqref="L248">
    <cfRule type="expression" dxfId="1042" priority="1043">
      <formula>$L$248="3"</formula>
    </cfRule>
  </conditionalFormatting>
  <conditionalFormatting sqref="L248">
    <cfRule type="expression" dxfId="1041" priority="1042">
      <formula>$L$248="4"</formula>
    </cfRule>
  </conditionalFormatting>
  <conditionalFormatting sqref="L248">
    <cfRule type="expression" dxfId="1040" priority="1041">
      <formula>$L$248="5"</formula>
    </cfRule>
  </conditionalFormatting>
  <conditionalFormatting sqref="I249:R249">
    <cfRule type="expression" dxfId="1039" priority="1040">
      <formula>$P$249="Not started"</formula>
    </cfRule>
    <cfRule type="expression" dxfId="1038" priority="1029">
      <formula>$I$249="or"</formula>
    </cfRule>
    <cfRule type="expression" dxfId="1037" priority="1027">
      <formula>$I$249="Type 2"</formula>
    </cfRule>
  </conditionalFormatting>
  <conditionalFormatting sqref="I249:R249">
    <cfRule type="expression" dxfId="1036" priority="1039">
      <formula>$P$249="In progress"</formula>
    </cfRule>
  </conditionalFormatting>
  <conditionalFormatting sqref="I249:R249">
    <cfRule type="expression" dxfId="1035" priority="1038">
      <formula>$P$249="Closed"</formula>
    </cfRule>
  </conditionalFormatting>
  <conditionalFormatting sqref="I249:R249">
    <cfRule type="expression" dxfId="1034" priority="1037">
      <formula>$P$249="Canceled"</formula>
    </cfRule>
  </conditionalFormatting>
  <conditionalFormatting sqref="I249:R249">
    <cfRule type="expression" dxfId="1033" priority="1036">
      <formula>$P$249="Suspended"</formula>
    </cfRule>
  </conditionalFormatting>
  <conditionalFormatting sqref="I249:R249">
    <cfRule type="expression" dxfId="1032" priority="1035">
      <formula>$P$249="Applied"</formula>
    </cfRule>
  </conditionalFormatting>
  <conditionalFormatting sqref="I249:R249">
    <cfRule type="expression" dxfId="1031" priority="1034">
      <formula>$P$249="N/A"</formula>
    </cfRule>
  </conditionalFormatting>
  <conditionalFormatting sqref="I249:R249">
    <cfRule type="expression" dxfId="1030" priority="1033">
      <formula>$P$249=""</formula>
    </cfRule>
  </conditionalFormatting>
  <conditionalFormatting sqref="I249:R249">
    <cfRule type="expression" dxfId="1029" priority="1032">
      <formula>$I$249="Module 1"</formula>
    </cfRule>
  </conditionalFormatting>
  <conditionalFormatting sqref="I249:R249">
    <cfRule type="expression" dxfId="1028" priority="1031">
      <formula>$I$249="Module 2"</formula>
    </cfRule>
  </conditionalFormatting>
  <conditionalFormatting sqref="I249:R249">
    <cfRule type="expression" dxfId="1027" priority="1030">
      <formula>$I$249="Module 3"</formula>
    </cfRule>
    <cfRule type="expression" dxfId="1026" priority="1028">
      <formula>$I$249="Type 1"</formula>
    </cfRule>
    <cfRule type="expression" dxfId="1025" priority="1026">
      <formula>$I$249="Type 3"</formula>
    </cfRule>
  </conditionalFormatting>
  <conditionalFormatting sqref="L249">
    <cfRule type="expression" dxfId="1024" priority="1025">
      <formula>$L$249="1"</formula>
    </cfRule>
  </conditionalFormatting>
  <conditionalFormatting sqref="L249">
    <cfRule type="expression" dxfId="1023" priority="1024">
      <formula>$L$249="2"</formula>
    </cfRule>
  </conditionalFormatting>
  <conditionalFormatting sqref="L249">
    <cfRule type="expression" dxfId="1022" priority="1023">
      <formula>$L$249="3"</formula>
    </cfRule>
  </conditionalFormatting>
  <conditionalFormatting sqref="L249">
    <cfRule type="expression" dxfId="1021" priority="1022">
      <formula>$L$249="4"</formula>
    </cfRule>
  </conditionalFormatting>
  <conditionalFormatting sqref="L249">
    <cfRule type="expression" dxfId="1020" priority="1021">
      <formula>$L$249="5"</formula>
    </cfRule>
  </conditionalFormatting>
  <conditionalFormatting sqref="I250:R250">
    <cfRule type="expression" dxfId="1019" priority="1020">
      <formula>$P$250="Not started"</formula>
    </cfRule>
    <cfRule type="expression" dxfId="1018" priority="1009">
      <formula>$I$250="or"</formula>
    </cfRule>
    <cfRule type="expression" dxfId="1017" priority="1007">
      <formula>$I$250="Type 2"</formula>
    </cfRule>
  </conditionalFormatting>
  <conditionalFormatting sqref="I250:R250">
    <cfRule type="expression" dxfId="1016" priority="1019">
      <formula>$P$250="In progress"</formula>
    </cfRule>
  </conditionalFormatting>
  <conditionalFormatting sqref="I250:R250">
    <cfRule type="expression" dxfId="1015" priority="1018">
      <formula>$P$250="Closed"</formula>
    </cfRule>
  </conditionalFormatting>
  <conditionalFormatting sqref="I250:R250">
    <cfRule type="expression" dxfId="1014" priority="1017">
      <formula>$P$250="Canceled"</formula>
    </cfRule>
  </conditionalFormatting>
  <conditionalFormatting sqref="I250:R250">
    <cfRule type="expression" dxfId="1013" priority="1016">
      <formula>$P$250="Suspended"</formula>
    </cfRule>
  </conditionalFormatting>
  <conditionalFormatting sqref="I250:R250">
    <cfRule type="expression" dxfId="1012" priority="1015">
      <formula>$P$250="Applied"</formula>
    </cfRule>
  </conditionalFormatting>
  <conditionalFormatting sqref="I250:R250">
    <cfRule type="expression" dxfId="1011" priority="1014">
      <formula>$P$250="N/A"</formula>
    </cfRule>
  </conditionalFormatting>
  <conditionalFormatting sqref="I250:R250">
    <cfRule type="expression" dxfId="1010" priority="1013">
      <formula>$P$250=""</formula>
    </cfRule>
  </conditionalFormatting>
  <conditionalFormatting sqref="I250:R250">
    <cfRule type="expression" dxfId="1009" priority="1012">
      <formula>$I$250="Module 1"</formula>
    </cfRule>
  </conditionalFormatting>
  <conditionalFormatting sqref="I250:R250">
    <cfRule type="expression" dxfId="1008" priority="1011">
      <formula>$I$250="Module 2"</formula>
    </cfRule>
  </conditionalFormatting>
  <conditionalFormatting sqref="I250:R250">
    <cfRule type="expression" dxfId="1007" priority="1010">
      <formula>$I$250="Module 3"</formula>
    </cfRule>
    <cfRule type="expression" dxfId="1006" priority="1008">
      <formula>$I$250="Type 1"</formula>
    </cfRule>
    <cfRule type="expression" dxfId="1005" priority="1006">
      <formula>$I$250="Type 3"</formula>
    </cfRule>
  </conditionalFormatting>
  <conditionalFormatting sqref="L250">
    <cfRule type="expression" dxfId="1004" priority="1005">
      <formula>$L$250="1"</formula>
    </cfRule>
  </conditionalFormatting>
  <conditionalFormatting sqref="L250">
    <cfRule type="expression" dxfId="1003" priority="1004">
      <formula>$L$250="2"</formula>
    </cfRule>
  </conditionalFormatting>
  <conditionalFormatting sqref="L250">
    <cfRule type="expression" dxfId="1002" priority="1003">
      <formula>$L$250="3"</formula>
    </cfRule>
  </conditionalFormatting>
  <conditionalFormatting sqref="L250">
    <cfRule type="expression" dxfId="1001" priority="1002">
      <formula>$L$250="4"</formula>
    </cfRule>
  </conditionalFormatting>
  <conditionalFormatting sqref="L250">
    <cfRule type="expression" dxfId="1000" priority="1001">
      <formula>$L$250="5"</formula>
    </cfRule>
  </conditionalFormatting>
  <conditionalFormatting sqref="I251:R251">
    <cfRule type="expression" dxfId="999" priority="1000">
      <formula>$P$251="Not started"</formula>
    </cfRule>
    <cfRule type="expression" dxfId="998" priority="989">
      <formula>$I$251="or"</formula>
    </cfRule>
    <cfRule type="expression" dxfId="997" priority="987">
      <formula>$I$251="Type 2"</formula>
    </cfRule>
  </conditionalFormatting>
  <conditionalFormatting sqref="I251:R251">
    <cfRule type="expression" dxfId="996" priority="999">
      <formula>$P$251="In progress"</formula>
    </cfRule>
  </conditionalFormatting>
  <conditionalFormatting sqref="I251:R251">
    <cfRule type="expression" dxfId="995" priority="998">
      <formula>$P$251="Closed"</formula>
    </cfRule>
  </conditionalFormatting>
  <conditionalFormatting sqref="I251:R251">
    <cfRule type="expression" dxfId="994" priority="997">
      <formula>$P$251="Canceled"</formula>
    </cfRule>
  </conditionalFormatting>
  <conditionalFormatting sqref="I251:R251">
    <cfRule type="expression" dxfId="993" priority="996">
      <formula>$P$251="Suspended"</formula>
    </cfRule>
  </conditionalFormatting>
  <conditionalFormatting sqref="I251:R251">
    <cfRule type="expression" dxfId="992" priority="995">
      <formula>$P$251="Applied"</formula>
    </cfRule>
  </conditionalFormatting>
  <conditionalFormatting sqref="I251:R251">
    <cfRule type="expression" dxfId="991" priority="994">
      <formula>$P$251="N/A"</formula>
    </cfRule>
  </conditionalFormatting>
  <conditionalFormatting sqref="I251:R251">
    <cfRule type="expression" dxfId="990" priority="993">
      <formula>$P$251=""</formula>
    </cfRule>
  </conditionalFormatting>
  <conditionalFormatting sqref="I251:R251">
    <cfRule type="expression" dxfId="989" priority="992">
      <formula>$I$251="Module 1"</formula>
    </cfRule>
  </conditionalFormatting>
  <conditionalFormatting sqref="I251:R251">
    <cfRule type="expression" dxfId="988" priority="991">
      <formula>$I$251="Module 2"</formula>
    </cfRule>
  </conditionalFormatting>
  <conditionalFormatting sqref="I251:R251">
    <cfRule type="expression" dxfId="987" priority="990">
      <formula>$I$251="Module 3"</formula>
    </cfRule>
    <cfRule type="expression" dxfId="986" priority="988">
      <formula>$I$251="Type 1"</formula>
    </cfRule>
    <cfRule type="expression" dxfId="985" priority="986">
      <formula>$I$251="Type 3"</formula>
    </cfRule>
  </conditionalFormatting>
  <conditionalFormatting sqref="L251">
    <cfRule type="expression" dxfId="984" priority="985">
      <formula>$L$251="1"</formula>
    </cfRule>
  </conditionalFormatting>
  <conditionalFormatting sqref="L251">
    <cfRule type="expression" dxfId="983" priority="984">
      <formula>$L$251="2"</formula>
    </cfRule>
  </conditionalFormatting>
  <conditionalFormatting sqref="L251">
    <cfRule type="expression" dxfId="982" priority="983">
      <formula>$L$251="3"</formula>
    </cfRule>
  </conditionalFormatting>
  <conditionalFormatting sqref="L251">
    <cfRule type="expression" dxfId="981" priority="982">
      <formula>$L$251="4"</formula>
    </cfRule>
  </conditionalFormatting>
  <conditionalFormatting sqref="L251">
    <cfRule type="expression" dxfId="980" priority="981">
      <formula>$L$251="5"</formula>
    </cfRule>
  </conditionalFormatting>
  <conditionalFormatting sqref="I252:R252">
    <cfRule type="expression" dxfId="979" priority="980">
      <formula>$P$252="Not started"</formula>
    </cfRule>
    <cfRule type="expression" dxfId="978" priority="969">
      <formula>$I$252="or"</formula>
    </cfRule>
    <cfRule type="expression" dxfId="977" priority="967">
      <formula>$I$252="Type 2"</formula>
    </cfRule>
  </conditionalFormatting>
  <conditionalFormatting sqref="I252:R252">
    <cfRule type="expression" dxfId="976" priority="979">
      <formula>$P$252="In progress"</formula>
    </cfRule>
  </conditionalFormatting>
  <conditionalFormatting sqref="I252:R252">
    <cfRule type="expression" dxfId="975" priority="978">
      <formula>$P$252="Closed"</formula>
    </cfRule>
  </conditionalFormatting>
  <conditionalFormatting sqref="I252:R252">
    <cfRule type="expression" dxfId="974" priority="977">
      <formula>$P$252="Canceled"</formula>
    </cfRule>
  </conditionalFormatting>
  <conditionalFormatting sqref="I252:R252">
    <cfRule type="expression" dxfId="973" priority="976">
      <formula>$P$252="Suspended"</formula>
    </cfRule>
  </conditionalFormatting>
  <conditionalFormatting sqref="I252:R252">
    <cfRule type="expression" dxfId="972" priority="975">
      <formula>$P$252="Applied"</formula>
    </cfRule>
  </conditionalFormatting>
  <conditionalFormatting sqref="I252:R252">
    <cfRule type="expression" dxfId="971" priority="974">
      <formula>$P$252="N/A"</formula>
    </cfRule>
  </conditionalFormatting>
  <conditionalFormatting sqref="I252:R252">
    <cfRule type="expression" dxfId="970" priority="973">
      <formula>$P$252=""</formula>
    </cfRule>
  </conditionalFormatting>
  <conditionalFormatting sqref="I252:R252">
    <cfRule type="expression" dxfId="969" priority="972">
      <formula>$I$252="Module 1"</formula>
    </cfRule>
  </conditionalFormatting>
  <conditionalFormatting sqref="I252:R252">
    <cfRule type="expression" dxfId="968" priority="971">
      <formula>$I$252="Module 2"</formula>
    </cfRule>
  </conditionalFormatting>
  <conditionalFormatting sqref="I252:R252">
    <cfRule type="expression" dxfId="967" priority="970">
      <formula>$I$252="Module 3"</formula>
    </cfRule>
    <cfRule type="expression" dxfId="966" priority="968">
      <formula>$I$252="Type 1"</formula>
    </cfRule>
    <cfRule type="expression" dxfId="965" priority="966">
      <formula>$I$252="Type 3"</formula>
    </cfRule>
  </conditionalFormatting>
  <conditionalFormatting sqref="L252">
    <cfRule type="expression" dxfId="964" priority="965">
      <formula>$L$252="1"</formula>
    </cfRule>
  </conditionalFormatting>
  <conditionalFormatting sqref="L252">
    <cfRule type="expression" dxfId="963" priority="964">
      <formula>$L$252="2"</formula>
    </cfRule>
  </conditionalFormatting>
  <conditionalFormatting sqref="L252">
    <cfRule type="expression" dxfId="962" priority="963">
      <formula>$L$252="3"</formula>
    </cfRule>
  </conditionalFormatting>
  <conditionalFormatting sqref="L252">
    <cfRule type="expression" dxfId="961" priority="962">
      <formula>$L$252="4"</formula>
    </cfRule>
  </conditionalFormatting>
  <conditionalFormatting sqref="L252">
    <cfRule type="expression" dxfId="960" priority="961">
      <formula>$L$252="5"</formula>
    </cfRule>
  </conditionalFormatting>
  <conditionalFormatting sqref="I253:R253">
    <cfRule type="expression" dxfId="959" priority="960">
      <formula>$P$253="Not started"</formula>
    </cfRule>
    <cfRule type="expression" dxfId="958" priority="949">
      <formula>$I$253="or"</formula>
    </cfRule>
    <cfRule type="expression" dxfId="957" priority="947">
      <formula>$I$253="Type 2"</formula>
    </cfRule>
  </conditionalFormatting>
  <conditionalFormatting sqref="I253:R253">
    <cfRule type="expression" dxfId="956" priority="959">
      <formula>$P$253="In progress"</formula>
    </cfRule>
  </conditionalFormatting>
  <conditionalFormatting sqref="I253:R253">
    <cfRule type="expression" dxfId="955" priority="958">
      <formula>$P$253="Closed"</formula>
    </cfRule>
  </conditionalFormatting>
  <conditionalFormatting sqref="I253:R253">
    <cfRule type="expression" dxfId="954" priority="957">
      <formula>$P$253="Canceled"</formula>
    </cfRule>
  </conditionalFormatting>
  <conditionalFormatting sqref="I253:R253">
    <cfRule type="expression" dxfId="953" priority="956">
      <formula>$P$253="Suspended"</formula>
    </cfRule>
  </conditionalFormatting>
  <conditionalFormatting sqref="I253:R253">
    <cfRule type="expression" dxfId="952" priority="955">
      <formula>$P$253="Applied"</formula>
    </cfRule>
  </conditionalFormatting>
  <conditionalFormatting sqref="I253:R253">
    <cfRule type="expression" dxfId="951" priority="954">
      <formula>$P$253="N/A"</formula>
    </cfRule>
  </conditionalFormatting>
  <conditionalFormatting sqref="I253:R253">
    <cfRule type="expression" dxfId="950" priority="953">
      <formula>$P$253=""</formula>
    </cfRule>
  </conditionalFormatting>
  <conditionalFormatting sqref="I253:R253">
    <cfRule type="expression" dxfId="949" priority="952">
      <formula>$I$253="Module 1"</formula>
    </cfRule>
  </conditionalFormatting>
  <conditionalFormatting sqref="I253:R253">
    <cfRule type="expression" dxfId="948" priority="951">
      <formula>$I$253="Module 2"</formula>
    </cfRule>
  </conditionalFormatting>
  <conditionalFormatting sqref="I253:R253">
    <cfRule type="expression" dxfId="947" priority="950">
      <formula>$I$253="Module 3"</formula>
    </cfRule>
    <cfRule type="expression" dxfId="946" priority="948">
      <formula>$I$253="Type 1"</formula>
    </cfRule>
    <cfRule type="expression" dxfId="945" priority="946">
      <formula>$I$253="Type 3"</formula>
    </cfRule>
  </conditionalFormatting>
  <conditionalFormatting sqref="L253">
    <cfRule type="expression" dxfId="944" priority="945">
      <formula>$L$253="1"</formula>
    </cfRule>
  </conditionalFormatting>
  <conditionalFormatting sqref="L253">
    <cfRule type="expression" dxfId="943" priority="944">
      <formula>$L$253="2"</formula>
    </cfRule>
  </conditionalFormatting>
  <conditionalFormatting sqref="L253">
    <cfRule type="expression" dxfId="942" priority="943">
      <formula>$L$253="3"</formula>
    </cfRule>
  </conditionalFormatting>
  <conditionalFormatting sqref="L253">
    <cfRule type="expression" dxfId="941" priority="942">
      <formula>$L$253="4"</formula>
    </cfRule>
  </conditionalFormatting>
  <conditionalFormatting sqref="L253">
    <cfRule type="expression" dxfId="940" priority="941">
      <formula>$L$253="5"</formula>
    </cfRule>
  </conditionalFormatting>
  <conditionalFormatting sqref="I254:R254">
    <cfRule type="expression" dxfId="939" priority="940">
      <formula>$P$254="Not started"</formula>
    </cfRule>
    <cfRule type="expression" dxfId="938" priority="929">
      <formula>$I$254="or"</formula>
    </cfRule>
    <cfRule type="expression" dxfId="937" priority="927">
      <formula>$I$254="Type 2"</formula>
    </cfRule>
  </conditionalFormatting>
  <conditionalFormatting sqref="I254:R254">
    <cfRule type="expression" dxfId="936" priority="939">
      <formula>$P$254="In progress"</formula>
    </cfRule>
  </conditionalFormatting>
  <conditionalFormatting sqref="I254:R254">
    <cfRule type="expression" dxfId="935" priority="938">
      <formula>$P$254="Closed"</formula>
    </cfRule>
  </conditionalFormatting>
  <conditionalFormatting sqref="I254:R254">
    <cfRule type="expression" dxfId="934" priority="937">
      <formula>$P$254="Canceled"</formula>
    </cfRule>
  </conditionalFormatting>
  <conditionalFormatting sqref="I254:R254">
    <cfRule type="expression" dxfId="933" priority="936">
      <formula>$P$254="Suspended"</formula>
    </cfRule>
  </conditionalFormatting>
  <conditionalFormatting sqref="I254:R254">
    <cfRule type="expression" dxfId="932" priority="935">
      <formula>$P$254="Applied"</formula>
    </cfRule>
  </conditionalFormatting>
  <conditionalFormatting sqref="I254:R254">
    <cfRule type="expression" dxfId="931" priority="934">
      <formula>$P$254="N/A"</formula>
    </cfRule>
  </conditionalFormatting>
  <conditionalFormatting sqref="I254:R254">
    <cfRule type="expression" dxfId="930" priority="933">
      <formula>$P$254=""</formula>
    </cfRule>
  </conditionalFormatting>
  <conditionalFormatting sqref="I254:R254">
    <cfRule type="expression" dxfId="929" priority="932">
      <formula>$I$254="Module 1"</formula>
    </cfRule>
  </conditionalFormatting>
  <conditionalFormatting sqref="I254:R254">
    <cfRule type="expression" dxfId="928" priority="931">
      <formula>$I$254="Module 2"</formula>
    </cfRule>
  </conditionalFormatting>
  <conditionalFormatting sqref="I254:R254">
    <cfRule type="expression" dxfId="927" priority="930">
      <formula>$I$254="Module 3"</formula>
    </cfRule>
    <cfRule type="expression" dxfId="926" priority="928">
      <formula>$I$254="Type 1"</formula>
    </cfRule>
    <cfRule type="expression" dxfId="925" priority="926">
      <formula>$I$254="Type 3"</formula>
    </cfRule>
  </conditionalFormatting>
  <conditionalFormatting sqref="L254">
    <cfRule type="expression" dxfId="924" priority="925">
      <formula>$L$254="1"</formula>
    </cfRule>
  </conditionalFormatting>
  <conditionalFormatting sqref="L254">
    <cfRule type="expression" dxfId="923" priority="924">
      <formula>$L$254="2"</formula>
    </cfRule>
  </conditionalFormatting>
  <conditionalFormatting sqref="L254">
    <cfRule type="expression" dxfId="922" priority="923">
      <formula>$L$254="3"</formula>
    </cfRule>
  </conditionalFormatting>
  <conditionalFormatting sqref="L254">
    <cfRule type="expression" dxfId="921" priority="922">
      <formula>$L$254="4"</formula>
    </cfRule>
  </conditionalFormatting>
  <conditionalFormatting sqref="L254">
    <cfRule type="expression" dxfId="920" priority="921">
      <formula>$L$254="5"</formula>
    </cfRule>
  </conditionalFormatting>
  <conditionalFormatting sqref="I255:R255">
    <cfRule type="expression" dxfId="919" priority="920">
      <formula>$P$255="Not started"</formula>
    </cfRule>
    <cfRule type="expression" dxfId="918" priority="909">
      <formula>$I$255="or"</formula>
    </cfRule>
    <cfRule type="expression" dxfId="917" priority="907">
      <formula>$I$255="Type 2"</formula>
    </cfRule>
  </conditionalFormatting>
  <conditionalFormatting sqref="I255:R255">
    <cfRule type="expression" dxfId="916" priority="919">
      <formula>$P$255="In progress"</formula>
    </cfRule>
  </conditionalFormatting>
  <conditionalFormatting sqref="I255:R255">
    <cfRule type="expression" dxfId="915" priority="918">
      <formula>$P$255="Closed"</formula>
    </cfRule>
  </conditionalFormatting>
  <conditionalFormatting sqref="I255:R255">
    <cfRule type="expression" dxfId="914" priority="917">
      <formula>$P$255="Canceled"</formula>
    </cfRule>
  </conditionalFormatting>
  <conditionalFormatting sqref="I255:R255">
    <cfRule type="expression" dxfId="913" priority="916">
      <formula>$P$255="Suspended"</formula>
    </cfRule>
  </conditionalFormatting>
  <conditionalFormatting sqref="I255:R255">
    <cfRule type="expression" dxfId="912" priority="915">
      <formula>$P$255="Applied"</formula>
    </cfRule>
  </conditionalFormatting>
  <conditionalFormatting sqref="I255:R255">
    <cfRule type="expression" dxfId="911" priority="914">
      <formula>$P$255="N/A"</formula>
    </cfRule>
  </conditionalFormatting>
  <conditionalFormatting sqref="I255:R255">
    <cfRule type="expression" dxfId="910" priority="913">
      <formula>$P$255=""</formula>
    </cfRule>
  </conditionalFormatting>
  <conditionalFormatting sqref="I255:R255">
    <cfRule type="expression" dxfId="909" priority="912">
      <formula>$I$255="Module 1"</formula>
    </cfRule>
  </conditionalFormatting>
  <conditionalFormatting sqref="I255:R255">
    <cfRule type="expression" dxfId="908" priority="911">
      <formula>$I$255="Module 2"</formula>
    </cfRule>
  </conditionalFormatting>
  <conditionalFormatting sqref="I255:R255">
    <cfRule type="expression" dxfId="907" priority="910">
      <formula>$I$255="Module 3"</formula>
    </cfRule>
    <cfRule type="expression" dxfId="906" priority="908">
      <formula>$I$255="Type 1"</formula>
    </cfRule>
    <cfRule type="expression" dxfId="905" priority="906">
      <formula>$I$255="Type 3"</formula>
    </cfRule>
  </conditionalFormatting>
  <conditionalFormatting sqref="L255">
    <cfRule type="expression" dxfId="904" priority="905">
      <formula>$L$255="1"</formula>
    </cfRule>
  </conditionalFormatting>
  <conditionalFormatting sqref="L255">
    <cfRule type="expression" dxfId="903" priority="904">
      <formula>$L$255="2"</formula>
    </cfRule>
  </conditionalFormatting>
  <conditionalFormatting sqref="L255">
    <cfRule type="expression" dxfId="902" priority="903">
      <formula>$L$255="3"</formula>
    </cfRule>
  </conditionalFormatting>
  <conditionalFormatting sqref="L255">
    <cfRule type="expression" dxfId="901" priority="902">
      <formula>$L$255="4"</formula>
    </cfRule>
  </conditionalFormatting>
  <conditionalFormatting sqref="L255">
    <cfRule type="expression" dxfId="900" priority="901">
      <formula>$L$255="5"</formula>
    </cfRule>
  </conditionalFormatting>
  <conditionalFormatting sqref="I256:R256">
    <cfRule type="expression" dxfId="899" priority="900">
      <formula>$P$256="Not started"</formula>
    </cfRule>
    <cfRule type="expression" dxfId="898" priority="889">
      <formula>$I$256="or"</formula>
    </cfRule>
    <cfRule type="expression" dxfId="897" priority="887">
      <formula>$I$256="Type 2"</formula>
    </cfRule>
  </conditionalFormatting>
  <conditionalFormatting sqref="I256:R256">
    <cfRule type="expression" dxfId="896" priority="899">
      <formula>$P$256="In progress"</formula>
    </cfRule>
  </conditionalFormatting>
  <conditionalFormatting sqref="I256:R256">
    <cfRule type="expression" dxfId="895" priority="898">
      <formula>$P$256="Closed"</formula>
    </cfRule>
  </conditionalFormatting>
  <conditionalFormatting sqref="I256:R256">
    <cfRule type="expression" dxfId="894" priority="897">
      <formula>$P$256="Canceled"</formula>
    </cfRule>
  </conditionalFormatting>
  <conditionalFormatting sqref="I256:R256">
    <cfRule type="expression" dxfId="893" priority="896">
      <formula>$P$256="Suspended"</formula>
    </cfRule>
  </conditionalFormatting>
  <conditionalFormatting sqref="I256:R256">
    <cfRule type="expression" dxfId="892" priority="895">
      <formula>$P$256="Applied"</formula>
    </cfRule>
  </conditionalFormatting>
  <conditionalFormatting sqref="I256:R256">
    <cfRule type="expression" dxfId="891" priority="894">
      <formula>$P$256="N/A"</formula>
    </cfRule>
  </conditionalFormatting>
  <conditionalFormatting sqref="I256:R256">
    <cfRule type="expression" dxfId="890" priority="893">
      <formula>$P$256=""</formula>
    </cfRule>
  </conditionalFormatting>
  <conditionalFormatting sqref="I256:R256">
    <cfRule type="expression" dxfId="889" priority="892">
      <formula>$I$256="Module 1"</formula>
    </cfRule>
  </conditionalFormatting>
  <conditionalFormatting sqref="I256:R256">
    <cfRule type="expression" dxfId="888" priority="891">
      <formula>$I$256="Module 2"</formula>
    </cfRule>
  </conditionalFormatting>
  <conditionalFormatting sqref="I256:R256">
    <cfRule type="expression" dxfId="887" priority="890">
      <formula>$I$256="Module 3"</formula>
    </cfRule>
    <cfRule type="expression" dxfId="886" priority="888">
      <formula>$I$256="Type 1"</formula>
    </cfRule>
    <cfRule type="expression" dxfId="885" priority="886">
      <formula>$I$256="Type 3"</formula>
    </cfRule>
  </conditionalFormatting>
  <conditionalFormatting sqref="L256">
    <cfRule type="expression" dxfId="884" priority="885">
      <formula>$L$256="1"</formula>
    </cfRule>
  </conditionalFormatting>
  <conditionalFormatting sqref="L256">
    <cfRule type="expression" dxfId="883" priority="884">
      <formula>$L$256="2"</formula>
    </cfRule>
  </conditionalFormatting>
  <conditionalFormatting sqref="L256">
    <cfRule type="expression" dxfId="882" priority="883">
      <formula>$L$256="3"</formula>
    </cfRule>
  </conditionalFormatting>
  <conditionalFormatting sqref="L256">
    <cfRule type="expression" dxfId="881" priority="882">
      <formula>$L$256="4"</formula>
    </cfRule>
  </conditionalFormatting>
  <conditionalFormatting sqref="L256">
    <cfRule type="expression" dxfId="880" priority="881">
      <formula>$L$256="5"</formula>
    </cfRule>
  </conditionalFormatting>
  <conditionalFormatting sqref="I257:R257">
    <cfRule type="expression" dxfId="879" priority="880">
      <formula>$P$257="Not started"</formula>
    </cfRule>
    <cfRule type="expression" dxfId="878" priority="869">
      <formula>$I$257="or"</formula>
    </cfRule>
    <cfRule type="expression" dxfId="877" priority="867">
      <formula>$I$257="Type 2"</formula>
    </cfRule>
  </conditionalFormatting>
  <conditionalFormatting sqref="I257:R257">
    <cfRule type="expression" dxfId="876" priority="879">
      <formula>$P$257="In progress"</formula>
    </cfRule>
  </conditionalFormatting>
  <conditionalFormatting sqref="I257:R257">
    <cfRule type="expression" dxfId="875" priority="878">
      <formula>$P$257="Closed"</formula>
    </cfRule>
  </conditionalFormatting>
  <conditionalFormatting sqref="I257:R257">
    <cfRule type="expression" dxfId="874" priority="877">
      <formula>$P$257="Canceled"</formula>
    </cfRule>
  </conditionalFormatting>
  <conditionalFormatting sqref="I257:R257">
    <cfRule type="expression" dxfId="873" priority="876">
      <formula>$P$257="Suspended"</formula>
    </cfRule>
  </conditionalFormatting>
  <conditionalFormatting sqref="I257:R257">
    <cfRule type="expression" dxfId="872" priority="875">
      <formula>$P$257="Applied"</formula>
    </cfRule>
  </conditionalFormatting>
  <conditionalFormatting sqref="I257:R257">
    <cfRule type="expression" dxfId="871" priority="874">
      <formula>$P$257="N/A"</formula>
    </cfRule>
  </conditionalFormatting>
  <conditionalFormatting sqref="I257:R257">
    <cfRule type="expression" dxfId="870" priority="873">
      <formula>$P$257=""</formula>
    </cfRule>
  </conditionalFormatting>
  <conditionalFormatting sqref="I257:R257">
    <cfRule type="expression" dxfId="869" priority="872">
      <formula>$I$257="Module 1"</formula>
    </cfRule>
  </conditionalFormatting>
  <conditionalFormatting sqref="I257:R257">
    <cfRule type="expression" dxfId="868" priority="871">
      <formula>$I$257="Module 2"</formula>
    </cfRule>
  </conditionalFormatting>
  <conditionalFormatting sqref="I257:R257">
    <cfRule type="expression" dxfId="867" priority="870">
      <formula>$I$257="Module 3"</formula>
    </cfRule>
    <cfRule type="expression" dxfId="866" priority="868">
      <formula>$I$257="Type 1"</formula>
    </cfRule>
    <cfRule type="expression" dxfId="865" priority="866">
      <formula>$I$257="Type 3"</formula>
    </cfRule>
  </conditionalFormatting>
  <conditionalFormatting sqref="L257">
    <cfRule type="expression" dxfId="864" priority="865">
      <formula>$L$257="1"</formula>
    </cfRule>
  </conditionalFormatting>
  <conditionalFormatting sqref="L257">
    <cfRule type="expression" dxfId="863" priority="864">
      <formula>$L$257="2"</formula>
    </cfRule>
  </conditionalFormatting>
  <conditionalFormatting sqref="L257">
    <cfRule type="expression" dxfId="862" priority="863">
      <formula>$L$257="3"</formula>
    </cfRule>
  </conditionalFormatting>
  <conditionalFormatting sqref="L257">
    <cfRule type="expression" dxfId="861" priority="862">
      <formula>$L$257="4"</formula>
    </cfRule>
  </conditionalFormatting>
  <conditionalFormatting sqref="L257">
    <cfRule type="expression" dxfId="860" priority="861">
      <formula>$L$257="5"</formula>
    </cfRule>
  </conditionalFormatting>
  <conditionalFormatting sqref="I258:R258">
    <cfRule type="expression" dxfId="859" priority="860">
      <formula>$P$258="Not started"</formula>
    </cfRule>
  </conditionalFormatting>
  <conditionalFormatting sqref="I258:R258">
    <cfRule type="expression" dxfId="858" priority="859">
      <formula>$P$258="In progress"</formula>
    </cfRule>
  </conditionalFormatting>
  <conditionalFormatting sqref="I258:R258">
    <cfRule type="expression" dxfId="857" priority="858">
      <formula>$P$258="Closed"</formula>
    </cfRule>
  </conditionalFormatting>
  <conditionalFormatting sqref="I258:R258">
    <cfRule type="expression" dxfId="856" priority="857">
      <formula>$P$258="Canceled"</formula>
    </cfRule>
  </conditionalFormatting>
  <conditionalFormatting sqref="I258:R258">
    <cfRule type="expression" dxfId="855" priority="856">
      <formula>$P$258="Suspended"</formula>
    </cfRule>
  </conditionalFormatting>
  <conditionalFormatting sqref="I258:R258">
    <cfRule type="expression" dxfId="854" priority="855">
      <formula>$P$258="Applied"</formula>
    </cfRule>
  </conditionalFormatting>
  <conditionalFormatting sqref="I258:R258">
    <cfRule type="expression" dxfId="853" priority="854">
      <formula>$P$258="N/A"</formula>
    </cfRule>
  </conditionalFormatting>
  <conditionalFormatting sqref="I258:R258">
    <cfRule type="expression" dxfId="852" priority="853">
      <formula>$P$258=""</formula>
    </cfRule>
  </conditionalFormatting>
  <conditionalFormatting sqref="I258:R258">
    <cfRule type="expression" dxfId="851" priority="852">
      <formula>$I$258="Module 1"</formula>
    </cfRule>
  </conditionalFormatting>
  <conditionalFormatting sqref="I258:R258">
    <cfRule type="expression" dxfId="850" priority="851">
      <formula>$I$258="Module 2"</formula>
    </cfRule>
  </conditionalFormatting>
  <conditionalFormatting sqref="I258:R258">
    <cfRule type="expression" dxfId="849" priority="850">
      <formula>$I$258="Module 3"</formula>
    </cfRule>
  </conditionalFormatting>
  <conditionalFormatting sqref="I258:R258">
    <cfRule type="expression" dxfId="848" priority="849">
      <formula>$I$258="or"</formula>
    </cfRule>
  </conditionalFormatting>
  <conditionalFormatting sqref="I258:R258">
    <cfRule type="expression" dxfId="847" priority="848">
      <formula>$I$258="Type 1"</formula>
    </cfRule>
  </conditionalFormatting>
  <conditionalFormatting sqref="I258:R258">
    <cfRule type="expression" dxfId="846" priority="847">
      <formula>$I$258="Type 2"</formula>
    </cfRule>
  </conditionalFormatting>
  <conditionalFormatting sqref="I258:R258">
    <cfRule type="expression" dxfId="845" priority="846">
      <formula>$I$258="Type 3"</formula>
    </cfRule>
  </conditionalFormatting>
  <conditionalFormatting sqref="L258">
    <cfRule type="expression" dxfId="844" priority="845">
      <formula>$L$258="1"</formula>
    </cfRule>
  </conditionalFormatting>
  <conditionalFormatting sqref="L258">
    <cfRule type="expression" dxfId="843" priority="844">
      <formula>$L$258="2"</formula>
    </cfRule>
  </conditionalFormatting>
  <conditionalFormatting sqref="L258">
    <cfRule type="expression" dxfId="842" priority="843">
      <formula>$L$258="3"</formula>
    </cfRule>
  </conditionalFormatting>
  <conditionalFormatting sqref="L258">
    <cfRule type="expression" dxfId="841" priority="842">
      <formula>$L$258="4"</formula>
    </cfRule>
  </conditionalFormatting>
  <conditionalFormatting sqref="L258">
    <cfRule type="expression" dxfId="840" priority="841">
      <formula>$L$258="5"</formula>
    </cfRule>
  </conditionalFormatting>
  <conditionalFormatting sqref="I259:R259">
    <cfRule type="expression" dxfId="839" priority="840">
      <formula>$P$259="Not started"</formula>
    </cfRule>
    <cfRule type="expression" dxfId="838" priority="829">
      <formula>$I$259="or"</formula>
    </cfRule>
    <cfRule type="expression" dxfId="837" priority="827">
      <formula>$I$259="Type 2"</formula>
    </cfRule>
  </conditionalFormatting>
  <conditionalFormatting sqref="I259:R259">
    <cfRule type="expression" dxfId="836" priority="839">
      <formula>$P$259="In progress"</formula>
    </cfRule>
  </conditionalFormatting>
  <conditionalFormatting sqref="I259:R259">
    <cfRule type="expression" dxfId="835" priority="838">
      <formula>$P$259="Closed"</formula>
    </cfRule>
  </conditionalFormatting>
  <conditionalFormatting sqref="I259:R259">
    <cfRule type="expression" dxfId="834" priority="837">
      <formula>$P$259="Canceled"</formula>
    </cfRule>
  </conditionalFormatting>
  <conditionalFormatting sqref="I259:R259">
    <cfRule type="expression" dxfId="833" priority="836">
      <formula>$P$259="Suspended"</formula>
    </cfRule>
  </conditionalFormatting>
  <conditionalFormatting sqref="I259:R259">
    <cfRule type="expression" dxfId="832" priority="835">
      <formula>$P$259="Applied"</formula>
    </cfRule>
  </conditionalFormatting>
  <conditionalFormatting sqref="I259:R259">
    <cfRule type="expression" dxfId="831" priority="834">
      <formula>$P$259="N/A"</formula>
    </cfRule>
  </conditionalFormatting>
  <conditionalFormatting sqref="I259:R259">
    <cfRule type="expression" dxfId="830" priority="833">
      <formula>$P$259=""</formula>
    </cfRule>
  </conditionalFormatting>
  <conditionalFormatting sqref="I259:R259">
    <cfRule type="expression" dxfId="829" priority="832">
      <formula>$I$259="Module 1"</formula>
    </cfRule>
  </conditionalFormatting>
  <conditionalFormatting sqref="I259:R259">
    <cfRule type="expression" dxfId="828" priority="831">
      <formula>$I$259="Module 2"</formula>
    </cfRule>
  </conditionalFormatting>
  <conditionalFormatting sqref="I259:R259">
    <cfRule type="expression" dxfId="827" priority="830">
      <formula>$I$259="Module 3"</formula>
    </cfRule>
    <cfRule type="expression" dxfId="826" priority="828">
      <formula>$I$259="Type 1"</formula>
    </cfRule>
    <cfRule type="expression" dxfId="825" priority="826">
      <formula>$I$259="Type 3"</formula>
    </cfRule>
  </conditionalFormatting>
  <conditionalFormatting sqref="L259">
    <cfRule type="expression" dxfId="824" priority="825">
      <formula>$L$259="1"</formula>
    </cfRule>
  </conditionalFormatting>
  <conditionalFormatting sqref="L259">
    <cfRule type="expression" dxfId="823" priority="824">
      <formula>$L$259="2"</formula>
    </cfRule>
  </conditionalFormatting>
  <conditionalFormatting sqref="L259">
    <cfRule type="expression" dxfId="822" priority="823">
      <formula>$L$259="3"</formula>
    </cfRule>
  </conditionalFormatting>
  <conditionalFormatting sqref="L259">
    <cfRule type="expression" dxfId="821" priority="822">
      <formula>$L$259="4"</formula>
    </cfRule>
  </conditionalFormatting>
  <conditionalFormatting sqref="L259">
    <cfRule type="expression" dxfId="820" priority="821">
      <formula>$L$259="5"</formula>
    </cfRule>
  </conditionalFormatting>
  <conditionalFormatting sqref="I260:R260">
    <cfRule type="expression" dxfId="819" priority="820">
      <formula>$P$260="Not started"</formula>
    </cfRule>
    <cfRule type="expression" dxfId="818" priority="809">
      <formula>$I$260="or"</formula>
    </cfRule>
    <cfRule type="expression" dxfId="817" priority="807">
      <formula>$I$260="Type 2"</formula>
    </cfRule>
  </conditionalFormatting>
  <conditionalFormatting sqref="I260:R260">
    <cfRule type="expression" dxfId="816" priority="819">
      <formula>$P$260="In progress"</formula>
    </cfRule>
  </conditionalFormatting>
  <conditionalFormatting sqref="I260:R260">
    <cfRule type="expression" dxfId="815" priority="818">
      <formula>$P$260="Closed"</formula>
    </cfRule>
  </conditionalFormatting>
  <conditionalFormatting sqref="I260:R260">
    <cfRule type="expression" dxfId="814" priority="817">
      <formula>$P$260="Canceled"</formula>
    </cfRule>
  </conditionalFormatting>
  <conditionalFormatting sqref="I260:R260">
    <cfRule type="expression" dxfId="813" priority="816">
      <formula>$P$260="Suspended"</formula>
    </cfRule>
  </conditionalFormatting>
  <conditionalFormatting sqref="I260:R260">
    <cfRule type="expression" dxfId="812" priority="815">
      <formula>$P$260="Applied"</formula>
    </cfRule>
  </conditionalFormatting>
  <conditionalFormatting sqref="I260:R260">
    <cfRule type="expression" dxfId="811" priority="814">
      <formula>$P$260="N/A"</formula>
    </cfRule>
  </conditionalFormatting>
  <conditionalFormatting sqref="I260:R260">
    <cfRule type="expression" dxfId="810" priority="813">
      <formula>$P$260=""</formula>
    </cfRule>
  </conditionalFormatting>
  <conditionalFormatting sqref="I260:R260">
    <cfRule type="expression" dxfId="809" priority="812">
      <formula>$I$260="Module 1"</formula>
    </cfRule>
  </conditionalFormatting>
  <conditionalFormatting sqref="I260:R260">
    <cfRule type="expression" dxfId="808" priority="811">
      <formula>$I$260="Module 2"</formula>
    </cfRule>
  </conditionalFormatting>
  <conditionalFormatting sqref="I260:R260">
    <cfRule type="expression" dxfId="807" priority="810">
      <formula>$I$260="Module 3"</formula>
    </cfRule>
    <cfRule type="expression" dxfId="806" priority="808">
      <formula>$I$260="Type 1"</formula>
    </cfRule>
    <cfRule type="expression" dxfId="805" priority="806">
      <formula>$I$260="Type 3"</formula>
    </cfRule>
  </conditionalFormatting>
  <conditionalFormatting sqref="L260">
    <cfRule type="expression" dxfId="804" priority="805">
      <formula>$L$260="1"</formula>
    </cfRule>
  </conditionalFormatting>
  <conditionalFormatting sqref="L260">
    <cfRule type="expression" dxfId="803" priority="804">
      <formula>$L$260="2"</formula>
    </cfRule>
  </conditionalFormatting>
  <conditionalFormatting sqref="L260">
    <cfRule type="expression" dxfId="802" priority="803">
      <formula>$L$260="3"</formula>
    </cfRule>
  </conditionalFormatting>
  <conditionalFormatting sqref="L260">
    <cfRule type="expression" dxfId="801" priority="802">
      <formula>$L$260="4"</formula>
    </cfRule>
  </conditionalFormatting>
  <conditionalFormatting sqref="L260">
    <cfRule type="expression" dxfId="800" priority="801">
      <formula>$L$260="5"</formula>
    </cfRule>
  </conditionalFormatting>
  <conditionalFormatting sqref="I261:R261">
    <cfRule type="expression" dxfId="799" priority="800">
      <formula>$P$261="Not started"</formula>
    </cfRule>
    <cfRule type="expression" dxfId="798" priority="789">
      <formula>$I$261="or"</formula>
    </cfRule>
    <cfRule type="expression" dxfId="797" priority="787">
      <formula>$I$261="Type 2"</formula>
    </cfRule>
  </conditionalFormatting>
  <conditionalFormatting sqref="I261:R261">
    <cfRule type="expression" dxfId="796" priority="799">
      <formula>$P$261="In progress"</formula>
    </cfRule>
  </conditionalFormatting>
  <conditionalFormatting sqref="I261:R261">
    <cfRule type="expression" dxfId="795" priority="798">
      <formula>$P$261="Closed"</formula>
    </cfRule>
  </conditionalFormatting>
  <conditionalFormatting sqref="I261:R261">
    <cfRule type="expression" dxfId="794" priority="797">
      <formula>$P$261="Canceled"</formula>
    </cfRule>
  </conditionalFormatting>
  <conditionalFormatting sqref="I261:R261">
    <cfRule type="expression" dxfId="793" priority="796">
      <formula>$P$261="Suspended"</formula>
    </cfRule>
  </conditionalFormatting>
  <conditionalFormatting sqref="I261:R261">
    <cfRule type="expression" dxfId="792" priority="795">
      <formula>$P$261="Applied"</formula>
    </cfRule>
  </conditionalFormatting>
  <conditionalFormatting sqref="I261:R261">
    <cfRule type="expression" dxfId="791" priority="794">
      <formula>$P$261="N/A"</formula>
    </cfRule>
  </conditionalFormatting>
  <conditionalFormatting sqref="I261:R261">
    <cfRule type="expression" dxfId="790" priority="793">
      <formula>$P$261=""</formula>
    </cfRule>
  </conditionalFormatting>
  <conditionalFormatting sqref="I261:R261">
    <cfRule type="expression" dxfId="789" priority="792">
      <formula>$I$261="Module 1"</formula>
    </cfRule>
  </conditionalFormatting>
  <conditionalFormatting sqref="I261:R261">
    <cfRule type="expression" dxfId="788" priority="791">
      <formula>$I$261="Module 2"</formula>
    </cfRule>
  </conditionalFormatting>
  <conditionalFormatting sqref="I261:R261">
    <cfRule type="expression" dxfId="787" priority="790">
      <formula>$I$261="Module 3"</formula>
    </cfRule>
    <cfRule type="expression" dxfId="786" priority="788">
      <formula>$I$261="Type 1"</formula>
    </cfRule>
    <cfRule type="expression" dxfId="785" priority="786">
      <formula>$I$261="Type 3"</formula>
    </cfRule>
  </conditionalFormatting>
  <conditionalFormatting sqref="L261">
    <cfRule type="expression" dxfId="784" priority="785">
      <formula>$L$261="1"</formula>
    </cfRule>
  </conditionalFormatting>
  <conditionalFormatting sqref="L261">
    <cfRule type="expression" dxfId="783" priority="784">
      <formula>$L$261="2"</formula>
    </cfRule>
  </conditionalFormatting>
  <conditionalFormatting sqref="L261">
    <cfRule type="expression" dxfId="782" priority="783">
      <formula>$L$261="3"</formula>
    </cfRule>
  </conditionalFormatting>
  <conditionalFormatting sqref="L261">
    <cfRule type="expression" dxfId="781" priority="782">
      <formula>$L$261="4"</formula>
    </cfRule>
  </conditionalFormatting>
  <conditionalFormatting sqref="L261">
    <cfRule type="expression" dxfId="780" priority="781">
      <formula>$L$261="5"</formula>
    </cfRule>
  </conditionalFormatting>
  <conditionalFormatting sqref="I262:R262">
    <cfRule type="expression" dxfId="779" priority="780">
      <formula>$P$262="Not started"</formula>
    </cfRule>
    <cfRule type="expression" dxfId="778" priority="769">
      <formula>$I$262="or"</formula>
    </cfRule>
    <cfRule type="expression" dxfId="777" priority="767">
      <formula>$I$262="Type 2"</formula>
    </cfRule>
  </conditionalFormatting>
  <conditionalFormatting sqref="I262:R262">
    <cfRule type="expression" dxfId="776" priority="779">
      <formula>$P$262="In progress"</formula>
    </cfRule>
  </conditionalFormatting>
  <conditionalFormatting sqref="I262:R262">
    <cfRule type="expression" dxfId="775" priority="778">
      <formula>$P$262="Closed"</formula>
    </cfRule>
  </conditionalFormatting>
  <conditionalFormatting sqref="I262:R262">
    <cfRule type="expression" dxfId="774" priority="777">
      <formula>$P$262="Canceled"</formula>
    </cfRule>
  </conditionalFormatting>
  <conditionalFormatting sqref="I262:R262">
    <cfRule type="expression" dxfId="773" priority="776">
      <formula>$P$262="Suspended"</formula>
    </cfRule>
  </conditionalFormatting>
  <conditionalFormatting sqref="I262:R262">
    <cfRule type="expression" dxfId="772" priority="775">
      <formula>$P$262="Applied"</formula>
    </cfRule>
  </conditionalFormatting>
  <conditionalFormatting sqref="I262:R262">
    <cfRule type="expression" dxfId="771" priority="774">
      <formula>$P$262="N/A"</formula>
    </cfRule>
  </conditionalFormatting>
  <conditionalFormatting sqref="I262:R262">
    <cfRule type="expression" dxfId="770" priority="773">
      <formula>$P$262=""</formula>
    </cfRule>
  </conditionalFormatting>
  <conditionalFormatting sqref="I262:R262">
    <cfRule type="expression" dxfId="769" priority="772">
      <formula>$I$262="Module 1"</formula>
    </cfRule>
  </conditionalFormatting>
  <conditionalFormatting sqref="I262:R262">
    <cfRule type="expression" dxfId="768" priority="771">
      <formula>$I$262="Module 2"</formula>
    </cfRule>
  </conditionalFormatting>
  <conditionalFormatting sqref="I262:R262">
    <cfRule type="expression" dxfId="767" priority="770">
      <formula>$I$262="Module 3"</formula>
    </cfRule>
    <cfRule type="expression" dxfId="766" priority="768">
      <formula>$I$262="Type 1"</formula>
    </cfRule>
    <cfRule type="expression" dxfId="765" priority="766">
      <formula>$I$262="Type 3"</formula>
    </cfRule>
  </conditionalFormatting>
  <conditionalFormatting sqref="L262">
    <cfRule type="expression" dxfId="764" priority="765">
      <formula>$L$262="1"</formula>
    </cfRule>
  </conditionalFormatting>
  <conditionalFormatting sqref="L262">
    <cfRule type="expression" dxfId="763" priority="764">
      <formula>$L$262="2"</formula>
    </cfRule>
  </conditionalFormatting>
  <conditionalFormatting sqref="L262">
    <cfRule type="expression" dxfId="762" priority="763">
      <formula>$L$262="3"</formula>
    </cfRule>
  </conditionalFormatting>
  <conditionalFormatting sqref="L262">
    <cfRule type="expression" dxfId="761" priority="762">
      <formula>$L$262="4"</formula>
    </cfRule>
  </conditionalFormatting>
  <conditionalFormatting sqref="L262">
    <cfRule type="expression" dxfId="760" priority="761">
      <formula>$L$262="5"</formula>
    </cfRule>
  </conditionalFormatting>
  <conditionalFormatting sqref="I263:R263">
    <cfRule type="expression" dxfId="759" priority="760">
      <formula>$P$263="Not started"</formula>
    </cfRule>
    <cfRule type="expression" dxfId="758" priority="749">
      <formula>$I$263="or"</formula>
    </cfRule>
    <cfRule type="expression" dxfId="757" priority="747">
      <formula>$I$263="Type 2"</formula>
    </cfRule>
  </conditionalFormatting>
  <conditionalFormatting sqref="I263:R263">
    <cfRule type="expression" dxfId="756" priority="759">
      <formula>$P$263="In progress"</formula>
    </cfRule>
  </conditionalFormatting>
  <conditionalFormatting sqref="I263:R263">
    <cfRule type="expression" dxfId="755" priority="758">
      <formula>$P$263="Closed"</formula>
    </cfRule>
  </conditionalFormatting>
  <conditionalFormatting sqref="I263:R263">
    <cfRule type="expression" dxfId="754" priority="757">
      <formula>$P$263="Canceled"</formula>
    </cfRule>
  </conditionalFormatting>
  <conditionalFormatting sqref="I263:R263">
    <cfRule type="expression" dxfId="753" priority="756">
      <formula>$P$263="Suspended"</formula>
    </cfRule>
  </conditionalFormatting>
  <conditionalFormatting sqref="I263:R263">
    <cfRule type="expression" dxfId="752" priority="755">
      <formula>$P$263="Applied"</formula>
    </cfRule>
  </conditionalFormatting>
  <conditionalFormatting sqref="I263:R263">
    <cfRule type="expression" dxfId="751" priority="754">
      <formula>$P$263="N/A"</formula>
    </cfRule>
  </conditionalFormatting>
  <conditionalFormatting sqref="I263:R263">
    <cfRule type="expression" dxfId="750" priority="753">
      <formula>$P$263=""</formula>
    </cfRule>
  </conditionalFormatting>
  <conditionalFormatting sqref="I263:R263">
    <cfRule type="expression" dxfId="749" priority="752">
      <formula>$I$263="Module 1"</formula>
    </cfRule>
  </conditionalFormatting>
  <conditionalFormatting sqref="I263:R263">
    <cfRule type="expression" dxfId="748" priority="751">
      <formula>$I$263="Module 2"</formula>
    </cfRule>
  </conditionalFormatting>
  <conditionalFormatting sqref="I263:R263">
    <cfRule type="expression" dxfId="747" priority="750">
      <formula>$I$263="Module 3"</formula>
    </cfRule>
    <cfRule type="expression" dxfId="746" priority="748">
      <formula>$I$263="Type 1"</formula>
    </cfRule>
    <cfRule type="expression" dxfId="745" priority="746">
      <formula>$I$263="Type 3"</formula>
    </cfRule>
  </conditionalFormatting>
  <conditionalFormatting sqref="L263">
    <cfRule type="expression" dxfId="744" priority="745">
      <formula>$L$263="1"</formula>
    </cfRule>
  </conditionalFormatting>
  <conditionalFormatting sqref="L263">
    <cfRule type="expression" dxfId="743" priority="744">
      <formula>$L$263="2"</formula>
    </cfRule>
  </conditionalFormatting>
  <conditionalFormatting sqref="L263">
    <cfRule type="expression" dxfId="742" priority="743">
      <formula>$L$263="3"</formula>
    </cfRule>
  </conditionalFormatting>
  <conditionalFormatting sqref="L263">
    <cfRule type="expression" dxfId="741" priority="742">
      <formula>$L$263="4"</formula>
    </cfRule>
  </conditionalFormatting>
  <conditionalFormatting sqref="L263">
    <cfRule type="expression" dxfId="740" priority="741">
      <formula>$L$263="5"</formula>
    </cfRule>
  </conditionalFormatting>
  <conditionalFormatting sqref="I264:R264">
    <cfRule type="expression" dxfId="739" priority="740">
      <formula>$P$264="Not started"</formula>
    </cfRule>
    <cfRule type="expression" dxfId="738" priority="729">
      <formula>$I$264="or"</formula>
    </cfRule>
    <cfRule type="expression" dxfId="737" priority="727">
      <formula>$I$264="Type 2"</formula>
    </cfRule>
  </conditionalFormatting>
  <conditionalFormatting sqref="I264:R264">
    <cfRule type="expression" dxfId="736" priority="739">
      <formula>$P$264="In progress"</formula>
    </cfRule>
  </conditionalFormatting>
  <conditionalFormatting sqref="I264:R264">
    <cfRule type="expression" dxfId="735" priority="738">
      <formula>$P$264="Closed"</formula>
    </cfRule>
  </conditionalFormatting>
  <conditionalFormatting sqref="I264:R264">
    <cfRule type="expression" dxfId="734" priority="737">
      <formula>$P$264="Canceled"</formula>
    </cfRule>
  </conditionalFormatting>
  <conditionalFormatting sqref="I264:R264">
    <cfRule type="expression" dxfId="733" priority="736">
      <formula>$P$264="Suspended"</formula>
    </cfRule>
  </conditionalFormatting>
  <conditionalFormatting sqref="I264:R264">
    <cfRule type="expression" dxfId="732" priority="735">
      <formula>$P$264="Applied"</formula>
    </cfRule>
  </conditionalFormatting>
  <conditionalFormatting sqref="I264:R264">
    <cfRule type="expression" dxfId="731" priority="734">
      <formula>$P$264="N/A"</formula>
    </cfRule>
  </conditionalFormatting>
  <conditionalFormatting sqref="I264:R264">
    <cfRule type="expression" dxfId="730" priority="733">
      <formula>$P$264=""</formula>
    </cfRule>
  </conditionalFormatting>
  <conditionalFormatting sqref="I264:R264">
    <cfRule type="expression" dxfId="729" priority="732">
      <formula>$I$264="Module 1"</formula>
    </cfRule>
  </conditionalFormatting>
  <conditionalFormatting sqref="I264:R264">
    <cfRule type="expression" dxfId="728" priority="731">
      <formula>$I$264="Module 2"</formula>
    </cfRule>
  </conditionalFormatting>
  <conditionalFormatting sqref="I264:R264">
    <cfRule type="expression" dxfId="727" priority="730">
      <formula>$I$264="Module 3"</formula>
    </cfRule>
    <cfRule type="expression" dxfId="726" priority="728">
      <formula>$I$264="Type 1"</formula>
    </cfRule>
    <cfRule type="expression" dxfId="725" priority="726">
      <formula>$I$264="Type 3"</formula>
    </cfRule>
  </conditionalFormatting>
  <conditionalFormatting sqref="L264">
    <cfRule type="expression" dxfId="724" priority="725">
      <formula>$L$264="1"</formula>
    </cfRule>
  </conditionalFormatting>
  <conditionalFormatting sqref="L264">
    <cfRule type="expression" dxfId="723" priority="724">
      <formula>$L$264="2"</formula>
    </cfRule>
  </conditionalFormatting>
  <conditionalFormatting sqref="L264">
    <cfRule type="expression" dxfId="722" priority="723">
      <formula>$L$264="3"</formula>
    </cfRule>
  </conditionalFormatting>
  <conditionalFormatting sqref="L264">
    <cfRule type="expression" dxfId="721" priority="722">
      <formula>$L$264="4"</formula>
    </cfRule>
  </conditionalFormatting>
  <conditionalFormatting sqref="L264">
    <cfRule type="expression" dxfId="720" priority="721">
      <formula>$L$264="5"</formula>
    </cfRule>
  </conditionalFormatting>
  <conditionalFormatting sqref="I265:R265">
    <cfRule type="expression" dxfId="719" priority="720">
      <formula>$P$265="Not started"</formula>
    </cfRule>
    <cfRule type="expression" dxfId="718" priority="709">
      <formula>$I$265="or"</formula>
    </cfRule>
    <cfRule type="expression" dxfId="717" priority="707">
      <formula>$I$265="Type 2"</formula>
    </cfRule>
  </conditionalFormatting>
  <conditionalFormatting sqref="I265:R265">
    <cfRule type="expression" dxfId="716" priority="719">
      <formula>$P$265="In progress"</formula>
    </cfRule>
  </conditionalFormatting>
  <conditionalFormatting sqref="I265:R265">
    <cfRule type="expression" dxfId="715" priority="718">
      <formula>$P$265="Closed"</formula>
    </cfRule>
  </conditionalFormatting>
  <conditionalFormatting sqref="I265:R265">
    <cfRule type="expression" dxfId="714" priority="717">
      <formula>$P$265="Canceled"</formula>
    </cfRule>
  </conditionalFormatting>
  <conditionalFormatting sqref="I265:R265">
    <cfRule type="expression" dxfId="713" priority="716">
      <formula>$P$265="Suspended"</formula>
    </cfRule>
  </conditionalFormatting>
  <conditionalFormatting sqref="I265:R265">
    <cfRule type="expression" dxfId="712" priority="715">
      <formula>$P$265="Applied"</formula>
    </cfRule>
  </conditionalFormatting>
  <conditionalFormatting sqref="I265:R265">
    <cfRule type="expression" dxfId="711" priority="714">
      <formula>$P$265="N/A"</formula>
    </cfRule>
  </conditionalFormatting>
  <conditionalFormatting sqref="I265:R265">
    <cfRule type="expression" dxfId="710" priority="713">
      <formula>$P$265=""</formula>
    </cfRule>
  </conditionalFormatting>
  <conditionalFormatting sqref="I265:R265">
    <cfRule type="expression" dxfId="709" priority="712">
      <formula>$I$265="Module 1"</formula>
    </cfRule>
  </conditionalFormatting>
  <conditionalFormatting sqref="I265:R265">
    <cfRule type="expression" dxfId="708" priority="711">
      <formula>$I$265="Module 2"</formula>
    </cfRule>
  </conditionalFormatting>
  <conditionalFormatting sqref="I265:R265">
    <cfRule type="expression" dxfId="707" priority="710">
      <formula>$I$265="Module 3"</formula>
    </cfRule>
    <cfRule type="expression" dxfId="706" priority="708">
      <formula>$I$265="Type 1"</formula>
    </cfRule>
    <cfRule type="expression" dxfId="705" priority="706">
      <formula>$I$265="Type 3"</formula>
    </cfRule>
  </conditionalFormatting>
  <conditionalFormatting sqref="L265">
    <cfRule type="expression" dxfId="704" priority="705">
      <formula>$L$265="1"</formula>
    </cfRule>
  </conditionalFormatting>
  <conditionalFormatting sqref="L265">
    <cfRule type="expression" dxfId="703" priority="704">
      <formula>$L$265="2"</formula>
    </cfRule>
  </conditionalFormatting>
  <conditionalFormatting sqref="L265">
    <cfRule type="expression" dxfId="702" priority="703">
      <formula>$L$265="3"</formula>
    </cfRule>
  </conditionalFormatting>
  <conditionalFormatting sqref="L265">
    <cfRule type="expression" dxfId="701" priority="702">
      <formula>$L$265="4"</formula>
    </cfRule>
  </conditionalFormatting>
  <conditionalFormatting sqref="L265">
    <cfRule type="expression" dxfId="700" priority="701">
      <formula>$L$265="5"</formula>
    </cfRule>
  </conditionalFormatting>
  <conditionalFormatting sqref="I266:R266">
    <cfRule type="expression" dxfId="699" priority="700">
      <formula>$P$266="Not started"</formula>
    </cfRule>
    <cfRule type="expression" dxfId="698" priority="689">
      <formula>$I$266="or"</formula>
    </cfRule>
    <cfRule type="expression" dxfId="697" priority="687">
      <formula>$I$266="Type 2"</formula>
    </cfRule>
  </conditionalFormatting>
  <conditionalFormatting sqref="I266:R266">
    <cfRule type="expression" dxfId="696" priority="699">
      <formula>$P$266="In progress"</formula>
    </cfRule>
  </conditionalFormatting>
  <conditionalFormatting sqref="I266:R266">
    <cfRule type="expression" dxfId="695" priority="698">
      <formula>$P$266="Closed"</formula>
    </cfRule>
  </conditionalFormatting>
  <conditionalFormatting sqref="I266:R266">
    <cfRule type="expression" dxfId="694" priority="697">
      <formula>$P$266="Canceled"</formula>
    </cfRule>
  </conditionalFormatting>
  <conditionalFormatting sqref="I266:R266">
    <cfRule type="expression" dxfId="693" priority="696">
      <formula>$P$266="Suspended"</formula>
    </cfRule>
  </conditionalFormatting>
  <conditionalFormatting sqref="I266:R266">
    <cfRule type="expression" dxfId="692" priority="695">
      <formula>$P$266="Applied"</formula>
    </cfRule>
  </conditionalFormatting>
  <conditionalFormatting sqref="I266:R266">
    <cfRule type="expression" dxfId="691" priority="694">
      <formula>$P$266="N/A"</formula>
    </cfRule>
  </conditionalFormatting>
  <conditionalFormatting sqref="I266:R266">
    <cfRule type="expression" dxfId="690" priority="693">
      <formula>$P$266=""</formula>
    </cfRule>
  </conditionalFormatting>
  <conditionalFormatting sqref="I266:R266">
    <cfRule type="expression" dxfId="689" priority="692">
      <formula>$I$266="Module 1"</formula>
    </cfRule>
  </conditionalFormatting>
  <conditionalFormatting sqref="I266:R266">
    <cfRule type="expression" dxfId="688" priority="691">
      <formula>$I$266="Module 2"</formula>
    </cfRule>
  </conditionalFormatting>
  <conditionalFormatting sqref="I266:R266">
    <cfRule type="expression" dxfId="687" priority="690">
      <formula>$I$266="Module 3"</formula>
    </cfRule>
    <cfRule type="expression" dxfId="686" priority="688">
      <formula>$I$266="Type 1"</formula>
    </cfRule>
    <cfRule type="expression" dxfId="685" priority="686">
      <formula>$I$266="Type 3"</formula>
    </cfRule>
  </conditionalFormatting>
  <conditionalFormatting sqref="L266">
    <cfRule type="expression" dxfId="684" priority="685">
      <formula>$L$266="1"</formula>
    </cfRule>
  </conditionalFormatting>
  <conditionalFormatting sqref="L266">
    <cfRule type="expression" dxfId="683" priority="684">
      <formula>$L$266="2"</formula>
    </cfRule>
  </conditionalFormatting>
  <conditionalFormatting sqref="L266">
    <cfRule type="expression" dxfId="682" priority="683">
      <formula>$L$266="3"</formula>
    </cfRule>
  </conditionalFormatting>
  <conditionalFormatting sqref="L266">
    <cfRule type="expression" dxfId="681" priority="682">
      <formula>$L$266="4"</formula>
    </cfRule>
  </conditionalFormatting>
  <conditionalFormatting sqref="L266">
    <cfRule type="expression" dxfId="680" priority="681">
      <formula>$L$266="5"</formula>
    </cfRule>
  </conditionalFormatting>
  <conditionalFormatting sqref="I267:R267">
    <cfRule type="expression" dxfId="679" priority="680">
      <formula>$P$267="Not started"</formula>
    </cfRule>
    <cfRule type="expression" dxfId="678" priority="669">
      <formula>$I$267="or"</formula>
    </cfRule>
    <cfRule type="expression" dxfId="677" priority="667">
      <formula>$I$267="Type 2"</formula>
    </cfRule>
  </conditionalFormatting>
  <conditionalFormatting sqref="I267:R267">
    <cfRule type="expression" dxfId="676" priority="679">
      <formula>$P$267="In progress"</formula>
    </cfRule>
  </conditionalFormatting>
  <conditionalFormatting sqref="I267:R267">
    <cfRule type="expression" dxfId="675" priority="678">
      <formula>$P$267="Closed"</formula>
    </cfRule>
  </conditionalFormatting>
  <conditionalFormatting sqref="I267:R267">
    <cfRule type="expression" dxfId="674" priority="677">
      <formula>$P$267="Canceled"</formula>
    </cfRule>
  </conditionalFormatting>
  <conditionalFormatting sqref="I267:R267">
    <cfRule type="expression" dxfId="673" priority="676">
      <formula>$P$267="Suspended"</formula>
    </cfRule>
  </conditionalFormatting>
  <conditionalFormatting sqref="I267:R267">
    <cfRule type="expression" dxfId="672" priority="675">
      <formula>$P$267="Applied"</formula>
    </cfRule>
  </conditionalFormatting>
  <conditionalFormatting sqref="I267:R267">
    <cfRule type="expression" dxfId="671" priority="674">
      <formula>$P$267="N/A"</formula>
    </cfRule>
  </conditionalFormatting>
  <conditionalFormatting sqref="I267:R267">
    <cfRule type="expression" dxfId="670" priority="673">
      <formula>$P$267=""</formula>
    </cfRule>
  </conditionalFormatting>
  <conditionalFormatting sqref="I267:R267">
    <cfRule type="expression" dxfId="669" priority="672">
      <formula>$I$267="Module 1"</formula>
    </cfRule>
  </conditionalFormatting>
  <conditionalFormatting sqref="I267:R267">
    <cfRule type="expression" dxfId="668" priority="671">
      <formula>$I$267="Module 2"</formula>
    </cfRule>
  </conditionalFormatting>
  <conditionalFormatting sqref="I267:R267">
    <cfRule type="expression" dxfId="667" priority="670">
      <formula>$I$267="Module 3"</formula>
    </cfRule>
    <cfRule type="expression" dxfId="666" priority="668">
      <formula>$I$267="Type 1"</formula>
    </cfRule>
    <cfRule type="expression" dxfId="665" priority="666">
      <formula>$I$267="Type 3"</formula>
    </cfRule>
  </conditionalFormatting>
  <conditionalFormatting sqref="L267">
    <cfRule type="expression" dxfId="664" priority="665">
      <formula>$L$267="1"</formula>
    </cfRule>
  </conditionalFormatting>
  <conditionalFormatting sqref="L267">
    <cfRule type="expression" dxfId="663" priority="664">
      <formula>$L$267="2"</formula>
    </cfRule>
  </conditionalFormatting>
  <conditionalFormatting sqref="L267">
    <cfRule type="expression" dxfId="662" priority="663">
      <formula>$L$267="3"</formula>
    </cfRule>
  </conditionalFormatting>
  <conditionalFormatting sqref="L267">
    <cfRule type="expression" dxfId="661" priority="662">
      <formula>$L$267="4"</formula>
    </cfRule>
  </conditionalFormatting>
  <conditionalFormatting sqref="L267">
    <cfRule type="expression" dxfId="660" priority="661">
      <formula>$L$267="5"</formula>
    </cfRule>
  </conditionalFormatting>
  <conditionalFormatting sqref="I268:R268">
    <cfRule type="expression" dxfId="659" priority="660">
      <formula>$P$268="Not started"</formula>
    </cfRule>
  </conditionalFormatting>
  <conditionalFormatting sqref="I268:R268">
    <cfRule type="expression" dxfId="658" priority="659">
      <formula>$P$268="In progress"</formula>
    </cfRule>
  </conditionalFormatting>
  <conditionalFormatting sqref="I268:R268">
    <cfRule type="expression" dxfId="657" priority="658">
      <formula>$P$268="Closed"</formula>
    </cfRule>
  </conditionalFormatting>
  <conditionalFormatting sqref="I268:R268">
    <cfRule type="expression" dxfId="656" priority="657">
      <formula>$P$268="Canceled"</formula>
    </cfRule>
  </conditionalFormatting>
  <conditionalFormatting sqref="I268:R268">
    <cfRule type="expression" dxfId="655" priority="656">
      <formula>$P$268="Suspended"</formula>
    </cfRule>
  </conditionalFormatting>
  <conditionalFormatting sqref="I268:R268">
    <cfRule type="expression" dxfId="654" priority="655">
      <formula>$P$268="Applied"</formula>
    </cfRule>
  </conditionalFormatting>
  <conditionalFormatting sqref="I268:R268">
    <cfRule type="expression" dxfId="653" priority="654">
      <formula>$P$268="N/A"</formula>
    </cfRule>
  </conditionalFormatting>
  <conditionalFormatting sqref="I268:R268">
    <cfRule type="expression" dxfId="652" priority="653">
      <formula>$P$268=""</formula>
    </cfRule>
  </conditionalFormatting>
  <conditionalFormatting sqref="I268:R268">
    <cfRule type="expression" dxfId="651" priority="652">
      <formula>$I$268="Module 1"</formula>
    </cfRule>
  </conditionalFormatting>
  <conditionalFormatting sqref="I268:R268">
    <cfRule type="expression" dxfId="650" priority="651">
      <formula>$I$268="Module 2"</formula>
    </cfRule>
  </conditionalFormatting>
  <conditionalFormatting sqref="I268:R268">
    <cfRule type="expression" dxfId="649" priority="650">
      <formula>$I$268="Module 3"</formula>
    </cfRule>
  </conditionalFormatting>
  <conditionalFormatting sqref="I268:R268">
    <cfRule type="expression" dxfId="648" priority="649">
      <formula>$I$268="or"</formula>
    </cfRule>
  </conditionalFormatting>
  <conditionalFormatting sqref="I268:R268">
    <cfRule type="expression" dxfId="647" priority="648">
      <formula>$I$268="Type 1"</formula>
    </cfRule>
  </conditionalFormatting>
  <conditionalFormatting sqref="I268:R268">
    <cfRule type="expression" dxfId="646" priority="647">
      <formula>$I$268="Type 2"</formula>
    </cfRule>
  </conditionalFormatting>
  <conditionalFormatting sqref="I268:R268">
    <cfRule type="expression" dxfId="645" priority="646">
      <formula>$I$268="Type 3"</formula>
    </cfRule>
  </conditionalFormatting>
  <conditionalFormatting sqref="L268">
    <cfRule type="expression" dxfId="644" priority="645">
      <formula>$L$268="1"</formula>
    </cfRule>
  </conditionalFormatting>
  <conditionalFormatting sqref="L268">
    <cfRule type="expression" dxfId="643" priority="644">
      <formula>$L$268="2"</formula>
    </cfRule>
  </conditionalFormatting>
  <conditionalFormatting sqref="L268">
    <cfRule type="expression" dxfId="642" priority="643">
      <formula>$L$268="3"</formula>
    </cfRule>
  </conditionalFormatting>
  <conditionalFormatting sqref="L268">
    <cfRule type="expression" dxfId="641" priority="642">
      <formula>$L$268="4"</formula>
    </cfRule>
  </conditionalFormatting>
  <conditionalFormatting sqref="L268">
    <cfRule type="expression" dxfId="640" priority="641">
      <formula>$L$268="5"</formula>
    </cfRule>
  </conditionalFormatting>
  <conditionalFormatting sqref="I269:R269">
    <cfRule type="expression" dxfId="639" priority="640">
      <formula>$P$269="Not started"</formula>
    </cfRule>
    <cfRule type="expression" dxfId="638" priority="629">
      <formula>$I$269="or"</formula>
    </cfRule>
    <cfRule type="expression" dxfId="637" priority="627">
      <formula>$I$269="Type 2"</formula>
    </cfRule>
  </conditionalFormatting>
  <conditionalFormatting sqref="I269:R269">
    <cfRule type="expression" dxfId="636" priority="639">
      <formula>$P$269="In progress"</formula>
    </cfRule>
  </conditionalFormatting>
  <conditionalFormatting sqref="I269:R269">
    <cfRule type="expression" dxfId="635" priority="638">
      <formula>$P$269="Closed"</formula>
    </cfRule>
  </conditionalFormatting>
  <conditionalFormatting sqref="I269:R269">
    <cfRule type="expression" dxfId="634" priority="637">
      <formula>$P$269="Canceled"</formula>
    </cfRule>
  </conditionalFormatting>
  <conditionalFormatting sqref="I269:R269">
    <cfRule type="expression" dxfId="633" priority="636">
      <formula>$P$269="Suspended"</formula>
    </cfRule>
  </conditionalFormatting>
  <conditionalFormatting sqref="I269:R269">
    <cfRule type="expression" dxfId="632" priority="635">
      <formula>$P$269="Applied"</formula>
    </cfRule>
  </conditionalFormatting>
  <conditionalFormatting sqref="I269:R269">
    <cfRule type="expression" dxfId="631" priority="634">
      <formula>$P$269="N/A"</formula>
    </cfRule>
  </conditionalFormatting>
  <conditionalFormatting sqref="I269:R269">
    <cfRule type="expression" dxfId="630" priority="633">
      <formula>$P$269=""</formula>
    </cfRule>
  </conditionalFormatting>
  <conditionalFormatting sqref="I269:R269">
    <cfRule type="expression" dxfId="629" priority="632">
      <formula>$I$269="Module 1"</formula>
    </cfRule>
  </conditionalFormatting>
  <conditionalFormatting sqref="I269:R269">
    <cfRule type="expression" dxfId="628" priority="631">
      <formula>$I$269="Module 2"</formula>
    </cfRule>
  </conditionalFormatting>
  <conditionalFormatting sqref="I269:R269">
    <cfRule type="expression" dxfId="627" priority="630">
      <formula>$I$269="Module 3"</formula>
    </cfRule>
    <cfRule type="expression" dxfId="626" priority="628">
      <formula>$I$269="Type 1"</formula>
    </cfRule>
    <cfRule type="expression" dxfId="625" priority="626">
      <formula>$I$269="Type 3"</formula>
    </cfRule>
  </conditionalFormatting>
  <conditionalFormatting sqref="L269">
    <cfRule type="expression" dxfId="624" priority="625">
      <formula>$L$269="1"</formula>
    </cfRule>
  </conditionalFormatting>
  <conditionalFormatting sqref="L269">
    <cfRule type="expression" dxfId="623" priority="624">
      <formula>$L$269="2"</formula>
    </cfRule>
  </conditionalFormatting>
  <conditionalFormatting sqref="L269">
    <cfRule type="expression" dxfId="622" priority="623">
      <formula>$L$269="3"</formula>
    </cfRule>
  </conditionalFormatting>
  <conditionalFormatting sqref="L269">
    <cfRule type="expression" dxfId="621" priority="622">
      <formula>$L$269="4"</formula>
    </cfRule>
  </conditionalFormatting>
  <conditionalFormatting sqref="L269">
    <cfRule type="expression" dxfId="620" priority="621">
      <formula>$L$269="5"</formula>
    </cfRule>
  </conditionalFormatting>
  <conditionalFormatting sqref="I270:R270">
    <cfRule type="expression" dxfId="619" priority="620">
      <formula>$P$270="Not started"</formula>
    </cfRule>
    <cfRule type="expression" dxfId="618" priority="609">
      <formula>$I$270="or"</formula>
    </cfRule>
    <cfRule type="expression" dxfId="617" priority="607">
      <formula>$I$270="Type 2"</formula>
    </cfRule>
  </conditionalFormatting>
  <conditionalFormatting sqref="I270:R270">
    <cfRule type="expression" dxfId="616" priority="619">
      <formula>$P$270="In progress"</formula>
    </cfRule>
  </conditionalFormatting>
  <conditionalFormatting sqref="I270:R270">
    <cfRule type="expression" dxfId="615" priority="618">
      <formula>$P$270="Closed"</formula>
    </cfRule>
  </conditionalFormatting>
  <conditionalFormatting sqref="I270:R270">
    <cfRule type="expression" dxfId="614" priority="617">
      <formula>$P$270="Canceled"</formula>
    </cfRule>
  </conditionalFormatting>
  <conditionalFormatting sqref="I270:R270">
    <cfRule type="expression" dxfId="613" priority="616">
      <formula>$P$270="Suspended"</formula>
    </cfRule>
  </conditionalFormatting>
  <conditionalFormatting sqref="I270:R270">
    <cfRule type="expression" dxfId="612" priority="615">
      <formula>$P$270="Applied"</formula>
    </cfRule>
  </conditionalFormatting>
  <conditionalFormatting sqref="I270:R270">
    <cfRule type="expression" dxfId="611" priority="614">
      <formula>$P$270="N/A"</formula>
    </cfRule>
  </conditionalFormatting>
  <conditionalFormatting sqref="I270:R270">
    <cfRule type="expression" dxfId="610" priority="613">
      <formula>$P$270=""</formula>
    </cfRule>
  </conditionalFormatting>
  <conditionalFormatting sqref="I270:R270">
    <cfRule type="expression" dxfId="609" priority="612">
      <formula>$I$270="Module 1"</formula>
    </cfRule>
  </conditionalFormatting>
  <conditionalFormatting sqref="I270:R270">
    <cfRule type="expression" dxfId="608" priority="611">
      <formula>$I$270="Module 2"</formula>
    </cfRule>
  </conditionalFormatting>
  <conditionalFormatting sqref="I270:R270">
    <cfRule type="expression" dxfId="607" priority="610">
      <formula>$I$270="Module 3"</formula>
    </cfRule>
    <cfRule type="expression" dxfId="606" priority="608">
      <formula>$I$270="Type 1"</formula>
    </cfRule>
    <cfRule type="expression" dxfId="605" priority="606">
      <formula>$I$270="Type 3"</formula>
    </cfRule>
  </conditionalFormatting>
  <conditionalFormatting sqref="L270">
    <cfRule type="expression" dxfId="604" priority="605">
      <formula>$L$270="1"</formula>
    </cfRule>
  </conditionalFormatting>
  <conditionalFormatting sqref="L270">
    <cfRule type="expression" dxfId="603" priority="604">
      <formula>$L$270="2"</formula>
    </cfRule>
  </conditionalFormatting>
  <conditionalFormatting sqref="L270">
    <cfRule type="expression" dxfId="602" priority="603">
      <formula>$L$270="3"</formula>
    </cfRule>
  </conditionalFormatting>
  <conditionalFormatting sqref="L270">
    <cfRule type="expression" dxfId="601" priority="602">
      <formula>$L$270="4"</formula>
    </cfRule>
  </conditionalFormatting>
  <conditionalFormatting sqref="L270">
    <cfRule type="expression" dxfId="600" priority="601">
      <formula>$L$270="5"</formula>
    </cfRule>
  </conditionalFormatting>
  <conditionalFormatting sqref="I271:R271">
    <cfRule type="expression" dxfId="599" priority="600">
      <formula>$P$271="Not started"</formula>
    </cfRule>
    <cfRule type="expression" dxfId="598" priority="589">
      <formula>$I$271="or"</formula>
    </cfRule>
    <cfRule type="expression" dxfId="597" priority="587">
      <formula>$I$271="Type 2"</formula>
    </cfRule>
  </conditionalFormatting>
  <conditionalFormatting sqref="I271:R271">
    <cfRule type="expression" dxfId="596" priority="599">
      <formula>$P$271="In progress"</formula>
    </cfRule>
  </conditionalFormatting>
  <conditionalFormatting sqref="I271:R271">
    <cfRule type="expression" dxfId="595" priority="598">
      <formula>$P$271="Closed"</formula>
    </cfRule>
  </conditionalFormatting>
  <conditionalFormatting sqref="I271:R271">
    <cfRule type="expression" dxfId="594" priority="597">
      <formula>$P$271="Canceled"</formula>
    </cfRule>
  </conditionalFormatting>
  <conditionalFormatting sqref="I271:R271">
    <cfRule type="expression" dxfId="593" priority="596">
      <formula>$P$271="Suspended"</formula>
    </cfRule>
  </conditionalFormatting>
  <conditionalFormatting sqref="I271:R271">
    <cfRule type="expression" dxfId="592" priority="595">
      <formula>$P$271="Applied"</formula>
    </cfRule>
  </conditionalFormatting>
  <conditionalFormatting sqref="I271:R271">
    <cfRule type="expression" dxfId="591" priority="594">
      <formula>$P$271="N/A"</formula>
    </cfRule>
  </conditionalFormatting>
  <conditionalFormatting sqref="I271:R271">
    <cfRule type="expression" dxfId="590" priority="593">
      <formula>$P$271=""</formula>
    </cfRule>
  </conditionalFormatting>
  <conditionalFormatting sqref="I271:R271">
    <cfRule type="expression" dxfId="589" priority="592">
      <formula>$I$271="Module 1"</formula>
    </cfRule>
  </conditionalFormatting>
  <conditionalFormatting sqref="I271:R271">
    <cfRule type="expression" dxfId="588" priority="591">
      <formula>$I$271="Module 2"</formula>
    </cfRule>
  </conditionalFormatting>
  <conditionalFormatting sqref="I271:R271">
    <cfRule type="expression" dxfId="587" priority="590">
      <formula>$I$271="Module 3"</formula>
    </cfRule>
    <cfRule type="expression" dxfId="586" priority="588">
      <formula>$I$271="Type 1"</formula>
    </cfRule>
    <cfRule type="expression" dxfId="585" priority="586">
      <formula>$I$271="Type 3"</formula>
    </cfRule>
  </conditionalFormatting>
  <conditionalFormatting sqref="L271">
    <cfRule type="expression" dxfId="584" priority="585">
      <formula>$L$271="1"</formula>
    </cfRule>
  </conditionalFormatting>
  <conditionalFormatting sqref="L271">
    <cfRule type="expression" dxfId="583" priority="584">
      <formula>$L$271="2"</formula>
    </cfRule>
  </conditionalFormatting>
  <conditionalFormatting sqref="L271">
    <cfRule type="expression" dxfId="582" priority="583">
      <formula>$L$271="3"</formula>
    </cfRule>
  </conditionalFormatting>
  <conditionalFormatting sqref="L271">
    <cfRule type="expression" dxfId="581" priority="582">
      <formula>$L$271="4"</formula>
    </cfRule>
  </conditionalFormatting>
  <conditionalFormatting sqref="L271">
    <cfRule type="expression" dxfId="580" priority="581">
      <formula>$L$271="5"</formula>
    </cfRule>
  </conditionalFormatting>
  <conditionalFormatting sqref="I272:R272">
    <cfRule type="expression" dxfId="579" priority="580">
      <formula>$P$272="Not started"</formula>
    </cfRule>
    <cfRule type="expression" dxfId="578" priority="569">
      <formula>$I$272="or"</formula>
    </cfRule>
    <cfRule type="expression" dxfId="577" priority="567">
      <formula>$I$272="Type 2"</formula>
    </cfRule>
  </conditionalFormatting>
  <conditionalFormatting sqref="I272:R272">
    <cfRule type="expression" dxfId="576" priority="579">
      <formula>$P$272="In progress"</formula>
    </cfRule>
  </conditionalFormatting>
  <conditionalFormatting sqref="I272:R272">
    <cfRule type="expression" dxfId="575" priority="578">
      <formula>$P$272="Closed"</formula>
    </cfRule>
  </conditionalFormatting>
  <conditionalFormatting sqref="I272:R272">
    <cfRule type="expression" dxfId="574" priority="577">
      <formula>$P$272="Canceled"</formula>
    </cfRule>
  </conditionalFormatting>
  <conditionalFormatting sqref="I272:R272">
    <cfRule type="expression" dxfId="573" priority="576">
      <formula>$P$272="Suspended"</formula>
    </cfRule>
  </conditionalFormatting>
  <conditionalFormatting sqref="I272:R272">
    <cfRule type="expression" dxfId="572" priority="575">
      <formula>$P$272="Applied"</formula>
    </cfRule>
  </conditionalFormatting>
  <conditionalFormatting sqref="I272:R272">
    <cfRule type="expression" dxfId="571" priority="574">
      <formula>$P$272="N/A"</formula>
    </cfRule>
  </conditionalFormatting>
  <conditionalFormatting sqref="I272:R272">
    <cfRule type="expression" dxfId="570" priority="573">
      <formula>$P$272=""</formula>
    </cfRule>
  </conditionalFormatting>
  <conditionalFormatting sqref="I272:R272">
    <cfRule type="expression" dxfId="569" priority="572">
      <formula>$I$272="Module 1"</formula>
    </cfRule>
  </conditionalFormatting>
  <conditionalFormatting sqref="I272:R272">
    <cfRule type="expression" dxfId="568" priority="571">
      <formula>$I$272="Module 2"</formula>
    </cfRule>
  </conditionalFormatting>
  <conditionalFormatting sqref="I272:R272">
    <cfRule type="expression" dxfId="567" priority="570">
      <formula>$I$272="Module 3"</formula>
    </cfRule>
    <cfRule type="expression" dxfId="566" priority="568">
      <formula>$I$272="Type 1"</formula>
    </cfRule>
    <cfRule type="expression" dxfId="565" priority="566">
      <formula>$I$272="Type 3"</formula>
    </cfRule>
  </conditionalFormatting>
  <conditionalFormatting sqref="L272">
    <cfRule type="expression" dxfId="564" priority="565">
      <formula>$L$272="1"</formula>
    </cfRule>
  </conditionalFormatting>
  <conditionalFormatting sqref="L272">
    <cfRule type="expression" dxfId="563" priority="564">
      <formula>$L$272="2"</formula>
    </cfRule>
  </conditionalFormatting>
  <conditionalFormatting sqref="L272">
    <cfRule type="expression" dxfId="562" priority="563">
      <formula>$L$272="3"</formula>
    </cfRule>
  </conditionalFormatting>
  <conditionalFormatting sqref="L272">
    <cfRule type="expression" dxfId="561" priority="562">
      <formula>$L$272="4"</formula>
    </cfRule>
  </conditionalFormatting>
  <conditionalFormatting sqref="L272">
    <cfRule type="expression" dxfId="560" priority="561">
      <formula>$L$272="5"</formula>
    </cfRule>
  </conditionalFormatting>
  <conditionalFormatting sqref="I273:R273">
    <cfRule type="expression" dxfId="559" priority="560">
      <formula>$P$273="Not started"</formula>
    </cfRule>
    <cfRule type="expression" dxfId="558" priority="549">
      <formula>$I$273="or"</formula>
    </cfRule>
    <cfRule type="expression" dxfId="557" priority="547">
      <formula>$I$273="Type 2"</formula>
    </cfRule>
  </conditionalFormatting>
  <conditionalFormatting sqref="I273:R273">
    <cfRule type="expression" dxfId="556" priority="559">
      <formula>$P$273="In progress"</formula>
    </cfRule>
  </conditionalFormatting>
  <conditionalFormatting sqref="I273:R273">
    <cfRule type="expression" dxfId="555" priority="558">
      <formula>$P$273="Closed"</formula>
    </cfRule>
  </conditionalFormatting>
  <conditionalFormatting sqref="I273:R273">
    <cfRule type="expression" dxfId="554" priority="557">
      <formula>$P$273="Canceled"</formula>
    </cfRule>
  </conditionalFormatting>
  <conditionalFormatting sqref="I273:R273">
    <cfRule type="expression" dxfId="553" priority="556">
      <formula>$P$273="Suspended"</formula>
    </cfRule>
  </conditionalFormatting>
  <conditionalFormatting sqref="I273:R273">
    <cfRule type="expression" dxfId="552" priority="555">
      <formula>$P$273="Applied"</formula>
    </cfRule>
  </conditionalFormatting>
  <conditionalFormatting sqref="I273:R273">
    <cfRule type="expression" dxfId="551" priority="554">
      <formula>$P$273="N/A"</formula>
    </cfRule>
  </conditionalFormatting>
  <conditionalFormatting sqref="I273:R273">
    <cfRule type="expression" dxfId="550" priority="553">
      <formula>$P$273=""</formula>
    </cfRule>
  </conditionalFormatting>
  <conditionalFormatting sqref="I273:R273">
    <cfRule type="expression" dxfId="549" priority="552">
      <formula>$I$273="Module 1"</formula>
    </cfRule>
  </conditionalFormatting>
  <conditionalFormatting sqref="I273:R273">
    <cfRule type="expression" dxfId="548" priority="551">
      <formula>$I$273="Module 2"</formula>
    </cfRule>
  </conditionalFormatting>
  <conditionalFormatting sqref="I273:R273">
    <cfRule type="expression" dxfId="547" priority="550">
      <formula>$I$273="Module 3"</formula>
    </cfRule>
    <cfRule type="expression" dxfId="546" priority="548">
      <formula>$I$273="Type 1"</formula>
    </cfRule>
    <cfRule type="expression" dxfId="545" priority="546">
      <formula>$I$273="Type 3"</formula>
    </cfRule>
  </conditionalFormatting>
  <conditionalFormatting sqref="L273">
    <cfRule type="expression" dxfId="544" priority="545">
      <formula>$L$273="1"</formula>
    </cfRule>
  </conditionalFormatting>
  <conditionalFormatting sqref="L273">
    <cfRule type="expression" dxfId="543" priority="544">
      <formula>$L$273="2"</formula>
    </cfRule>
  </conditionalFormatting>
  <conditionalFormatting sqref="L273">
    <cfRule type="expression" dxfId="542" priority="543">
      <formula>$L$273="3"</formula>
    </cfRule>
  </conditionalFormatting>
  <conditionalFormatting sqref="L273">
    <cfRule type="expression" dxfId="541" priority="542">
      <formula>$L$273="4"</formula>
    </cfRule>
  </conditionalFormatting>
  <conditionalFormatting sqref="L273">
    <cfRule type="expression" dxfId="540" priority="541">
      <formula>$L$273="5"</formula>
    </cfRule>
  </conditionalFormatting>
  <conditionalFormatting sqref="I274:R274">
    <cfRule type="expression" dxfId="539" priority="540">
      <formula>$P$274="Not started"</formula>
    </cfRule>
    <cfRule type="expression" dxfId="538" priority="529">
      <formula>$I$274="or"</formula>
    </cfRule>
    <cfRule type="expression" dxfId="537" priority="527">
      <formula>$I$274="Type 2"</formula>
    </cfRule>
  </conditionalFormatting>
  <conditionalFormatting sqref="I274:R274">
    <cfRule type="expression" dxfId="536" priority="539">
      <formula>$P$274="In progress"</formula>
    </cfRule>
  </conditionalFormatting>
  <conditionalFormatting sqref="I274:R274">
    <cfRule type="expression" dxfId="535" priority="538">
      <formula>$P$274="Closed"</formula>
    </cfRule>
  </conditionalFormatting>
  <conditionalFormatting sqref="I274:R274">
    <cfRule type="expression" dxfId="534" priority="537">
      <formula>$P$274="Canceled"</formula>
    </cfRule>
  </conditionalFormatting>
  <conditionalFormatting sqref="I274:R274">
    <cfRule type="expression" dxfId="533" priority="536">
      <formula>$P$274="Suspended"</formula>
    </cfRule>
  </conditionalFormatting>
  <conditionalFormatting sqref="I274:R274">
    <cfRule type="expression" dxfId="532" priority="535">
      <formula>$P$274="Applied"</formula>
    </cfRule>
  </conditionalFormatting>
  <conditionalFormatting sqref="I274:R274">
    <cfRule type="expression" dxfId="531" priority="534">
      <formula>$P$274="N/A"</formula>
    </cfRule>
  </conditionalFormatting>
  <conditionalFormatting sqref="I274:R274">
    <cfRule type="expression" dxfId="530" priority="533">
      <formula>$P$274=""</formula>
    </cfRule>
  </conditionalFormatting>
  <conditionalFormatting sqref="I274:R274">
    <cfRule type="expression" dxfId="529" priority="532">
      <formula>$I$274="Module 1"</formula>
    </cfRule>
  </conditionalFormatting>
  <conditionalFormatting sqref="I274:R274">
    <cfRule type="expression" dxfId="528" priority="531">
      <formula>$I$274="Module 2"</formula>
    </cfRule>
  </conditionalFormatting>
  <conditionalFormatting sqref="I274:R274">
    <cfRule type="expression" dxfId="527" priority="530">
      <formula>$I$274="Module 3"</formula>
    </cfRule>
    <cfRule type="expression" dxfId="526" priority="528">
      <formula>$I$274="Type 1"</formula>
    </cfRule>
    <cfRule type="expression" dxfId="525" priority="526">
      <formula>$I$274="Type 3"</formula>
    </cfRule>
  </conditionalFormatting>
  <conditionalFormatting sqref="L274">
    <cfRule type="expression" dxfId="524" priority="525">
      <formula>$L$274="1"</formula>
    </cfRule>
  </conditionalFormatting>
  <conditionalFormatting sqref="L274">
    <cfRule type="expression" dxfId="523" priority="524">
      <formula>$L$274="2"</formula>
    </cfRule>
  </conditionalFormatting>
  <conditionalFormatting sqref="L274">
    <cfRule type="expression" dxfId="522" priority="523">
      <formula>$L$274="3"</formula>
    </cfRule>
  </conditionalFormatting>
  <conditionalFormatting sqref="L274">
    <cfRule type="expression" dxfId="521" priority="522">
      <formula>$L$274="4"</formula>
    </cfRule>
  </conditionalFormatting>
  <conditionalFormatting sqref="L274">
    <cfRule type="expression" dxfId="520" priority="521">
      <formula>$L$274="5"</formula>
    </cfRule>
  </conditionalFormatting>
  <conditionalFormatting sqref="I275:R275">
    <cfRule type="expression" dxfId="519" priority="520">
      <formula>$P$275="Not started"</formula>
    </cfRule>
    <cfRule type="expression" dxfId="518" priority="509">
      <formula>$I$275="or"</formula>
    </cfRule>
    <cfRule type="expression" dxfId="517" priority="507">
      <formula>$I$275="Type 2"</formula>
    </cfRule>
  </conditionalFormatting>
  <conditionalFormatting sqref="I275:R275">
    <cfRule type="expression" dxfId="516" priority="519">
      <formula>$P$275="In progress"</formula>
    </cfRule>
  </conditionalFormatting>
  <conditionalFormatting sqref="I275:R275">
    <cfRule type="expression" dxfId="515" priority="518">
      <formula>$P$275="Closed"</formula>
    </cfRule>
  </conditionalFormatting>
  <conditionalFormatting sqref="I275:R275">
    <cfRule type="expression" dxfId="514" priority="517">
      <formula>$P$275="Canceled"</formula>
    </cfRule>
  </conditionalFormatting>
  <conditionalFormatting sqref="I275:R275">
    <cfRule type="expression" dxfId="513" priority="516">
      <formula>$P$275="Suspended"</formula>
    </cfRule>
  </conditionalFormatting>
  <conditionalFormatting sqref="I275:R275">
    <cfRule type="expression" dxfId="512" priority="515">
      <formula>$P$275="Applied"</formula>
    </cfRule>
  </conditionalFormatting>
  <conditionalFormatting sqref="I275:R275">
    <cfRule type="expression" dxfId="511" priority="514">
      <formula>$P$275="N/A"</formula>
    </cfRule>
  </conditionalFormatting>
  <conditionalFormatting sqref="I275:R275">
    <cfRule type="expression" dxfId="510" priority="513">
      <formula>$P$275=""</formula>
    </cfRule>
  </conditionalFormatting>
  <conditionalFormatting sqref="I275:R275">
    <cfRule type="expression" dxfId="509" priority="512">
      <formula>$I$275="Module 1"</formula>
    </cfRule>
  </conditionalFormatting>
  <conditionalFormatting sqref="I275:R275">
    <cfRule type="expression" dxfId="508" priority="511">
      <formula>$I$275="Module 2"</formula>
    </cfRule>
  </conditionalFormatting>
  <conditionalFormatting sqref="I275:R275">
    <cfRule type="expression" dxfId="507" priority="510">
      <formula>$I$275="Module 3"</formula>
    </cfRule>
    <cfRule type="expression" dxfId="506" priority="508">
      <formula>$I$275="Type 1"</formula>
    </cfRule>
    <cfRule type="expression" dxfId="505" priority="506">
      <formula>$I$275="Type 3"</formula>
    </cfRule>
  </conditionalFormatting>
  <conditionalFormatting sqref="L275">
    <cfRule type="expression" dxfId="504" priority="505">
      <formula>$L$275="1"</formula>
    </cfRule>
  </conditionalFormatting>
  <conditionalFormatting sqref="L275">
    <cfRule type="expression" dxfId="503" priority="504">
      <formula>$L$275="2"</formula>
    </cfRule>
  </conditionalFormatting>
  <conditionalFormatting sqref="L275">
    <cfRule type="expression" dxfId="502" priority="503">
      <formula>$L$275="3"</formula>
    </cfRule>
  </conditionalFormatting>
  <conditionalFormatting sqref="L275">
    <cfRule type="expression" dxfId="501" priority="502">
      <formula>$L$275="4"</formula>
    </cfRule>
  </conditionalFormatting>
  <conditionalFormatting sqref="L275">
    <cfRule type="expression" dxfId="500" priority="501">
      <formula>$L$275="5"</formula>
    </cfRule>
  </conditionalFormatting>
  <conditionalFormatting sqref="I276:R276">
    <cfRule type="expression" dxfId="499" priority="500">
      <formula>$P$276="Not started"</formula>
    </cfRule>
    <cfRule type="expression" dxfId="498" priority="489">
      <formula>$I$276="or"</formula>
    </cfRule>
    <cfRule type="expression" dxfId="497" priority="487">
      <formula>$I$276="Type 2"</formula>
    </cfRule>
  </conditionalFormatting>
  <conditionalFormatting sqref="I276:R276">
    <cfRule type="expression" dxfId="496" priority="499">
      <formula>$P$276="In progress"</formula>
    </cfRule>
  </conditionalFormatting>
  <conditionalFormatting sqref="I276:R276">
    <cfRule type="expression" dxfId="495" priority="498">
      <formula>$P$276="Closed"</formula>
    </cfRule>
  </conditionalFormatting>
  <conditionalFormatting sqref="I276:R276">
    <cfRule type="expression" dxfId="494" priority="497">
      <formula>$P$276="Canceled"</formula>
    </cfRule>
  </conditionalFormatting>
  <conditionalFormatting sqref="I276:R276">
    <cfRule type="expression" dxfId="493" priority="496">
      <formula>$P$276="Suspended"</formula>
    </cfRule>
  </conditionalFormatting>
  <conditionalFormatting sqref="I276:R276">
    <cfRule type="expression" dxfId="492" priority="495">
      <formula>$P$276="Applied"</formula>
    </cfRule>
  </conditionalFormatting>
  <conditionalFormatting sqref="I276:R276">
    <cfRule type="expression" dxfId="491" priority="494">
      <formula>$P$276="N/A"</formula>
    </cfRule>
  </conditionalFormatting>
  <conditionalFormatting sqref="I276:R276">
    <cfRule type="expression" dxfId="490" priority="493">
      <formula>$P$276=""</formula>
    </cfRule>
  </conditionalFormatting>
  <conditionalFormatting sqref="I276:R276">
    <cfRule type="expression" dxfId="489" priority="492">
      <formula>$I$276="Module 1"</formula>
    </cfRule>
  </conditionalFormatting>
  <conditionalFormatting sqref="I276:R276">
    <cfRule type="expression" dxfId="488" priority="491">
      <formula>$I$276="Module 2"</formula>
    </cfRule>
  </conditionalFormatting>
  <conditionalFormatting sqref="I276:R276">
    <cfRule type="expression" dxfId="487" priority="490">
      <formula>$I$276="Module 3"</formula>
    </cfRule>
    <cfRule type="expression" dxfId="486" priority="488">
      <formula>$I$276="Type 1"</formula>
    </cfRule>
    <cfRule type="expression" dxfId="485" priority="486">
      <formula>$I$276="Type 3"</formula>
    </cfRule>
  </conditionalFormatting>
  <conditionalFormatting sqref="L276">
    <cfRule type="expression" dxfId="484" priority="485">
      <formula>$L$276="1"</formula>
    </cfRule>
  </conditionalFormatting>
  <conditionalFormatting sqref="L276">
    <cfRule type="expression" dxfId="483" priority="484">
      <formula>$L$276="2"</formula>
    </cfRule>
  </conditionalFormatting>
  <conditionalFormatting sqref="L276">
    <cfRule type="expression" dxfId="482" priority="483">
      <formula>$L$276="3"</formula>
    </cfRule>
  </conditionalFormatting>
  <conditionalFormatting sqref="L276">
    <cfRule type="expression" dxfId="481" priority="482">
      <formula>$L$276="4"</formula>
    </cfRule>
  </conditionalFormatting>
  <conditionalFormatting sqref="L276">
    <cfRule type="expression" dxfId="480" priority="481">
      <formula>$L$276="5"</formula>
    </cfRule>
  </conditionalFormatting>
  <conditionalFormatting sqref="I277:R277">
    <cfRule type="expression" dxfId="479" priority="480">
      <formula>$P$277="Not started"</formula>
    </cfRule>
    <cfRule type="expression" dxfId="478" priority="469">
      <formula>$I$277="or"</formula>
    </cfRule>
    <cfRule type="expression" dxfId="477" priority="467">
      <formula>$I$277="Type 2"</formula>
    </cfRule>
  </conditionalFormatting>
  <conditionalFormatting sqref="I277:R277">
    <cfRule type="expression" dxfId="476" priority="479">
      <formula>$P$277="In progress"</formula>
    </cfRule>
  </conditionalFormatting>
  <conditionalFormatting sqref="I277:R277">
    <cfRule type="expression" dxfId="475" priority="478">
      <formula>$P$277="Closed"</formula>
    </cfRule>
  </conditionalFormatting>
  <conditionalFormatting sqref="I277:R277">
    <cfRule type="expression" dxfId="474" priority="477">
      <formula>$P$277="Canceled"</formula>
    </cfRule>
  </conditionalFormatting>
  <conditionalFormatting sqref="I277:R277">
    <cfRule type="expression" dxfId="473" priority="476">
      <formula>$P$277="Suspended"</formula>
    </cfRule>
  </conditionalFormatting>
  <conditionalFormatting sqref="I277:R277">
    <cfRule type="expression" dxfId="472" priority="475">
      <formula>$P$277="Applied"</formula>
    </cfRule>
  </conditionalFormatting>
  <conditionalFormatting sqref="I277:R277">
    <cfRule type="expression" dxfId="471" priority="474">
      <formula>$P$277="N/A"</formula>
    </cfRule>
  </conditionalFormatting>
  <conditionalFormatting sqref="I277:R277">
    <cfRule type="expression" dxfId="470" priority="473">
      <formula>$P$277=""</formula>
    </cfRule>
  </conditionalFormatting>
  <conditionalFormatting sqref="I277:R277">
    <cfRule type="expression" dxfId="469" priority="472">
      <formula>$I$277="Module 1"</formula>
    </cfRule>
  </conditionalFormatting>
  <conditionalFormatting sqref="I277:R277">
    <cfRule type="expression" dxfId="468" priority="471">
      <formula>$I$277="Module 2"</formula>
    </cfRule>
  </conditionalFormatting>
  <conditionalFormatting sqref="I277:R277">
    <cfRule type="expression" dxfId="467" priority="470">
      <formula>$I$277="Module 3"</formula>
    </cfRule>
    <cfRule type="expression" dxfId="466" priority="468">
      <formula>$I$277="Type 1"</formula>
    </cfRule>
    <cfRule type="expression" dxfId="465" priority="466">
      <formula>$I$277="Type 3"</formula>
    </cfRule>
  </conditionalFormatting>
  <conditionalFormatting sqref="L277">
    <cfRule type="expression" dxfId="464" priority="465">
      <formula>$L$277="1"</formula>
    </cfRule>
  </conditionalFormatting>
  <conditionalFormatting sqref="L277">
    <cfRule type="expression" dxfId="463" priority="464">
      <formula>$L$277="2"</formula>
    </cfRule>
  </conditionalFormatting>
  <conditionalFormatting sqref="L277">
    <cfRule type="expression" dxfId="462" priority="463">
      <formula>$L$277="3"</formula>
    </cfRule>
  </conditionalFormatting>
  <conditionalFormatting sqref="L277">
    <cfRule type="expression" dxfId="461" priority="462">
      <formula>$L$277="4"</formula>
    </cfRule>
  </conditionalFormatting>
  <conditionalFormatting sqref="L277">
    <cfRule type="expression" dxfId="460" priority="461">
      <formula>$L$277="5"</formula>
    </cfRule>
  </conditionalFormatting>
  <conditionalFormatting sqref="I278:R278">
    <cfRule type="expression" dxfId="459" priority="460">
      <formula>$P$278="Not started"</formula>
    </cfRule>
  </conditionalFormatting>
  <conditionalFormatting sqref="I278:R278">
    <cfRule type="expression" dxfId="458" priority="459">
      <formula>$P$278="In progress"</formula>
    </cfRule>
  </conditionalFormatting>
  <conditionalFormatting sqref="I278:R278">
    <cfRule type="expression" dxfId="457" priority="458">
      <formula>$P$278="Closed"</formula>
    </cfRule>
  </conditionalFormatting>
  <conditionalFormatting sqref="I278:R278">
    <cfRule type="expression" dxfId="456" priority="457">
      <formula>$P$278="Canceled"</formula>
    </cfRule>
  </conditionalFormatting>
  <conditionalFormatting sqref="I278:R278">
    <cfRule type="expression" dxfId="455" priority="456">
      <formula>$P$278="Suspended"</formula>
    </cfRule>
  </conditionalFormatting>
  <conditionalFormatting sqref="I278:R278">
    <cfRule type="expression" dxfId="454" priority="455">
      <formula>$P$278="Applied"</formula>
    </cfRule>
  </conditionalFormatting>
  <conditionalFormatting sqref="I278:R278">
    <cfRule type="expression" dxfId="453" priority="454">
      <formula>$P$278="N/A"</formula>
    </cfRule>
  </conditionalFormatting>
  <conditionalFormatting sqref="I278:R278">
    <cfRule type="expression" dxfId="452" priority="453">
      <formula>$P$278=""</formula>
    </cfRule>
  </conditionalFormatting>
  <conditionalFormatting sqref="I278:R278">
    <cfRule type="expression" dxfId="451" priority="452">
      <formula>$I$278="Module 1"</formula>
    </cfRule>
  </conditionalFormatting>
  <conditionalFormatting sqref="I278:R278">
    <cfRule type="expression" dxfId="450" priority="451">
      <formula>$I$278="Module 2"</formula>
    </cfRule>
  </conditionalFormatting>
  <conditionalFormatting sqref="I278:R278">
    <cfRule type="expression" dxfId="449" priority="450">
      <formula>$I$278="Module 3"</formula>
    </cfRule>
  </conditionalFormatting>
  <conditionalFormatting sqref="I278:R278">
    <cfRule type="expression" dxfId="448" priority="449">
      <formula>$I$278="or"</formula>
    </cfRule>
  </conditionalFormatting>
  <conditionalFormatting sqref="I278:R278">
    <cfRule type="expression" dxfId="447" priority="448">
      <formula>$I$278="Type 1"</formula>
    </cfRule>
  </conditionalFormatting>
  <conditionalFormatting sqref="I278:R278">
    <cfRule type="expression" dxfId="446" priority="447">
      <formula>$I$278="Type 2"</formula>
    </cfRule>
  </conditionalFormatting>
  <conditionalFormatting sqref="I278:R278">
    <cfRule type="expression" dxfId="445" priority="446">
      <formula>$I$278="Type 3"</formula>
    </cfRule>
  </conditionalFormatting>
  <conditionalFormatting sqref="L278">
    <cfRule type="expression" dxfId="444" priority="445">
      <formula>$L$278="1"</formula>
    </cfRule>
  </conditionalFormatting>
  <conditionalFormatting sqref="L278">
    <cfRule type="expression" dxfId="443" priority="444">
      <formula>$L$278="2"</formula>
    </cfRule>
  </conditionalFormatting>
  <conditionalFormatting sqref="L278">
    <cfRule type="expression" dxfId="442" priority="443">
      <formula>$L$278="3"</formula>
    </cfRule>
  </conditionalFormatting>
  <conditionalFormatting sqref="L278">
    <cfRule type="expression" dxfId="441" priority="442">
      <formula>$L$278="4"</formula>
    </cfRule>
  </conditionalFormatting>
  <conditionalFormatting sqref="L278">
    <cfRule type="expression" dxfId="440" priority="441">
      <formula>$L$278="5"</formula>
    </cfRule>
  </conditionalFormatting>
  <conditionalFormatting sqref="I279:R279">
    <cfRule type="expression" dxfId="439" priority="440">
      <formula>$P$279="Not started"</formula>
    </cfRule>
    <cfRule type="expression" dxfId="438" priority="429">
      <formula>$I$279="or"</formula>
    </cfRule>
    <cfRule type="expression" dxfId="437" priority="427">
      <formula>$I$279="Type 2"</formula>
    </cfRule>
  </conditionalFormatting>
  <conditionalFormatting sqref="I279:R279">
    <cfRule type="expression" dxfId="436" priority="439">
      <formula>$P$279="In progress"</formula>
    </cfRule>
  </conditionalFormatting>
  <conditionalFormatting sqref="I279:R279">
    <cfRule type="expression" dxfId="435" priority="438">
      <formula>$P$279="Closed"</formula>
    </cfRule>
  </conditionalFormatting>
  <conditionalFormatting sqref="I279:R279">
    <cfRule type="expression" dxfId="434" priority="437">
      <formula>$P$279="Canceled"</formula>
    </cfRule>
  </conditionalFormatting>
  <conditionalFormatting sqref="I279:R279">
    <cfRule type="expression" dxfId="433" priority="436">
      <formula>$P$279="Suspended"</formula>
    </cfRule>
  </conditionalFormatting>
  <conditionalFormatting sqref="I279:R279">
    <cfRule type="expression" dxfId="432" priority="435">
      <formula>$P$279="Applied"</formula>
    </cfRule>
  </conditionalFormatting>
  <conditionalFormatting sqref="I279:R279">
    <cfRule type="expression" dxfId="431" priority="434">
      <formula>$P$279="N/A"</formula>
    </cfRule>
  </conditionalFormatting>
  <conditionalFormatting sqref="I279:R279">
    <cfRule type="expression" dxfId="430" priority="433">
      <formula>$P$279=""</formula>
    </cfRule>
  </conditionalFormatting>
  <conditionalFormatting sqref="I279:R279">
    <cfRule type="expression" dxfId="429" priority="432">
      <formula>$I$279="Module 1"</formula>
    </cfRule>
  </conditionalFormatting>
  <conditionalFormatting sqref="I279:R279">
    <cfRule type="expression" dxfId="428" priority="431">
      <formula>$I$279="Module 2"</formula>
    </cfRule>
  </conditionalFormatting>
  <conditionalFormatting sqref="I279:R279">
    <cfRule type="expression" dxfId="427" priority="430">
      <formula>$I$279="Module 3"</formula>
    </cfRule>
    <cfRule type="expression" dxfId="426" priority="428">
      <formula>$I$279="Type 1"</formula>
    </cfRule>
    <cfRule type="expression" dxfId="425" priority="426">
      <formula>$I$279="Type 3"</formula>
    </cfRule>
  </conditionalFormatting>
  <conditionalFormatting sqref="L279">
    <cfRule type="expression" dxfId="424" priority="425">
      <formula>$L$279="1"</formula>
    </cfRule>
  </conditionalFormatting>
  <conditionalFormatting sqref="L279">
    <cfRule type="expression" dxfId="423" priority="424">
      <formula>$L$279="2"</formula>
    </cfRule>
  </conditionalFormatting>
  <conditionalFormatting sqref="L279">
    <cfRule type="expression" dxfId="422" priority="423">
      <formula>$L$279="3"</formula>
    </cfRule>
  </conditionalFormatting>
  <conditionalFormatting sqref="L279">
    <cfRule type="expression" dxfId="421" priority="422">
      <formula>$L$279="4"</formula>
    </cfRule>
  </conditionalFormatting>
  <conditionalFormatting sqref="L279">
    <cfRule type="expression" dxfId="420" priority="421">
      <formula>$L$279="5"</formula>
    </cfRule>
  </conditionalFormatting>
  <conditionalFormatting sqref="I280:R280">
    <cfRule type="expression" dxfId="419" priority="420">
      <formula>$P$280="Not started"</formula>
    </cfRule>
    <cfRule type="expression" dxfId="418" priority="409">
      <formula>$I$280="or"</formula>
    </cfRule>
    <cfRule type="expression" dxfId="417" priority="407">
      <formula>$I$280="Type 2"</formula>
    </cfRule>
  </conditionalFormatting>
  <conditionalFormatting sqref="I280:R280">
    <cfRule type="expression" dxfId="416" priority="419">
      <formula>$P$280="In progress"</formula>
    </cfRule>
  </conditionalFormatting>
  <conditionalFormatting sqref="I280:R280">
    <cfRule type="expression" dxfId="415" priority="418">
      <formula>$P$280="Closed"</formula>
    </cfRule>
  </conditionalFormatting>
  <conditionalFormatting sqref="I280:R280">
    <cfRule type="expression" dxfId="414" priority="417">
      <formula>$P$280="Canceled"</formula>
    </cfRule>
  </conditionalFormatting>
  <conditionalFormatting sqref="I280:R280">
    <cfRule type="expression" dxfId="413" priority="416">
      <formula>$P$280="Suspended"</formula>
    </cfRule>
  </conditionalFormatting>
  <conditionalFormatting sqref="I280:R280">
    <cfRule type="expression" dxfId="412" priority="415">
      <formula>$P$280="Applied"</formula>
    </cfRule>
  </conditionalFormatting>
  <conditionalFormatting sqref="I280:R280">
    <cfRule type="expression" dxfId="411" priority="414">
      <formula>$P$280="N/A"</formula>
    </cfRule>
  </conditionalFormatting>
  <conditionalFormatting sqref="I280:R280">
    <cfRule type="expression" dxfId="410" priority="413">
      <formula>$P$280=""</formula>
    </cfRule>
  </conditionalFormatting>
  <conditionalFormatting sqref="I280:R280">
    <cfRule type="expression" dxfId="409" priority="412">
      <formula>$I$280="Module 1"</formula>
    </cfRule>
  </conditionalFormatting>
  <conditionalFormatting sqref="I280:R280">
    <cfRule type="expression" dxfId="408" priority="411">
      <formula>$I$280="Module 2"</formula>
    </cfRule>
  </conditionalFormatting>
  <conditionalFormatting sqref="I280:R280">
    <cfRule type="expression" dxfId="407" priority="410">
      <formula>$I$280="Module 3"</formula>
    </cfRule>
    <cfRule type="expression" dxfId="406" priority="408">
      <formula>$I$280="Type 1"</formula>
    </cfRule>
    <cfRule type="expression" dxfId="405" priority="406">
      <formula>$I$280="Type 3"</formula>
    </cfRule>
  </conditionalFormatting>
  <conditionalFormatting sqref="L280">
    <cfRule type="expression" dxfId="404" priority="405">
      <formula>$L$280="1"</formula>
    </cfRule>
  </conditionalFormatting>
  <conditionalFormatting sqref="L280">
    <cfRule type="expression" dxfId="403" priority="404">
      <formula>$L$280="2"</formula>
    </cfRule>
  </conditionalFormatting>
  <conditionalFormatting sqref="L280">
    <cfRule type="expression" dxfId="402" priority="403">
      <formula>$L$280="3"</formula>
    </cfRule>
  </conditionalFormatting>
  <conditionalFormatting sqref="L280">
    <cfRule type="expression" dxfId="401" priority="402">
      <formula>$L$280="4"</formula>
    </cfRule>
  </conditionalFormatting>
  <conditionalFormatting sqref="L280">
    <cfRule type="expression" dxfId="400" priority="401">
      <formula>$L$280="5"</formula>
    </cfRule>
  </conditionalFormatting>
  <conditionalFormatting sqref="I281:R281">
    <cfRule type="expression" dxfId="399" priority="400">
      <formula>$P$281="Not started"</formula>
    </cfRule>
    <cfRule type="expression" dxfId="398" priority="389">
      <formula>$I$281="or"</formula>
    </cfRule>
    <cfRule type="expression" dxfId="397" priority="387">
      <formula>$I$281="Type 2"</formula>
    </cfRule>
  </conditionalFormatting>
  <conditionalFormatting sqref="I281:R281">
    <cfRule type="expression" dxfId="396" priority="399">
      <formula>$P$281="In progress"</formula>
    </cfRule>
  </conditionalFormatting>
  <conditionalFormatting sqref="I281:R281">
    <cfRule type="expression" dxfId="395" priority="398">
      <formula>$P$281="Closed"</formula>
    </cfRule>
  </conditionalFormatting>
  <conditionalFormatting sqref="I281:R281">
    <cfRule type="expression" dxfId="394" priority="397">
      <formula>$P$281="Canceled"</formula>
    </cfRule>
  </conditionalFormatting>
  <conditionalFormatting sqref="I281:R281">
    <cfRule type="expression" dxfId="393" priority="396">
      <formula>$P$281="Suspended"</formula>
    </cfRule>
  </conditionalFormatting>
  <conditionalFormatting sqref="I281:R281">
    <cfRule type="expression" dxfId="392" priority="395">
      <formula>$P$281="Applied"</formula>
    </cfRule>
  </conditionalFormatting>
  <conditionalFormatting sqref="I281:R281">
    <cfRule type="expression" dxfId="391" priority="394">
      <formula>$P$281="N/A"</formula>
    </cfRule>
  </conditionalFormatting>
  <conditionalFormatting sqref="I281:R281">
    <cfRule type="expression" dxfId="390" priority="393">
      <formula>$P$281=""</formula>
    </cfRule>
  </conditionalFormatting>
  <conditionalFormatting sqref="I281:R281">
    <cfRule type="expression" dxfId="389" priority="392">
      <formula>$I$281="Module 1"</formula>
    </cfRule>
  </conditionalFormatting>
  <conditionalFormatting sqref="I281:R281">
    <cfRule type="expression" dxfId="388" priority="391">
      <formula>$I$281="Module 2"</formula>
    </cfRule>
  </conditionalFormatting>
  <conditionalFormatting sqref="I281:R281">
    <cfRule type="expression" dxfId="387" priority="390">
      <formula>$I$281="Module 3"</formula>
    </cfRule>
    <cfRule type="expression" dxfId="386" priority="388">
      <formula>$I$281="Type 1"</formula>
    </cfRule>
    <cfRule type="expression" dxfId="385" priority="386">
      <formula>$I$281="Type 3"</formula>
    </cfRule>
  </conditionalFormatting>
  <conditionalFormatting sqref="L281">
    <cfRule type="expression" dxfId="384" priority="385">
      <formula>$L$281="1"</formula>
    </cfRule>
  </conditionalFormatting>
  <conditionalFormatting sqref="L281">
    <cfRule type="expression" dxfId="383" priority="384">
      <formula>$L$281="2"</formula>
    </cfRule>
  </conditionalFormatting>
  <conditionalFormatting sqref="L281">
    <cfRule type="expression" dxfId="382" priority="383">
      <formula>$L$281="3"</formula>
    </cfRule>
  </conditionalFormatting>
  <conditionalFormatting sqref="L281">
    <cfRule type="expression" dxfId="381" priority="382">
      <formula>$L$281="4"</formula>
    </cfRule>
  </conditionalFormatting>
  <conditionalFormatting sqref="L281">
    <cfRule type="expression" dxfId="380" priority="381">
      <formula>$L$281="5"</formula>
    </cfRule>
  </conditionalFormatting>
  <conditionalFormatting sqref="I282:R282">
    <cfRule type="expression" dxfId="379" priority="380">
      <formula>$P$282="Not started"</formula>
    </cfRule>
    <cfRule type="expression" dxfId="378" priority="369">
      <formula>$I$282="or"</formula>
    </cfRule>
    <cfRule type="expression" dxfId="377" priority="367">
      <formula>$I$282="Type 2"</formula>
    </cfRule>
  </conditionalFormatting>
  <conditionalFormatting sqref="I282:R282">
    <cfRule type="expression" dxfId="376" priority="379">
      <formula>$P$282="In progress"</formula>
    </cfRule>
  </conditionalFormatting>
  <conditionalFormatting sqref="I282:R282">
    <cfRule type="expression" dxfId="375" priority="378">
      <formula>$P$282="Closed"</formula>
    </cfRule>
  </conditionalFormatting>
  <conditionalFormatting sqref="I282:R282">
    <cfRule type="expression" dxfId="374" priority="377">
      <formula>$P$282="Canceled"</formula>
    </cfRule>
  </conditionalFormatting>
  <conditionalFormatting sqref="I282:R282">
    <cfRule type="expression" dxfId="373" priority="376">
      <formula>$P$282="Suspended"</formula>
    </cfRule>
  </conditionalFormatting>
  <conditionalFormatting sqref="I282:R282">
    <cfRule type="expression" dxfId="372" priority="375">
      <formula>$P$282="Applied"</formula>
    </cfRule>
  </conditionalFormatting>
  <conditionalFormatting sqref="I282:R282">
    <cfRule type="expression" dxfId="371" priority="374">
      <formula>$P$282="N/A"</formula>
    </cfRule>
  </conditionalFormatting>
  <conditionalFormatting sqref="I282:R282">
    <cfRule type="expression" dxfId="370" priority="373">
      <formula>$P$282=""</formula>
    </cfRule>
  </conditionalFormatting>
  <conditionalFormatting sqref="I282:R282">
    <cfRule type="expression" dxfId="369" priority="372">
      <formula>$I$282="Module 1"</formula>
    </cfRule>
  </conditionalFormatting>
  <conditionalFormatting sqref="I282:R282">
    <cfRule type="expression" dxfId="368" priority="371">
      <formula>$I$282="Module 2"</formula>
    </cfRule>
  </conditionalFormatting>
  <conditionalFormatting sqref="I282:R282">
    <cfRule type="expression" dxfId="367" priority="370">
      <formula>$I$282="Module 3"</formula>
    </cfRule>
    <cfRule type="expression" dxfId="366" priority="368">
      <formula>$I$282="Type 1"</formula>
    </cfRule>
    <cfRule type="expression" dxfId="365" priority="366">
      <formula>$I$282="Type 3"</formula>
    </cfRule>
  </conditionalFormatting>
  <conditionalFormatting sqref="L282">
    <cfRule type="expression" dxfId="364" priority="365">
      <formula>$L$282="1"</formula>
    </cfRule>
  </conditionalFormatting>
  <conditionalFormatting sqref="L282">
    <cfRule type="expression" dxfId="363" priority="364">
      <formula>$L$282="2"</formula>
    </cfRule>
  </conditionalFormatting>
  <conditionalFormatting sqref="L282">
    <cfRule type="expression" dxfId="362" priority="363">
      <formula>$L$282="3"</formula>
    </cfRule>
  </conditionalFormatting>
  <conditionalFormatting sqref="L282">
    <cfRule type="expression" dxfId="361" priority="362">
      <formula>$L$282="4"</formula>
    </cfRule>
  </conditionalFormatting>
  <conditionalFormatting sqref="L282">
    <cfRule type="expression" dxfId="360" priority="361">
      <formula>$L$282="5"</formula>
    </cfRule>
  </conditionalFormatting>
  <conditionalFormatting sqref="I283:R283">
    <cfRule type="expression" dxfId="359" priority="360">
      <formula>$P$283="Not started"</formula>
    </cfRule>
    <cfRule type="expression" dxfId="358" priority="349">
      <formula>$I$283="or"</formula>
    </cfRule>
    <cfRule type="expression" dxfId="357" priority="347">
      <formula>$I$283="Type 2"</formula>
    </cfRule>
  </conditionalFormatting>
  <conditionalFormatting sqref="I283:R283">
    <cfRule type="expression" dxfId="356" priority="359">
      <formula>$P$283="In progress"</formula>
    </cfRule>
  </conditionalFormatting>
  <conditionalFormatting sqref="I283:R283">
    <cfRule type="expression" dxfId="355" priority="358">
      <formula>$P$283="Closed"</formula>
    </cfRule>
  </conditionalFormatting>
  <conditionalFormatting sqref="I283:R283">
    <cfRule type="expression" dxfId="354" priority="357">
      <formula>$P$283="Canceled"</formula>
    </cfRule>
  </conditionalFormatting>
  <conditionalFormatting sqref="I283:R283">
    <cfRule type="expression" dxfId="353" priority="356">
      <formula>$P$283="Suspended"</formula>
    </cfRule>
  </conditionalFormatting>
  <conditionalFormatting sqref="I283:R283">
    <cfRule type="expression" dxfId="352" priority="355">
      <formula>$P$283="Applied"</formula>
    </cfRule>
  </conditionalFormatting>
  <conditionalFormatting sqref="I283:R283">
    <cfRule type="expression" dxfId="351" priority="354">
      <formula>$P$283="N/A"</formula>
    </cfRule>
  </conditionalFormatting>
  <conditionalFormatting sqref="I283:R283">
    <cfRule type="expression" dxfId="350" priority="353">
      <formula>$P$283=""</formula>
    </cfRule>
  </conditionalFormatting>
  <conditionalFormatting sqref="I283:R283">
    <cfRule type="expression" dxfId="349" priority="352">
      <formula>$I$283="Module 1"</formula>
    </cfRule>
  </conditionalFormatting>
  <conditionalFormatting sqref="I283:R283">
    <cfRule type="expression" dxfId="348" priority="351">
      <formula>$I$283="Module 2"</formula>
    </cfRule>
  </conditionalFormatting>
  <conditionalFormatting sqref="I283:R283">
    <cfRule type="expression" dxfId="347" priority="350">
      <formula>$I$283="Module 3"</formula>
    </cfRule>
    <cfRule type="expression" dxfId="346" priority="348">
      <formula>$I$283="Type 1"</formula>
    </cfRule>
    <cfRule type="expression" dxfId="345" priority="346">
      <formula>$I$283="Type 3"</formula>
    </cfRule>
  </conditionalFormatting>
  <conditionalFormatting sqref="L283">
    <cfRule type="expression" dxfId="344" priority="345">
      <formula>$L$283="1"</formula>
    </cfRule>
  </conditionalFormatting>
  <conditionalFormatting sqref="L283">
    <cfRule type="expression" dxfId="343" priority="344">
      <formula>$L$283="2"</formula>
    </cfRule>
  </conditionalFormatting>
  <conditionalFormatting sqref="L283">
    <cfRule type="expression" dxfId="342" priority="343">
      <formula>$L$283="3"</formula>
    </cfRule>
  </conditionalFormatting>
  <conditionalFormatting sqref="L283">
    <cfRule type="expression" dxfId="341" priority="342">
      <formula>$L$283="4"</formula>
    </cfRule>
  </conditionalFormatting>
  <conditionalFormatting sqref="L283">
    <cfRule type="expression" dxfId="340" priority="341">
      <formula>$L$283="5"</formula>
    </cfRule>
  </conditionalFormatting>
  <conditionalFormatting sqref="I284:R284">
    <cfRule type="expression" dxfId="339" priority="340">
      <formula>$P$284="Not started"</formula>
    </cfRule>
    <cfRule type="expression" dxfId="338" priority="329">
      <formula>$I$284="or"</formula>
    </cfRule>
    <cfRule type="expression" dxfId="337" priority="327">
      <formula>$I$284="Type 2"</formula>
    </cfRule>
  </conditionalFormatting>
  <conditionalFormatting sqref="I284:R284">
    <cfRule type="expression" dxfId="336" priority="339">
      <formula>$P$284="In progress"</formula>
    </cfRule>
  </conditionalFormatting>
  <conditionalFormatting sqref="I284:R284">
    <cfRule type="expression" dxfId="335" priority="338">
      <formula>$P$284="Closed"</formula>
    </cfRule>
  </conditionalFormatting>
  <conditionalFormatting sqref="I284:R284">
    <cfRule type="expression" dxfId="334" priority="337">
      <formula>$P$284="Canceled"</formula>
    </cfRule>
  </conditionalFormatting>
  <conditionalFormatting sqref="I284:R284">
    <cfRule type="expression" dxfId="333" priority="336">
      <formula>$P$284="Suspended"</formula>
    </cfRule>
  </conditionalFormatting>
  <conditionalFormatting sqref="I284:R284">
    <cfRule type="expression" dxfId="332" priority="335">
      <formula>$P$284="Applied"</formula>
    </cfRule>
  </conditionalFormatting>
  <conditionalFormatting sqref="I284:R284">
    <cfRule type="expression" dxfId="331" priority="334">
      <formula>$P$284="N/A"</formula>
    </cfRule>
  </conditionalFormatting>
  <conditionalFormatting sqref="I284:R284">
    <cfRule type="expression" dxfId="330" priority="333">
      <formula>$P$284=""</formula>
    </cfRule>
  </conditionalFormatting>
  <conditionalFormatting sqref="I284:R284">
    <cfRule type="expression" dxfId="329" priority="332">
      <formula>$I$284="Module 1"</formula>
    </cfRule>
  </conditionalFormatting>
  <conditionalFormatting sqref="I284:R284">
    <cfRule type="expression" dxfId="328" priority="331">
      <formula>$I$284="Module 2"</formula>
    </cfRule>
  </conditionalFormatting>
  <conditionalFormatting sqref="I284:R284">
    <cfRule type="expression" dxfId="327" priority="330">
      <formula>$I$284="Module 3"</formula>
    </cfRule>
    <cfRule type="expression" dxfId="326" priority="328">
      <formula>$I$284="Type 1"</formula>
    </cfRule>
    <cfRule type="expression" dxfId="325" priority="326">
      <formula>$I$284="Type 3"</formula>
    </cfRule>
  </conditionalFormatting>
  <conditionalFormatting sqref="L284">
    <cfRule type="expression" dxfId="324" priority="325">
      <formula>$L$284="1"</formula>
    </cfRule>
  </conditionalFormatting>
  <conditionalFormatting sqref="L284">
    <cfRule type="expression" dxfId="323" priority="324">
      <formula>$L$284="2"</formula>
    </cfRule>
  </conditionalFormatting>
  <conditionalFormatting sqref="L284">
    <cfRule type="expression" dxfId="322" priority="323">
      <formula>$L$284="3"</formula>
    </cfRule>
  </conditionalFormatting>
  <conditionalFormatting sqref="L284">
    <cfRule type="expression" dxfId="321" priority="322">
      <formula>$L$284="4"</formula>
    </cfRule>
  </conditionalFormatting>
  <conditionalFormatting sqref="L284">
    <cfRule type="expression" dxfId="320" priority="321">
      <formula>$L$284="5"</formula>
    </cfRule>
  </conditionalFormatting>
  <conditionalFormatting sqref="I285:R285">
    <cfRule type="expression" dxfId="319" priority="320">
      <formula>$P$285="Not started"</formula>
    </cfRule>
    <cfRule type="expression" dxfId="318" priority="309">
      <formula>$I$285="or"</formula>
    </cfRule>
    <cfRule type="expression" dxfId="317" priority="307">
      <formula>$I$285="Type 2"</formula>
    </cfRule>
  </conditionalFormatting>
  <conditionalFormatting sqref="I285:R285">
    <cfRule type="expression" dxfId="316" priority="319">
      <formula>$P$285="In progress"</formula>
    </cfRule>
  </conditionalFormatting>
  <conditionalFormatting sqref="I285:R285">
    <cfRule type="expression" dxfId="315" priority="318">
      <formula>$P$285="Closed"</formula>
    </cfRule>
  </conditionalFormatting>
  <conditionalFormatting sqref="I285:R285">
    <cfRule type="expression" dxfId="314" priority="317">
      <formula>$P$285="Canceled"</formula>
    </cfRule>
  </conditionalFormatting>
  <conditionalFormatting sqref="I285:R285">
    <cfRule type="expression" dxfId="313" priority="316">
      <formula>$P$285="Suspended"</formula>
    </cfRule>
  </conditionalFormatting>
  <conditionalFormatting sqref="I285:R285">
    <cfRule type="expression" dxfId="312" priority="315">
      <formula>$P$285="Applied"</formula>
    </cfRule>
  </conditionalFormatting>
  <conditionalFormatting sqref="I285:R285">
    <cfRule type="expression" dxfId="311" priority="314">
      <formula>$P$285="N/A"</formula>
    </cfRule>
  </conditionalFormatting>
  <conditionalFormatting sqref="I285:R285">
    <cfRule type="expression" dxfId="310" priority="313">
      <formula>$P$285=""</formula>
    </cfRule>
  </conditionalFormatting>
  <conditionalFormatting sqref="I285:R285">
    <cfRule type="expression" dxfId="309" priority="312">
      <formula>$I$285="Module 1"</formula>
    </cfRule>
  </conditionalFormatting>
  <conditionalFormatting sqref="I285:R285">
    <cfRule type="expression" dxfId="308" priority="311">
      <formula>$I$285="Module 2"</formula>
    </cfRule>
  </conditionalFormatting>
  <conditionalFormatting sqref="I285:R285">
    <cfRule type="expression" dxfId="307" priority="310">
      <formula>$I$285="Module 3"</formula>
    </cfRule>
    <cfRule type="expression" dxfId="306" priority="308">
      <formula>$I$285="Type 1"</formula>
    </cfRule>
    <cfRule type="expression" dxfId="305" priority="306">
      <formula>$I$285="Type 3"</formula>
    </cfRule>
  </conditionalFormatting>
  <conditionalFormatting sqref="L285">
    <cfRule type="expression" dxfId="304" priority="305">
      <formula>$L$285="1"</formula>
    </cfRule>
  </conditionalFormatting>
  <conditionalFormatting sqref="L285">
    <cfRule type="expression" dxfId="303" priority="304">
      <formula>$L$285="2"</formula>
    </cfRule>
  </conditionalFormatting>
  <conditionalFormatting sqref="L285">
    <cfRule type="expression" dxfId="302" priority="303">
      <formula>$L$285="3"</formula>
    </cfRule>
  </conditionalFormatting>
  <conditionalFormatting sqref="L285">
    <cfRule type="expression" dxfId="301" priority="302">
      <formula>$L$285="4"</formula>
    </cfRule>
  </conditionalFormatting>
  <conditionalFormatting sqref="L285">
    <cfRule type="expression" dxfId="300" priority="301">
      <formula>$L$285="5"</formula>
    </cfRule>
  </conditionalFormatting>
  <conditionalFormatting sqref="I286:R286">
    <cfRule type="expression" dxfId="299" priority="300">
      <formula>$P$286="Not started"</formula>
    </cfRule>
    <cfRule type="expression" dxfId="298" priority="289">
      <formula>$I$286="or"</formula>
    </cfRule>
    <cfRule type="expression" dxfId="297" priority="287">
      <formula>$I$286="Type 2"</formula>
    </cfRule>
  </conditionalFormatting>
  <conditionalFormatting sqref="I286:R286">
    <cfRule type="expression" dxfId="296" priority="299">
      <formula>$P$286="In progress"</formula>
    </cfRule>
  </conditionalFormatting>
  <conditionalFormatting sqref="I286:R286">
    <cfRule type="expression" dxfId="295" priority="298">
      <formula>$P$286="Closed"</formula>
    </cfRule>
  </conditionalFormatting>
  <conditionalFormatting sqref="I286:R286">
    <cfRule type="expression" dxfId="294" priority="297">
      <formula>$P$286="Canceled"</formula>
    </cfRule>
  </conditionalFormatting>
  <conditionalFormatting sqref="I286:R286">
    <cfRule type="expression" dxfId="293" priority="296">
      <formula>$P$286="Suspended"</formula>
    </cfRule>
  </conditionalFormatting>
  <conditionalFormatting sqref="I286:R286">
    <cfRule type="expression" dxfId="292" priority="295">
      <formula>$P$286="Applied"</formula>
    </cfRule>
  </conditionalFormatting>
  <conditionalFormatting sqref="I286:R286">
    <cfRule type="expression" dxfId="291" priority="294">
      <formula>$P$286="N/A"</formula>
    </cfRule>
  </conditionalFormatting>
  <conditionalFormatting sqref="I286:R286">
    <cfRule type="expression" dxfId="290" priority="293">
      <formula>$P$286=""</formula>
    </cfRule>
  </conditionalFormatting>
  <conditionalFormatting sqref="I286:R286">
    <cfRule type="expression" dxfId="289" priority="292">
      <formula>$I$286="Module 1"</formula>
    </cfRule>
  </conditionalFormatting>
  <conditionalFormatting sqref="I286:R286">
    <cfRule type="expression" dxfId="288" priority="291">
      <formula>$I$286="Module 2"</formula>
    </cfRule>
  </conditionalFormatting>
  <conditionalFormatting sqref="I286:R286">
    <cfRule type="expression" dxfId="287" priority="290">
      <formula>$I$286="Module 3"</formula>
    </cfRule>
    <cfRule type="expression" dxfId="286" priority="288">
      <formula>$I$286="Type 1"</formula>
    </cfRule>
    <cfRule type="expression" dxfId="285" priority="286">
      <formula>$I$286="Type 3"</formula>
    </cfRule>
  </conditionalFormatting>
  <conditionalFormatting sqref="L286">
    <cfRule type="expression" dxfId="284" priority="285">
      <formula>$L$286="1"</formula>
    </cfRule>
  </conditionalFormatting>
  <conditionalFormatting sqref="L286">
    <cfRule type="expression" dxfId="283" priority="284">
      <formula>$L$286="2"</formula>
    </cfRule>
  </conditionalFormatting>
  <conditionalFormatting sqref="L286">
    <cfRule type="expression" dxfId="282" priority="283">
      <formula>$L$286="3"</formula>
    </cfRule>
  </conditionalFormatting>
  <conditionalFormatting sqref="L286">
    <cfRule type="expression" dxfId="281" priority="282">
      <formula>$L$286="4"</formula>
    </cfRule>
  </conditionalFormatting>
  <conditionalFormatting sqref="L286">
    <cfRule type="expression" dxfId="280" priority="281">
      <formula>$L$286="5"</formula>
    </cfRule>
  </conditionalFormatting>
  <conditionalFormatting sqref="I287:R287">
    <cfRule type="expression" dxfId="279" priority="280">
      <formula>$P$287="Not started"</formula>
    </cfRule>
    <cfRule type="expression" dxfId="278" priority="269">
      <formula>$I$287="or"</formula>
    </cfRule>
    <cfRule type="expression" dxfId="277" priority="267">
      <formula>$I$287="Type 2"</formula>
    </cfRule>
  </conditionalFormatting>
  <conditionalFormatting sqref="I287:R287">
    <cfRule type="expression" dxfId="276" priority="279">
      <formula>$P$287="In progress"</formula>
    </cfRule>
  </conditionalFormatting>
  <conditionalFormatting sqref="I287:R287">
    <cfRule type="expression" dxfId="275" priority="278">
      <formula>$P$287="Closed"</formula>
    </cfRule>
  </conditionalFormatting>
  <conditionalFormatting sqref="I287:R287">
    <cfRule type="expression" dxfId="274" priority="277">
      <formula>$P$287="Canceled"</formula>
    </cfRule>
  </conditionalFormatting>
  <conditionalFormatting sqref="I287:R287">
    <cfRule type="expression" dxfId="273" priority="276">
      <formula>$P$287="Suspended"</formula>
    </cfRule>
  </conditionalFormatting>
  <conditionalFormatting sqref="I287:R287">
    <cfRule type="expression" dxfId="272" priority="275">
      <formula>$P$287="Applied"</formula>
    </cfRule>
  </conditionalFormatting>
  <conditionalFormatting sqref="I287:R287">
    <cfRule type="expression" dxfId="271" priority="274">
      <formula>$P$287="N/A"</formula>
    </cfRule>
  </conditionalFormatting>
  <conditionalFormatting sqref="I287:R287">
    <cfRule type="expression" dxfId="270" priority="273">
      <formula>$P$287=""</formula>
    </cfRule>
  </conditionalFormatting>
  <conditionalFormatting sqref="I287:R287">
    <cfRule type="expression" dxfId="269" priority="272">
      <formula>$I$287="Module 1"</formula>
    </cfRule>
  </conditionalFormatting>
  <conditionalFormatting sqref="I287:R287">
    <cfRule type="expression" dxfId="268" priority="271">
      <formula>$I$287="Module 2"</formula>
    </cfRule>
  </conditionalFormatting>
  <conditionalFormatting sqref="I287:R287">
    <cfRule type="expression" dxfId="267" priority="270">
      <formula>$I$287="Module 3"</formula>
    </cfRule>
    <cfRule type="expression" dxfId="266" priority="268">
      <formula>$I$287="Type 1"</formula>
    </cfRule>
    <cfRule type="expression" dxfId="265" priority="266">
      <formula>$I$287="Type 3"</formula>
    </cfRule>
  </conditionalFormatting>
  <conditionalFormatting sqref="L287">
    <cfRule type="expression" dxfId="264" priority="265">
      <formula>$L$287="1"</formula>
    </cfRule>
  </conditionalFormatting>
  <conditionalFormatting sqref="L287">
    <cfRule type="expression" dxfId="263" priority="264">
      <formula>$L$287="2"</formula>
    </cfRule>
  </conditionalFormatting>
  <conditionalFormatting sqref="L287">
    <cfRule type="expression" dxfId="262" priority="263">
      <formula>$L$287="3"</formula>
    </cfRule>
  </conditionalFormatting>
  <conditionalFormatting sqref="L287">
    <cfRule type="expression" dxfId="261" priority="262">
      <formula>$L$287="4"</formula>
    </cfRule>
  </conditionalFormatting>
  <conditionalFormatting sqref="L287">
    <cfRule type="expression" dxfId="260" priority="261">
      <formula>$L$287="5"</formula>
    </cfRule>
  </conditionalFormatting>
  <conditionalFormatting sqref="I288:R288">
    <cfRule type="expression" dxfId="259" priority="260">
      <formula>$P$288="Not started"</formula>
    </cfRule>
  </conditionalFormatting>
  <conditionalFormatting sqref="I288:R288">
    <cfRule type="expression" dxfId="258" priority="259">
      <formula>$P$288="In progress"</formula>
    </cfRule>
  </conditionalFormatting>
  <conditionalFormatting sqref="I288:R288">
    <cfRule type="expression" dxfId="257" priority="258">
      <formula>$P$288="Closed"</formula>
    </cfRule>
  </conditionalFormatting>
  <conditionalFormatting sqref="I288:R288">
    <cfRule type="expression" dxfId="256" priority="257">
      <formula>$P$288="Canceled"</formula>
    </cfRule>
  </conditionalFormatting>
  <conditionalFormatting sqref="I288:R288">
    <cfRule type="expression" dxfId="255" priority="256">
      <formula>$P$288="Suspended"</formula>
    </cfRule>
  </conditionalFormatting>
  <conditionalFormatting sqref="I288:R288">
    <cfRule type="expression" dxfId="254" priority="255">
      <formula>$P$288="Applied"</formula>
    </cfRule>
  </conditionalFormatting>
  <conditionalFormatting sqref="I288:R288">
    <cfRule type="expression" dxfId="253" priority="254">
      <formula>$P$288="N/A"</formula>
    </cfRule>
  </conditionalFormatting>
  <conditionalFormatting sqref="I288:R288">
    <cfRule type="expression" dxfId="252" priority="253">
      <formula>$P$288=""</formula>
    </cfRule>
  </conditionalFormatting>
  <conditionalFormatting sqref="I288:R288">
    <cfRule type="expression" dxfId="251" priority="252">
      <formula>$I$288="Module 1"</formula>
    </cfRule>
  </conditionalFormatting>
  <conditionalFormatting sqref="I288:R288">
    <cfRule type="expression" dxfId="250" priority="251">
      <formula>$I$288="Module 2"</formula>
    </cfRule>
  </conditionalFormatting>
  <conditionalFormatting sqref="I288:R288">
    <cfRule type="expression" dxfId="249" priority="250">
      <formula>$I$288="Module 3"</formula>
    </cfRule>
  </conditionalFormatting>
  <conditionalFormatting sqref="I288:R288">
    <cfRule type="expression" dxfId="248" priority="249">
      <formula>$I$288="or"</formula>
    </cfRule>
  </conditionalFormatting>
  <conditionalFormatting sqref="I288:R288">
    <cfRule type="expression" dxfId="247" priority="248">
      <formula>$I$288="Type 1"</formula>
    </cfRule>
  </conditionalFormatting>
  <conditionalFormatting sqref="I288:R288">
    <cfRule type="expression" dxfId="246" priority="247">
      <formula>$I$288="Type 2"</formula>
    </cfRule>
  </conditionalFormatting>
  <conditionalFormatting sqref="I288:R288">
    <cfRule type="expression" dxfId="245" priority="246">
      <formula>$I$288="Type 3"</formula>
    </cfRule>
  </conditionalFormatting>
  <conditionalFormatting sqref="L288">
    <cfRule type="expression" dxfId="244" priority="245">
      <formula>$L$288="1"</formula>
    </cfRule>
  </conditionalFormatting>
  <conditionalFormatting sqref="L288">
    <cfRule type="expression" dxfId="243" priority="244">
      <formula>$L$288="2"</formula>
    </cfRule>
  </conditionalFormatting>
  <conditionalFormatting sqref="L288">
    <cfRule type="expression" dxfId="242" priority="243">
      <formula>$L$288="3"</formula>
    </cfRule>
  </conditionalFormatting>
  <conditionalFormatting sqref="L288">
    <cfRule type="expression" dxfId="241" priority="242">
      <formula>$L$288="4"</formula>
    </cfRule>
  </conditionalFormatting>
  <conditionalFormatting sqref="L288">
    <cfRule type="expression" dxfId="240" priority="241">
      <formula>$L$288="5"</formula>
    </cfRule>
  </conditionalFormatting>
  <conditionalFormatting sqref="I289:R289">
    <cfRule type="expression" dxfId="239" priority="240">
      <formula>$P$289="Not started"</formula>
    </cfRule>
    <cfRule type="expression" dxfId="238" priority="229">
      <formula>$I$289="or"</formula>
    </cfRule>
    <cfRule type="expression" dxfId="237" priority="227">
      <formula>$I$289="Type 2"</formula>
    </cfRule>
  </conditionalFormatting>
  <conditionalFormatting sqref="I289:R289">
    <cfRule type="expression" dxfId="236" priority="239">
      <formula>$P$289="In progress"</formula>
    </cfRule>
  </conditionalFormatting>
  <conditionalFormatting sqref="I289:R289">
    <cfRule type="expression" dxfId="235" priority="238">
      <formula>$P$289="Closed"</formula>
    </cfRule>
  </conditionalFormatting>
  <conditionalFormatting sqref="I289:R289">
    <cfRule type="expression" dxfId="234" priority="237">
      <formula>$P$289="Canceled"</formula>
    </cfRule>
  </conditionalFormatting>
  <conditionalFormatting sqref="I289:R289">
    <cfRule type="expression" dxfId="233" priority="236">
      <formula>$P$289="Suspended"</formula>
    </cfRule>
  </conditionalFormatting>
  <conditionalFormatting sqref="I289:R289">
    <cfRule type="expression" dxfId="232" priority="235">
      <formula>$P$289="Applied"</formula>
    </cfRule>
  </conditionalFormatting>
  <conditionalFormatting sqref="I289:R289">
    <cfRule type="expression" dxfId="231" priority="234">
      <formula>$P$289="N/A"</formula>
    </cfRule>
  </conditionalFormatting>
  <conditionalFormatting sqref="I289:R289">
    <cfRule type="expression" dxfId="230" priority="233">
      <formula>$P$289=""</formula>
    </cfRule>
  </conditionalFormatting>
  <conditionalFormatting sqref="I289:R289">
    <cfRule type="expression" dxfId="229" priority="232">
      <formula>$I$289="Module 1"</formula>
    </cfRule>
  </conditionalFormatting>
  <conditionalFormatting sqref="I289:R289">
    <cfRule type="expression" dxfId="228" priority="231">
      <formula>$I$289="Module 2"</formula>
    </cfRule>
  </conditionalFormatting>
  <conditionalFormatting sqref="I289:R289">
    <cfRule type="expression" dxfId="227" priority="230">
      <formula>$I$289="Module 3"</formula>
    </cfRule>
    <cfRule type="expression" dxfId="226" priority="228">
      <formula>$I$289="Type 1"</formula>
    </cfRule>
    <cfRule type="expression" dxfId="225" priority="226">
      <formula>$I$289="Type 3"</formula>
    </cfRule>
  </conditionalFormatting>
  <conditionalFormatting sqref="L289">
    <cfRule type="expression" dxfId="224" priority="225">
      <formula>$L$289="1"</formula>
    </cfRule>
  </conditionalFormatting>
  <conditionalFormatting sqref="L289">
    <cfRule type="expression" dxfId="223" priority="224">
      <formula>$L$289="2"</formula>
    </cfRule>
  </conditionalFormatting>
  <conditionalFormatting sqref="L289">
    <cfRule type="expression" dxfId="222" priority="223">
      <formula>$L$289="3"</formula>
    </cfRule>
  </conditionalFormatting>
  <conditionalFormatting sqref="L289">
    <cfRule type="expression" dxfId="221" priority="222">
      <formula>$L$289="4"</formula>
    </cfRule>
  </conditionalFormatting>
  <conditionalFormatting sqref="L289">
    <cfRule type="expression" dxfId="220" priority="221">
      <formula>$L$289="5"</formula>
    </cfRule>
  </conditionalFormatting>
  <conditionalFormatting sqref="I290:R290">
    <cfRule type="expression" dxfId="219" priority="220">
      <formula>$P$290="Not started"</formula>
    </cfRule>
    <cfRule type="expression" dxfId="218" priority="209">
      <formula>$I$290="or"</formula>
    </cfRule>
    <cfRule type="expression" dxfId="217" priority="207">
      <formula>$I$290="Type 2"</formula>
    </cfRule>
  </conditionalFormatting>
  <conditionalFormatting sqref="I290:R290">
    <cfRule type="expression" dxfId="216" priority="219">
      <formula>$P$290="In progress"</formula>
    </cfRule>
  </conditionalFormatting>
  <conditionalFormatting sqref="I290:R290">
    <cfRule type="expression" dxfId="215" priority="218">
      <formula>$P$290="Closed"</formula>
    </cfRule>
  </conditionalFormatting>
  <conditionalFormatting sqref="I290:R290">
    <cfRule type="expression" dxfId="214" priority="217">
      <formula>$P$290="Canceled"</formula>
    </cfRule>
  </conditionalFormatting>
  <conditionalFormatting sqref="I290:R290">
    <cfRule type="expression" dxfId="213" priority="216">
      <formula>$P$290="Suspended"</formula>
    </cfRule>
  </conditionalFormatting>
  <conditionalFormatting sqref="I290:R290">
    <cfRule type="expression" dxfId="212" priority="215">
      <formula>$P$290="Applied"</formula>
    </cfRule>
  </conditionalFormatting>
  <conditionalFormatting sqref="I290:R290">
    <cfRule type="expression" dxfId="211" priority="214">
      <formula>$P$290="N/A"</formula>
    </cfRule>
  </conditionalFormatting>
  <conditionalFormatting sqref="I290:R290">
    <cfRule type="expression" dxfId="210" priority="213">
      <formula>$P$290=""</formula>
    </cfRule>
  </conditionalFormatting>
  <conditionalFormatting sqref="I290:R290">
    <cfRule type="expression" dxfId="209" priority="212">
      <formula>$I$290="Module 1"</formula>
    </cfRule>
  </conditionalFormatting>
  <conditionalFormatting sqref="I290:R290">
    <cfRule type="expression" dxfId="208" priority="211">
      <formula>$I$290="Module 2"</formula>
    </cfRule>
  </conditionalFormatting>
  <conditionalFormatting sqref="I290:R290">
    <cfRule type="expression" dxfId="207" priority="210">
      <formula>$I$290="Module 3"</formula>
    </cfRule>
    <cfRule type="expression" dxfId="206" priority="208">
      <formula>$I$290="Type 1"</formula>
    </cfRule>
    <cfRule type="expression" dxfId="205" priority="206">
      <formula>$I$290="Type 3"</formula>
    </cfRule>
  </conditionalFormatting>
  <conditionalFormatting sqref="L290">
    <cfRule type="expression" dxfId="204" priority="205">
      <formula>$L$290="1"</formula>
    </cfRule>
  </conditionalFormatting>
  <conditionalFormatting sqref="L290">
    <cfRule type="expression" dxfId="203" priority="204">
      <formula>$L$290="2"</formula>
    </cfRule>
  </conditionalFormatting>
  <conditionalFormatting sqref="L290">
    <cfRule type="expression" dxfId="202" priority="203">
      <formula>$L$290="3"</formula>
    </cfRule>
  </conditionalFormatting>
  <conditionalFormatting sqref="L290">
    <cfRule type="expression" dxfId="201" priority="202">
      <formula>$L$290="4"</formula>
    </cfRule>
  </conditionalFormatting>
  <conditionalFormatting sqref="L290">
    <cfRule type="expression" dxfId="200" priority="201">
      <formula>$L$290="5"</formula>
    </cfRule>
  </conditionalFormatting>
  <conditionalFormatting sqref="I291:R291">
    <cfRule type="expression" dxfId="199" priority="200">
      <formula>$P$291="Not started"</formula>
    </cfRule>
    <cfRule type="expression" dxfId="198" priority="189">
      <formula>$I$291="or"</formula>
    </cfRule>
    <cfRule type="expression" dxfId="197" priority="187">
      <formula>$I$291="Type 2"</formula>
    </cfRule>
  </conditionalFormatting>
  <conditionalFormatting sqref="I291:R291">
    <cfRule type="expression" dxfId="196" priority="199">
      <formula>$P$291="In progress"</formula>
    </cfRule>
  </conditionalFormatting>
  <conditionalFormatting sqref="I291:R291">
    <cfRule type="expression" dxfId="195" priority="198">
      <formula>$P$291="Closed"</formula>
    </cfRule>
  </conditionalFormatting>
  <conditionalFormatting sqref="I291:R291">
    <cfRule type="expression" dxfId="194" priority="197">
      <formula>$P$291="Canceled"</formula>
    </cfRule>
  </conditionalFormatting>
  <conditionalFormatting sqref="I291:R291">
    <cfRule type="expression" dxfId="193" priority="196">
      <formula>$P$291="Suspended"</formula>
    </cfRule>
  </conditionalFormatting>
  <conditionalFormatting sqref="I291:R291">
    <cfRule type="expression" dxfId="192" priority="195">
      <formula>$P$291="Applied"</formula>
    </cfRule>
  </conditionalFormatting>
  <conditionalFormatting sqref="I291:R291">
    <cfRule type="expression" dxfId="191" priority="194">
      <formula>$P$291="N/A"</formula>
    </cfRule>
  </conditionalFormatting>
  <conditionalFormatting sqref="I291:R291">
    <cfRule type="expression" dxfId="190" priority="193">
      <formula>$P$291=""</formula>
    </cfRule>
  </conditionalFormatting>
  <conditionalFormatting sqref="I291:R291">
    <cfRule type="expression" dxfId="189" priority="192">
      <formula>$I$291="Module 1"</formula>
    </cfRule>
  </conditionalFormatting>
  <conditionalFormatting sqref="I291:R291">
    <cfRule type="expression" dxfId="188" priority="191">
      <formula>$I$291="Module 2"</formula>
    </cfRule>
  </conditionalFormatting>
  <conditionalFormatting sqref="I291:R291">
    <cfRule type="expression" dxfId="187" priority="190">
      <formula>$I$291="Module 3"</formula>
    </cfRule>
    <cfRule type="expression" dxfId="186" priority="188">
      <formula>$I$291="Type 1"</formula>
    </cfRule>
    <cfRule type="expression" dxfId="185" priority="186">
      <formula>$I$291="Type 3"</formula>
    </cfRule>
  </conditionalFormatting>
  <conditionalFormatting sqref="L291">
    <cfRule type="expression" dxfId="184" priority="185">
      <formula>$L$291="1"</formula>
    </cfRule>
  </conditionalFormatting>
  <conditionalFormatting sqref="L291">
    <cfRule type="expression" dxfId="183" priority="184">
      <formula>$L$291="2"</formula>
    </cfRule>
  </conditionalFormatting>
  <conditionalFormatting sqref="L291">
    <cfRule type="expression" dxfId="182" priority="183">
      <formula>$L$291="3"</formula>
    </cfRule>
  </conditionalFormatting>
  <conditionalFormatting sqref="L291">
    <cfRule type="expression" dxfId="181" priority="182">
      <formula>$L$291="4"</formula>
    </cfRule>
  </conditionalFormatting>
  <conditionalFormatting sqref="L291">
    <cfRule type="expression" dxfId="180" priority="181">
      <formula>$L$291="5"</formula>
    </cfRule>
  </conditionalFormatting>
  <conditionalFormatting sqref="I292:R292">
    <cfRule type="expression" dxfId="179" priority="180">
      <formula>$P$292="Not started"</formula>
    </cfRule>
    <cfRule type="expression" dxfId="178" priority="169">
      <formula>$I$292="or"</formula>
    </cfRule>
    <cfRule type="expression" dxfId="177" priority="167">
      <formula>$I$292="Type 2"</formula>
    </cfRule>
  </conditionalFormatting>
  <conditionalFormatting sqref="I292:R292">
    <cfRule type="expression" dxfId="176" priority="179">
      <formula>$P$292="In progress"</formula>
    </cfRule>
  </conditionalFormatting>
  <conditionalFormatting sqref="I292:R292">
    <cfRule type="expression" dxfId="175" priority="178">
      <formula>$P$292="Closed"</formula>
    </cfRule>
  </conditionalFormatting>
  <conditionalFormatting sqref="I292:R292">
    <cfRule type="expression" dxfId="174" priority="177">
      <formula>$P$292="Canceled"</formula>
    </cfRule>
  </conditionalFormatting>
  <conditionalFormatting sqref="I292:R292">
    <cfRule type="expression" dxfId="173" priority="176">
      <formula>$P$292="Suspended"</formula>
    </cfRule>
  </conditionalFormatting>
  <conditionalFormatting sqref="I292:R292">
    <cfRule type="expression" dxfId="172" priority="175">
      <formula>$P$292="Applied"</formula>
    </cfRule>
  </conditionalFormatting>
  <conditionalFormatting sqref="I292:R292">
    <cfRule type="expression" dxfId="171" priority="174">
      <formula>$P$292="N/A"</formula>
    </cfRule>
  </conditionalFormatting>
  <conditionalFormatting sqref="I292:R292">
    <cfRule type="expression" dxfId="170" priority="173">
      <formula>$P$292=""</formula>
    </cfRule>
  </conditionalFormatting>
  <conditionalFormatting sqref="I292:R292">
    <cfRule type="expression" dxfId="169" priority="172">
      <formula>$I$292="Module 1"</formula>
    </cfRule>
  </conditionalFormatting>
  <conditionalFormatting sqref="I292:R292">
    <cfRule type="expression" dxfId="168" priority="171">
      <formula>$I$292="Module 2"</formula>
    </cfRule>
  </conditionalFormatting>
  <conditionalFormatting sqref="I292:R292">
    <cfRule type="expression" dxfId="167" priority="170">
      <formula>$I$292="Module 3"</formula>
    </cfRule>
    <cfRule type="expression" dxfId="166" priority="168">
      <formula>$I$292="Type 1"</formula>
    </cfRule>
    <cfRule type="expression" dxfId="165" priority="166">
      <formula>$I$292="Type 3"</formula>
    </cfRule>
  </conditionalFormatting>
  <conditionalFormatting sqref="L292">
    <cfRule type="expression" dxfId="164" priority="165">
      <formula>$L$292="1"</formula>
    </cfRule>
  </conditionalFormatting>
  <conditionalFormatting sqref="L292">
    <cfRule type="expression" dxfId="163" priority="164">
      <formula>$L$292="2"</formula>
    </cfRule>
  </conditionalFormatting>
  <conditionalFormatting sqref="L292">
    <cfRule type="expression" dxfId="162" priority="163">
      <formula>$L$292="3"</formula>
    </cfRule>
  </conditionalFormatting>
  <conditionalFormatting sqref="L292">
    <cfRule type="expression" dxfId="161" priority="162">
      <formula>$L$292="4"</formula>
    </cfRule>
  </conditionalFormatting>
  <conditionalFormatting sqref="L292">
    <cfRule type="expression" dxfId="160" priority="161">
      <formula>$L$292="5"</formula>
    </cfRule>
  </conditionalFormatting>
  <conditionalFormatting sqref="I293:R293">
    <cfRule type="expression" dxfId="159" priority="160">
      <formula>$P$293="Not started"</formula>
    </cfRule>
    <cfRule type="expression" dxfId="158" priority="149">
      <formula>$I$293="or"</formula>
    </cfRule>
    <cfRule type="expression" dxfId="157" priority="147">
      <formula>$I$293="Type 2"</formula>
    </cfRule>
  </conditionalFormatting>
  <conditionalFormatting sqref="I293:R293">
    <cfRule type="expression" dxfId="156" priority="159">
      <formula>$P$293="In progress"</formula>
    </cfRule>
  </conditionalFormatting>
  <conditionalFormatting sqref="I293:R293">
    <cfRule type="expression" dxfId="155" priority="158">
      <formula>$P$293="Closed"</formula>
    </cfRule>
  </conditionalFormatting>
  <conditionalFormatting sqref="I293:R293">
    <cfRule type="expression" dxfId="154" priority="157">
      <formula>$P$293="Canceled"</formula>
    </cfRule>
  </conditionalFormatting>
  <conditionalFormatting sqref="I293:R293">
    <cfRule type="expression" dxfId="153" priority="156">
      <formula>$P$293="Suspended"</formula>
    </cfRule>
  </conditionalFormatting>
  <conditionalFormatting sqref="I293:R293">
    <cfRule type="expression" dxfId="152" priority="155">
      <formula>$P$293="Applied"</formula>
    </cfRule>
  </conditionalFormatting>
  <conditionalFormatting sqref="I293:R293">
    <cfRule type="expression" dxfId="151" priority="154">
      <formula>$P$293="N/A"</formula>
    </cfRule>
  </conditionalFormatting>
  <conditionalFormatting sqref="I293:R293">
    <cfRule type="expression" dxfId="150" priority="153">
      <formula>$P$293=""</formula>
    </cfRule>
  </conditionalFormatting>
  <conditionalFormatting sqref="I293:R293">
    <cfRule type="expression" dxfId="149" priority="152">
      <formula>$I$293="Module 1"</formula>
    </cfRule>
  </conditionalFormatting>
  <conditionalFormatting sqref="I293:R293">
    <cfRule type="expression" dxfId="148" priority="151">
      <formula>$I$293="Module 2"</formula>
    </cfRule>
  </conditionalFormatting>
  <conditionalFormatting sqref="I293:R293">
    <cfRule type="expression" dxfId="147" priority="150">
      <formula>$I$293="Module 3"</formula>
    </cfRule>
    <cfRule type="expression" dxfId="146" priority="148">
      <formula>$I$293="Type 1"</formula>
    </cfRule>
    <cfRule type="expression" dxfId="145" priority="146">
      <formula>$I$293="Type 3"</formula>
    </cfRule>
  </conditionalFormatting>
  <conditionalFormatting sqref="L293">
    <cfRule type="expression" dxfId="144" priority="145">
      <formula>$L$293="1"</formula>
    </cfRule>
  </conditionalFormatting>
  <conditionalFormatting sqref="L293">
    <cfRule type="expression" dxfId="143" priority="144">
      <formula>$L$293="2"</formula>
    </cfRule>
  </conditionalFormatting>
  <conditionalFormatting sqref="L293">
    <cfRule type="expression" dxfId="142" priority="143">
      <formula>$L$293="3"</formula>
    </cfRule>
  </conditionalFormatting>
  <conditionalFormatting sqref="L293">
    <cfRule type="expression" dxfId="141" priority="142">
      <formula>$L$293="4"</formula>
    </cfRule>
  </conditionalFormatting>
  <conditionalFormatting sqref="L293">
    <cfRule type="expression" dxfId="140" priority="141">
      <formula>$L$293="5"</formula>
    </cfRule>
  </conditionalFormatting>
  <conditionalFormatting sqref="I294:R294">
    <cfRule type="expression" dxfId="139" priority="140">
      <formula>$P$294="Not started"</formula>
    </cfRule>
    <cfRule type="expression" dxfId="138" priority="129">
      <formula>$I$294="or"</formula>
    </cfRule>
    <cfRule type="expression" dxfId="137" priority="127">
      <formula>$I$294="Type 2"</formula>
    </cfRule>
  </conditionalFormatting>
  <conditionalFormatting sqref="I294:R294">
    <cfRule type="expression" dxfId="136" priority="139">
      <formula>$P$294="In progress"</formula>
    </cfRule>
  </conditionalFormatting>
  <conditionalFormatting sqref="I294:R294">
    <cfRule type="expression" dxfId="135" priority="138">
      <formula>$P$294="Closed"</formula>
    </cfRule>
  </conditionalFormatting>
  <conditionalFormatting sqref="I294:R294">
    <cfRule type="expression" dxfId="134" priority="137">
      <formula>$P$294="Canceled"</formula>
    </cfRule>
  </conditionalFormatting>
  <conditionalFormatting sqref="I294:R294">
    <cfRule type="expression" dxfId="133" priority="136">
      <formula>$P$294="Suspended"</formula>
    </cfRule>
  </conditionalFormatting>
  <conditionalFormatting sqref="I294:R294">
    <cfRule type="expression" dxfId="132" priority="135">
      <formula>$P$294="Applied"</formula>
    </cfRule>
  </conditionalFormatting>
  <conditionalFormatting sqref="I294:R294">
    <cfRule type="expression" dxfId="131" priority="134">
      <formula>$P$294="N/A"</formula>
    </cfRule>
  </conditionalFormatting>
  <conditionalFormatting sqref="I294:R294">
    <cfRule type="expression" dxfId="130" priority="133">
      <formula>$P$294=""</formula>
    </cfRule>
  </conditionalFormatting>
  <conditionalFormatting sqref="I294:R294">
    <cfRule type="expression" dxfId="129" priority="132">
      <formula>$I$294="Module 1"</formula>
    </cfRule>
  </conditionalFormatting>
  <conditionalFormatting sqref="I294:R294">
    <cfRule type="expression" dxfId="128" priority="131">
      <formula>$I$294="Module 2"</formula>
    </cfRule>
  </conditionalFormatting>
  <conditionalFormatting sqref="I294:R294">
    <cfRule type="expression" dxfId="127" priority="130">
      <formula>$I$294="Module 3"</formula>
    </cfRule>
    <cfRule type="expression" dxfId="126" priority="128">
      <formula>$I$294="Type 1"</formula>
    </cfRule>
    <cfRule type="expression" dxfId="125" priority="126">
      <formula>$I$294="Type 3"</formula>
    </cfRule>
  </conditionalFormatting>
  <conditionalFormatting sqref="L294">
    <cfRule type="expression" dxfId="124" priority="125">
      <formula>$L$294="1"</formula>
    </cfRule>
  </conditionalFormatting>
  <conditionalFormatting sqref="L294">
    <cfRule type="expression" dxfId="123" priority="124">
      <formula>$L$294="2"</formula>
    </cfRule>
  </conditionalFormatting>
  <conditionalFormatting sqref="L294">
    <cfRule type="expression" dxfId="122" priority="123">
      <formula>$L$294="3"</formula>
    </cfRule>
  </conditionalFormatting>
  <conditionalFormatting sqref="L294">
    <cfRule type="expression" dxfId="121" priority="122">
      <formula>$L$294="4"</formula>
    </cfRule>
  </conditionalFormatting>
  <conditionalFormatting sqref="L294">
    <cfRule type="expression" dxfId="120" priority="121">
      <formula>$L$294="5"</formula>
    </cfRule>
  </conditionalFormatting>
  <conditionalFormatting sqref="I295:R295">
    <cfRule type="expression" dxfId="119" priority="120">
      <formula>$P$295="Not started"</formula>
    </cfRule>
    <cfRule type="expression" dxfId="118" priority="109">
      <formula>$I$295="or"</formula>
    </cfRule>
    <cfRule type="expression" dxfId="117" priority="107">
      <formula>$I$295="Type 2"</formula>
    </cfRule>
  </conditionalFormatting>
  <conditionalFormatting sqref="I295:R295">
    <cfRule type="expression" dxfId="116" priority="119">
      <formula>$P$295="In progress"</formula>
    </cfRule>
  </conditionalFormatting>
  <conditionalFormatting sqref="I295:R295">
    <cfRule type="expression" dxfId="115" priority="118">
      <formula>$P$295="Closed"</formula>
    </cfRule>
  </conditionalFormatting>
  <conditionalFormatting sqref="I295:R295">
    <cfRule type="expression" dxfId="114" priority="117">
      <formula>$P$295="Canceled"</formula>
    </cfRule>
  </conditionalFormatting>
  <conditionalFormatting sqref="I295:R295">
    <cfRule type="expression" dxfId="113" priority="116">
      <formula>$P$295="Suspended"</formula>
    </cfRule>
  </conditionalFormatting>
  <conditionalFormatting sqref="I295:R295">
    <cfRule type="expression" dxfId="112" priority="115">
      <formula>$P$295="Applied"</formula>
    </cfRule>
  </conditionalFormatting>
  <conditionalFormatting sqref="I295:R295">
    <cfRule type="expression" dxfId="111" priority="114">
      <formula>$P$295="N/A"</formula>
    </cfRule>
  </conditionalFormatting>
  <conditionalFormatting sqref="I295:R295">
    <cfRule type="expression" dxfId="110" priority="113">
      <formula>$P$295=""</formula>
    </cfRule>
  </conditionalFormatting>
  <conditionalFormatting sqref="I295:R295">
    <cfRule type="expression" dxfId="109" priority="112">
      <formula>$I$295="Module 1"</formula>
    </cfRule>
  </conditionalFormatting>
  <conditionalFormatting sqref="I295:R295">
    <cfRule type="expression" dxfId="108" priority="111">
      <formula>$I$295="Module 2"</formula>
    </cfRule>
  </conditionalFormatting>
  <conditionalFormatting sqref="I295:R295">
    <cfRule type="expression" dxfId="107" priority="110">
      <formula>$I$295="Module 3"</formula>
    </cfRule>
    <cfRule type="expression" dxfId="106" priority="108">
      <formula>$I$295="Type 1"</formula>
    </cfRule>
    <cfRule type="expression" dxfId="105" priority="106">
      <formula>$I$295="Type 3"</formula>
    </cfRule>
  </conditionalFormatting>
  <conditionalFormatting sqref="L295">
    <cfRule type="expression" dxfId="104" priority="105">
      <formula>$L$295="1"</formula>
    </cfRule>
  </conditionalFormatting>
  <conditionalFormatting sqref="L295">
    <cfRule type="expression" dxfId="103" priority="104">
      <formula>$L$295="2"</formula>
    </cfRule>
  </conditionalFormatting>
  <conditionalFormatting sqref="L295">
    <cfRule type="expression" dxfId="102" priority="103">
      <formula>$L$295="3"</formula>
    </cfRule>
  </conditionalFormatting>
  <conditionalFormatting sqref="L295">
    <cfRule type="expression" dxfId="101" priority="102">
      <formula>$L$295="4"</formula>
    </cfRule>
  </conditionalFormatting>
  <conditionalFormatting sqref="L295">
    <cfRule type="expression" dxfId="100" priority="101">
      <formula>$L$295="5"</formula>
    </cfRule>
  </conditionalFormatting>
  <conditionalFormatting sqref="I296:R296">
    <cfRule type="expression" dxfId="99" priority="100">
      <formula>$P$296="Not started"</formula>
    </cfRule>
    <cfRule type="expression" dxfId="98" priority="89">
      <formula>$I$296="or"</formula>
    </cfRule>
    <cfRule type="expression" dxfId="97" priority="87">
      <formula>$I$296="Type 2"</formula>
    </cfRule>
  </conditionalFormatting>
  <conditionalFormatting sqref="I296:R296">
    <cfRule type="expression" dxfId="96" priority="99">
      <formula>$P$296="In progress"</formula>
    </cfRule>
  </conditionalFormatting>
  <conditionalFormatting sqref="I296:R296">
    <cfRule type="expression" dxfId="95" priority="98">
      <formula>$P$296="Closed"</formula>
    </cfRule>
  </conditionalFormatting>
  <conditionalFormatting sqref="I296:R296">
    <cfRule type="expression" dxfId="94" priority="97">
      <formula>$P$296="Canceled"</formula>
    </cfRule>
  </conditionalFormatting>
  <conditionalFormatting sqref="I296:R296">
    <cfRule type="expression" dxfId="93" priority="96">
      <formula>$P$296="Suspended"</formula>
    </cfRule>
  </conditionalFormatting>
  <conditionalFormatting sqref="I296:R296">
    <cfRule type="expression" dxfId="92" priority="95">
      <formula>$P$296="Applied"</formula>
    </cfRule>
  </conditionalFormatting>
  <conditionalFormatting sqref="I296:R296">
    <cfRule type="expression" dxfId="91" priority="94">
      <formula>$P$296="N/A"</formula>
    </cfRule>
  </conditionalFormatting>
  <conditionalFormatting sqref="I296:R296">
    <cfRule type="expression" dxfId="90" priority="93">
      <formula>$P$296=""</formula>
    </cfRule>
  </conditionalFormatting>
  <conditionalFormatting sqref="I296:R296">
    <cfRule type="expression" dxfId="89" priority="92">
      <formula>$I$296="Module 1"</formula>
    </cfRule>
  </conditionalFormatting>
  <conditionalFormatting sqref="I296:R296">
    <cfRule type="expression" dxfId="88" priority="91">
      <formula>$I$296="Module 2"</formula>
    </cfRule>
  </conditionalFormatting>
  <conditionalFormatting sqref="I296:R296">
    <cfRule type="expression" dxfId="87" priority="90">
      <formula>$I$296="Module 3"</formula>
    </cfRule>
    <cfRule type="expression" dxfId="86" priority="88">
      <formula>$I$296="Type 1"</formula>
    </cfRule>
    <cfRule type="expression" dxfId="85" priority="86">
      <formula>$I$296="Type 3"</formula>
    </cfRule>
  </conditionalFormatting>
  <conditionalFormatting sqref="L296">
    <cfRule type="expression" dxfId="84" priority="85">
      <formula>$L$296="1"</formula>
    </cfRule>
  </conditionalFormatting>
  <conditionalFormatting sqref="L296">
    <cfRule type="expression" dxfId="83" priority="84">
      <formula>$L$296="2"</formula>
    </cfRule>
  </conditionalFormatting>
  <conditionalFormatting sqref="L296">
    <cfRule type="expression" dxfId="82" priority="83">
      <formula>$L$296="3"</formula>
    </cfRule>
  </conditionalFormatting>
  <conditionalFormatting sqref="L296">
    <cfRule type="expression" dxfId="81" priority="82">
      <formula>$L$296="4"</formula>
    </cfRule>
  </conditionalFormatting>
  <conditionalFormatting sqref="L296">
    <cfRule type="expression" dxfId="80" priority="81">
      <formula>$L$296="5"</formula>
    </cfRule>
  </conditionalFormatting>
  <conditionalFormatting sqref="I297:R297">
    <cfRule type="expression" dxfId="79" priority="80">
      <formula>$P$297="Not started"</formula>
    </cfRule>
    <cfRule type="expression" dxfId="78" priority="69">
      <formula>$I$297="or"</formula>
    </cfRule>
    <cfRule type="expression" dxfId="77" priority="67">
      <formula>$I$297="Type 2"</formula>
    </cfRule>
  </conditionalFormatting>
  <conditionalFormatting sqref="I297:R297">
    <cfRule type="expression" dxfId="76" priority="79">
      <formula>$P$297="In progress"</formula>
    </cfRule>
  </conditionalFormatting>
  <conditionalFormatting sqref="I297:R297">
    <cfRule type="expression" dxfId="75" priority="78">
      <formula>$P$297="Closed"</formula>
    </cfRule>
  </conditionalFormatting>
  <conditionalFormatting sqref="I297:R297">
    <cfRule type="expression" dxfId="74" priority="77">
      <formula>$P$297="Canceled"</formula>
    </cfRule>
  </conditionalFormatting>
  <conditionalFormatting sqref="I297:R297">
    <cfRule type="expression" dxfId="73" priority="76">
      <formula>$P$297="Suspended"</formula>
    </cfRule>
  </conditionalFormatting>
  <conditionalFormatting sqref="I297:R297">
    <cfRule type="expression" dxfId="72" priority="75">
      <formula>$P$297="Applied"</formula>
    </cfRule>
  </conditionalFormatting>
  <conditionalFormatting sqref="I297:R297">
    <cfRule type="expression" dxfId="71" priority="74">
      <formula>$P$297="N/A"</formula>
    </cfRule>
  </conditionalFormatting>
  <conditionalFormatting sqref="I297:R297">
    <cfRule type="expression" dxfId="70" priority="73">
      <formula>$P$297=""</formula>
    </cfRule>
  </conditionalFormatting>
  <conditionalFormatting sqref="I297:R297">
    <cfRule type="expression" dxfId="69" priority="72">
      <formula>$I$297="Module 1"</formula>
    </cfRule>
  </conditionalFormatting>
  <conditionalFormatting sqref="I297:R297">
    <cfRule type="expression" dxfId="68" priority="71">
      <formula>$I$297="Module 2"</formula>
    </cfRule>
  </conditionalFormatting>
  <conditionalFormatting sqref="I297:R297">
    <cfRule type="expression" dxfId="67" priority="70">
      <formula>$I$297="Module 3"</formula>
    </cfRule>
    <cfRule type="expression" dxfId="66" priority="68">
      <formula>$I$297="Type 1"</formula>
    </cfRule>
    <cfRule type="expression" dxfId="65" priority="66">
      <formula>$I$297="Type 3"</formula>
    </cfRule>
  </conditionalFormatting>
  <conditionalFormatting sqref="L297">
    <cfRule type="expression" dxfId="64" priority="65">
      <formula>$L$297="1"</formula>
    </cfRule>
  </conditionalFormatting>
  <conditionalFormatting sqref="L297">
    <cfRule type="expression" dxfId="63" priority="64">
      <formula>$L$297="2"</formula>
    </cfRule>
  </conditionalFormatting>
  <conditionalFormatting sqref="L297">
    <cfRule type="expression" dxfId="62" priority="63">
      <formula>$L$297="3"</formula>
    </cfRule>
  </conditionalFormatting>
  <conditionalFormatting sqref="L297">
    <cfRule type="expression" dxfId="61" priority="62">
      <formula>$L$297="4"</formula>
    </cfRule>
  </conditionalFormatting>
  <conditionalFormatting sqref="L297">
    <cfRule type="expression" dxfId="60" priority="61">
      <formula>$L$297="5"</formula>
    </cfRule>
  </conditionalFormatting>
  <conditionalFormatting sqref="I298:R298">
    <cfRule type="expression" dxfId="59" priority="60">
      <formula>$P$298="Not started"</formula>
    </cfRule>
  </conditionalFormatting>
  <conditionalFormatting sqref="I298:R298">
    <cfRule type="expression" dxfId="58" priority="59">
      <formula>$P$298="In progress"</formula>
    </cfRule>
  </conditionalFormatting>
  <conditionalFormatting sqref="I298:R298">
    <cfRule type="expression" dxfId="57" priority="58">
      <formula>$P$298="Closed"</formula>
    </cfRule>
  </conditionalFormatting>
  <conditionalFormatting sqref="I298:R298">
    <cfRule type="expression" dxfId="56" priority="57">
      <formula>$P$298="Canceled"</formula>
    </cfRule>
  </conditionalFormatting>
  <conditionalFormatting sqref="I298:R298">
    <cfRule type="expression" dxfId="55" priority="56">
      <formula>$P$298="Suspended"</formula>
    </cfRule>
  </conditionalFormatting>
  <conditionalFormatting sqref="I298:R298">
    <cfRule type="expression" dxfId="54" priority="55">
      <formula>$P$298="Applied"</formula>
    </cfRule>
  </conditionalFormatting>
  <conditionalFormatting sqref="I298:R298">
    <cfRule type="expression" dxfId="53" priority="54">
      <formula>$P$298="N/A"</formula>
    </cfRule>
  </conditionalFormatting>
  <conditionalFormatting sqref="I298:R298">
    <cfRule type="expression" dxfId="52" priority="53">
      <formula>$P$298=""</formula>
    </cfRule>
  </conditionalFormatting>
  <conditionalFormatting sqref="I298:R298">
    <cfRule type="expression" dxfId="51" priority="52">
      <formula>$I$298="Module 1"</formula>
    </cfRule>
  </conditionalFormatting>
  <conditionalFormatting sqref="I298:R298">
    <cfRule type="expression" dxfId="50" priority="51">
      <formula>$I$298="Module 2"</formula>
    </cfRule>
  </conditionalFormatting>
  <conditionalFormatting sqref="I298:R298">
    <cfRule type="expression" dxfId="49" priority="50">
      <formula>$I$298="Module 3"</formula>
    </cfRule>
  </conditionalFormatting>
  <conditionalFormatting sqref="I298:R298">
    <cfRule type="expression" dxfId="48" priority="49">
      <formula>$I$298="or"</formula>
    </cfRule>
  </conditionalFormatting>
  <conditionalFormatting sqref="I298:R298">
    <cfRule type="expression" dxfId="47" priority="48">
      <formula>$I$298="Type 1"</formula>
    </cfRule>
  </conditionalFormatting>
  <conditionalFormatting sqref="I298:R298">
    <cfRule type="expression" dxfId="46" priority="47">
      <formula>$I$298="Type 2"</formula>
    </cfRule>
  </conditionalFormatting>
  <conditionalFormatting sqref="I298:R298">
    <cfRule type="expression" dxfId="45" priority="46">
      <formula>$I$298="Type 3"</formula>
    </cfRule>
  </conditionalFormatting>
  <conditionalFormatting sqref="L298">
    <cfRule type="expression" dxfId="44" priority="45">
      <formula>$L$298="1"</formula>
    </cfRule>
  </conditionalFormatting>
  <conditionalFormatting sqref="L298">
    <cfRule type="expression" dxfId="43" priority="44">
      <formula>$L$298="2"</formula>
    </cfRule>
  </conditionalFormatting>
  <conditionalFormatting sqref="L298">
    <cfRule type="expression" dxfId="42" priority="43">
      <formula>$L$298="3"</formula>
    </cfRule>
  </conditionalFormatting>
  <conditionalFormatting sqref="L298">
    <cfRule type="expression" dxfId="41" priority="42">
      <formula>$L$298="4"</formula>
    </cfRule>
  </conditionalFormatting>
  <conditionalFormatting sqref="L298">
    <cfRule type="expression" dxfId="40" priority="41">
      <formula>$L$298="5"</formula>
    </cfRule>
  </conditionalFormatting>
  <conditionalFormatting sqref="I299:R299">
    <cfRule type="expression" dxfId="39" priority="40">
      <formula>$P$299="Not started"</formula>
    </cfRule>
    <cfRule type="expression" dxfId="38" priority="29">
      <formula>$I$299="or"</formula>
    </cfRule>
    <cfRule type="expression" dxfId="37" priority="27">
      <formula>$I$299="Type 2"</formula>
    </cfRule>
  </conditionalFormatting>
  <conditionalFormatting sqref="I299:R299">
    <cfRule type="expression" dxfId="36" priority="39">
      <formula>$P$299="In progress"</formula>
    </cfRule>
  </conditionalFormatting>
  <conditionalFormatting sqref="I299:R299">
    <cfRule type="expression" dxfId="35" priority="38">
      <formula>$P$299="Closed"</formula>
    </cfRule>
  </conditionalFormatting>
  <conditionalFormatting sqref="I299:R299">
    <cfRule type="expression" dxfId="34" priority="37">
      <formula>$P$299="Canceled"</formula>
    </cfRule>
  </conditionalFormatting>
  <conditionalFormatting sqref="I299:R299">
    <cfRule type="expression" dxfId="33" priority="36">
      <formula>$P$299="Suspended"</formula>
    </cfRule>
  </conditionalFormatting>
  <conditionalFormatting sqref="I299:R299">
    <cfRule type="expression" dxfId="32" priority="35">
      <formula>$P$299="Applied"</formula>
    </cfRule>
  </conditionalFormatting>
  <conditionalFormatting sqref="I299:R299">
    <cfRule type="expression" dxfId="31" priority="34">
      <formula>$P$299="N/A"</formula>
    </cfRule>
  </conditionalFormatting>
  <conditionalFormatting sqref="I299:R299">
    <cfRule type="expression" dxfId="30" priority="33">
      <formula>$P$299=""</formula>
    </cfRule>
  </conditionalFormatting>
  <conditionalFormatting sqref="I299:R299">
    <cfRule type="expression" dxfId="29" priority="32">
      <formula>$I$299="Module 1"</formula>
    </cfRule>
  </conditionalFormatting>
  <conditionalFormatting sqref="I299:R299">
    <cfRule type="expression" dxfId="28" priority="31">
      <formula>$I$299="Module 2"</formula>
    </cfRule>
  </conditionalFormatting>
  <conditionalFormatting sqref="I299:R299">
    <cfRule type="expression" dxfId="27" priority="30">
      <formula>$I$299="Module 3"</formula>
    </cfRule>
    <cfRule type="expression" dxfId="26" priority="28">
      <formula>$I$299="Type 1"</formula>
    </cfRule>
    <cfRule type="expression" dxfId="25" priority="26">
      <formula>$I$299="Type 3"</formula>
    </cfRule>
  </conditionalFormatting>
  <conditionalFormatting sqref="L299">
    <cfRule type="expression" dxfId="24" priority="25">
      <formula>$L$299="1"</formula>
    </cfRule>
  </conditionalFormatting>
  <conditionalFormatting sqref="L299">
    <cfRule type="expression" dxfId="23" priority="24">
      <formula>$L$299="2"</formula>
    </cfRule>
  </conditionalFormatting>
  <conditionalFormatting sqref="L299">
    <cfRule type="expression" dxfId="22" priority="23">
      <formula>$L$299="3"</formula>
    </cfRule>
  </conditionalFormatting>
  <conditionalFormatting sqref="L299">
    <cfRule type="expression" dxfId="21" priority="22">
      <formula>$L$299="4"</formula>
    </cfRule>
  </conditionalFormatting>
  <conditionalFormatting sqref="L299">
    <cfRule type="expression" dxfId="20" priority="21">
      <formula>$L$299="5"</formula>
    </cfRule>
  </conditionalFormatting>
  <conditionalFormatting sqref="I300:R300">
    <cfRule type="expression" dxfId="19" priority="20">
      <formula>$P$300="Not started"</formula>
    </cfRule>
    <cfRule type="expression" dxfId="18" priority="9">
      <formula>$I$300="or"</formula>
    </cfRule>
    <cfRule type="expression" dxfId="17" priority="7">
      <formula>$I$300="Type 2"</formula>
    </cfRule>
  </conditionalFormatting>
  <conditionalFormatting sqref="I300:R300">
    <cfRule type="expression" dxfId="16" priority="19">
      <formula>$P$300="In progress"</formula>
    </cfRule>
  </conditionalFormatting>
  <conditionalFormatting sqref="I300:R300">
    <cfRule type="expression" dxfId="15" priority="18">
      <formula>$P$300="Closed"</formula>
    </cfRule>
  </conditionalFormatting>
  <conditionalFormatting sqref="I300:R300">
    <cfRule type="expression" dxfId="14" priority="17">
      <formula>$P$300="Canceled"</formula>
    </cfRule>
  </conditionalFormatting>
  <conditionalFormatting sqref="I300:R300">
    <cfRule type="expression" dxfId="13" priority="16">
      <formula>$P$300="Suspended"</formula>
    </cfRule>
  </conditionalFormatting>
  <conditionalFormatting sqref="I300:R300">
    <cfRule type="expression" dxfId="12" priority="15">
      <formula>$P$300="Applied"</formula>
    </cfRule>
  </conditionalFormatting>
  <conditionalFormatting sqref="I300:R300">
    <cfRule type="expression" dxfId="11" priority="14">
      <formula>$P$300="N/A"</formula>
    </cfRule>
  </conditionalFormatting>
  <conditionalFormatting sqref="I300:R300">
    <cfRule type="expression" dxfId="10" priority="13">
      <formula>$P$300=""</formula>
    </cfRule>
  </conditionalFormatting>
  <conditionalFormatting sqref="I300:R300">
    <cfRule type="expression" dxfId="9" priority="12">
      <formula>$I$300="Module 1"</formula>
    </cfRule>
  </conditionalFormatting>
  <conditionalFormatting sqref="I300:R300">
    <cfRule type="expression" dxfId="8" priority="11">
      <formula>$I$300="Module 2"</formula>
    </cfRule>
  </conditionalFormatting>
  <conditionalFormatting sqref="I300:R300">
    <cfRule type="expression" dxfId="7" priority="10">
      <formula>$I$300="Module 3"</formula>
    </cfRule>
    <cfRule type="expression" dxfId="6" priority="8">
      <formula>$I$300="Type 1"</formula>
    </cfRule>
    <cfRule type="expression" dxfId="5" priority="6">
      <formula>$I$300="Type 3"</formula>
    </cfRule>
  </conditionalFormatting>
  <conditionalFormatting sqref="L300">
    <cfRule type="expression" dxfId="4" priority="5">
      <formula>$L$300="1"</formula>
    </cfRule>
  </conditionalFormatting>
  <conditionalFormatting sqref="L300">
    <cfRule type="expression" dxfId="3" priority="4">
      <formula>$L$300="2"</formula>
    </cfRule>
  </conditionalFormatting>
  <conditionalFormatting sqref="L300">
    <cfRule type="expression" dxfId="2" priority="3">
      <formula>$L$300="3"</formula>
    </cfRule>
  </conditionalFormatting>
  <conditionalFormatting sqref="L300">
    <cfRule type="expression" dxfId="1" priority="2">
      <formula>$L$300="4"</formula>
    </cfRule>
  </conditionalFormatting>
  <conditionalFormatting sqref="L300">
    <cfRule type="expression" dxfId="0" priority="1">
      <formula>$L$300="5"</formula>
    </cfRule>
  </conditionalFormatting>
  <dataValidations count="5">
    <dataValidation type="list" allowBlank="1" showInputMessage="1" showErrorMessage="1" sqref="P11:P1009">
      <formula1>stat</formula1>
    </dataValidation>
    <dataValidation type="list" allowBlank="1" showInputMessage="1" showErrorMessage="1" sqref="K11:K1009">
      <formula1>LB_PRJ_NAMES</formula1>
    </dataValidation>
    <dataValidation type="list" allowBlank="1" showInputMessage="1" showErrorMessage="1" sqref="I11:I1009">
      <formula1>TASK_TYPES</formula1>
    </dataValidation>
    <dataValidation type="list" allowBlank="1" showInputMessage="1" showErrorMessage="1" sqref="L11:L1009">
      <formula1>PRIORITY_VAL</formula1>
    </dataValidation>
    <dataValidation type="list" allowBlank="1" showInputMessage="1" showErrorMessage="1" sqref="M11:M1009">
      <formula1>PARAM_FIBONACCI</formula1>
    </dataValidation>
  </dataValidations>
  <pageMargins left="0.7" right="0.7" top="0.75" bottom="0.75" header="0.3" footer="0.3"/>
  <pageSetup paperSize="9" orientation="portrait" r:id="rId1"/>
  <ignoredErrors>
    <ignoredError sqref="F8" unlocked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8D8ED9-6F3F-4AFC-89EF-A9B87EF7E4C4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M11:M1009</xm:sqref>
        </x14:conditionalFormatting>
        <x14:conditionalFormatting xmlns:xm="http://schemas.microsoft.com/office/excel/2006/main">
          <x14:cfRule type="dataBar" id="{63738ED1-4561-4174-871A-CB4BB9316DE7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M8:M9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7"/>
  <sheetViews>
    <sheetView showGridLines="0" zoomScale="90" zoomScaleNormal="90" workbookViewId="0"/>
  </sheetViews>
  <sheetFormatPr baseColWidth="10" defaultRowHeight="12.75" x14ac:dyDescent="0.2"/>
  <cols>
    <col min="1" max="1" width="2.7109375" style="48" customWidth="1"/>
    <col min="2" max="2" width="20" style="48" customWidth="1"/>
    <col min="3" max="3" width="14.7109375" style="48" bestFit="1" customWidth="1"/>
    <col min="4" max="16384" width="11.42578125" style="48"/>
  </cols>
  <sheetData>
    <row r="1" spans="1:42" ht="7.5" customHeight="1" x14ac:dyDescent="0.2"/>
    <row r="2" spans="1:42" ht="23.25" customHeight="1" x14ac:dyDescent="0.2">
      <c r="B2" s="51" t="s">
        <v>1059</v>
      </c>
      <c r="C2" s="52"/>
      <c r="D2" s="169" t="s">
        <v>1029</v>
      </c>
      <c r="E2" s="169"/>
      <c r="F2" s="169"/>
      <c r="G2" s="170">
        <f ca="1">IF(WEEKNUM(TODAY())&lt;10,VALUE(CONCATENATE(YEAR(TODAY()),"0",WEEKNUM(TODAY()))),VALUE(CONCATENATE(YEAR(TODAY()),WEEKNUM(TODAY()))))</f>
        <v>201715</v>
      </c>
      <c r="H2" s="170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2"/>
      <c r="AM2" s="52"/>
      <c r="AN2" s="52"/>
      <c r="AO2" s="52"/>
      <c r="AP2" s="52"/>
    </row>
    <row r="3" spans="1:42" ht="6.75" customHeight="1" thickBot="1" x14ac:dyDescent="0.25"/>
    <row r="4" spans="1:42" ht="29.25" customHeight="1" thickBot="1" x14ac:dyDescent="0.25">
      <c r="B4" s="61" t="s">
        <v>1045</v>
      </c>
      <c r="C4" s="60">
        <v>201713</v>
      </c>
    </row>
    <row r="5" spans="1:42" customFormat="1" ht="44.25" customHeight="1" thickBot="1" x14ac:dyDescent="0.25">
      <c r="A5" s="48"/>
      <c r="B5" s="63" t="str">
        <f>Setting!F4</f>
        <v>StoryMapping</v>
      </c>
      <c r="C5" s="62"/>
      <c r="D5" s="16">
        <f>C4</f>
        <v>201713</v>
      </c>
      <c r="E5" s="16">
        <f>D5+1</f>
        <v>201714</v>
      </c>
      <c r="F5" s="16">
        <f t="shared" ref="F5:AP5" si="0">E5+1</f>
        <v>201715</v>
      </c>
      <c r="G5" s="16">
        <f t="shared" si="0"/>
        <v>201716</v>
      </c>
      <c r="H5" s="16">
        <f t="shared" si="0"/>
        <v>201717</v>
      </c>
      <c r="I5" s="16">
        <f t="shared" si="0"/>
        <v>201718</v>
      </c>
      <c r="J5" s="16">
        <f t="shared" si="0"/>
        <v>201719</v>
      </c>
      <c r="K5" s="16">
        <f t="shared" si="0"/>
        <v>201720</v>
      </c>
      <c r="L5" s="16">
        <f t="shared" si="0"/>
        <v>201721</v>
      </c>
      <c r="M5" s="16">
        <f t="shared" si="0"/>
        <v>201722</v>
      </c>
      <c r="N5" s="16">
        <f t="shared" si="0"/>
        <v>201723</v>
      </c>
      <c r="O5" s="16">
        <f t="shared" si="0"/>
        <v>201724</v>
      </c>
      <c r="P5" s="16">
        <f t="shared" si="0"/>
        <v>201725</v>
      </c>
      <c r="Q5" s="16">
        <f t="shared" si="0"/>
        <v>201726</v>
      </c>
      <c r="R5" s="16">
        <f t="shared" si="0"/>
        <v>201727</v>
      </c>
      <c r="S5" s="16">
        <f t="shared" si="0"/>
        <v>201728</v>
      </c>
      <c r="T5" s="16">
        <f t="shared" si="0"/>
        <v>201729</v>
      </c>
      <c r="U5" s="16">
        <f t="shared" si="0"/>
        <v>201730</v>
      </c>
      <c r="V5" s="16">
        <f t="shared" si="0"/>
        <v>201731</v>
      </c>
      <c r="W5" s="16">
        <f t="shared" si="0"/>
        <v>201732</v>
      </c>
      <c r="X5" s="16">
        <f t="shared" si="0"/>
        <v>201733</v>
      </c>
      <c r="Y5" s="16">
        <f t="shared" si="0"/>
        <v>201734</v>
      </c>
      <c r="Z5" s="16">
        <f t="shared" si="0"/>
        <v>201735</v>
      </c>
      <c r="AA5" s="16">
        <f t="shared" si="0"/>
        <v>201736</v>
      </c>
      <c r="AB5" s="16">
        <f t="shared" si="0"/>
        <v>201737</v>
      </c>
      <c r="AC5" s="16">
        <f t="shared" si="0"/>
        <v>201738</v>
      </c>
      <c r="AD5" s="16">
        <f t="shared" si="0"/>
        <v>201739</v>
      </c>
      <c r="AE5" s="16">
        <f t="shared" si="0"/>
        <v>201740</v>
      </c>
      <c r="AF5" s="16">
        <f t="shared" si="0"/>
        <v>201741</v>
      </c>
      <c r="AG5" s="16">
        <f t="shared" si="0"/>
        <v>201742</v>
      </c>
      <c r="AH5" s="16">
        <f t="shared" si="0"/>
        <v>201743</v>
      </c>
      <c r="AI5" s="16">
        <f t="shared" si="0"/>
        <v>201744</v>
      </c>
      <c r="AJ5" s="16">
        <f t="shared" si="0"/>
        <v>201745</v>
      </c>
      <c r="AK5" s="16">
        <f t="shared" si="0"/>
        <v>201746</v>
      </c>
      <c r="AL5" s="16">
        <f t="shared" si="0"/>
        <v>201747</v>
      </c>
      <c r="AM5" s="16">
        <f t="shared" si="0"/>
        <v>201748</v>
      </c>
      <c r="AN5" s="16">
        <f t="shared" si="0"/>
        <v>201749</v>
      </c>
      <c r="AO5" s="16">
        <f t="shared" si="0"/>
        <v>201750</v>
      </c>
      <c r="AP5" s="16">
        <f t="shared" si="0"/>
        <v>201751</v>
      </c>
    </row>
    <row r="6" spans="1:42" s="4" customFormat="1" ht="30" customHeight="1" x14ac:dyDescent="0.2">
      <c r="A6" s="53"/>
      <c r="C6" s="54" t="s">
        <v>1057</v>
      </c>
      <c r="D6" s="3">
        <f t="shared" ref="D6:AP6" ca="1" si="1">IFERROR(SUMPRODUCT((INDIRECT($B5&amp;"!$B11:$B1009")&lt;=D5)*(INDIRECT($B5&amp;"!$E11:$E1009")=1))/SUM(INDIRECT($B5&amp;"!$E11:$E1009")),"-")</f>
        <v>0.78125</v>
      </c>
      <c r="E6" s="3">
        <f t="shared" ca="1" si="1"/>
        <v>0.84375</v>
      </c>
      <c r="F6" s="3">
        <f t="shared" ca="1" si="1"/>
        <v>0.90625</v>
      </c>
      <c r="G6" s="3">
        <f t="shared" ca="1" si="1"/>
        <v>0.90625</v>
      </c>
      <c r="H6" s="3">
        <f t="shared" ca="1" si="1"/>
        <v>0.90625</v>
      </c>
      <c r="I6" s="3">
        <f t="shared" ca="1" si="1"/>
        <v>0.96875</v>
      </c>
      <c r="J6" s="3">
        <f t="shared" ca="1" si="1"/>
        <v>1</v>
      </c>
      <c r="K6" s="3">
        <f t="shared" ca="1" si="1"/>
        <v>1</v>
      </c>
      <c r="L6" s="3">
        <f t="shared" ca="1" si="1"/>
        <v>1</v>
      </c>
      <c r="M6" s="3">
        <f t="shared" ca="1" si="1"/>
        <v>1</v>
      </c>
      <c r="N6" s="3">
        <f t="shared" ca="1" si="1"/>
        <v>1</v>
      </c>
      <c r="O6" s="3">
        <f t="shared" ca="1" si="1"/>
        <v>1</v>
      </c>
      <c r="P6" s="3">
        <f t="shared" ca="1" si="1"/>
        <v>1</v>
      </c>
      <c r="Q6" s="3">
        <f t="shared" ca="1" si="1"/>
        <v>1</v>
      </c>
      <c r="R6" s="3">
        <f t="shared" ca="1" si="1"/>
        <v>1</v>
      </c>
      <c r="S6" s="3">
        <f t="shared" ca="1" si="1"/>
        <v>1</v>
      </c>
      <c r="T6" s="3">
        <f t="shared" ca="1" si="1"/>
        <v>1</v>
      </c>
      <c r="U6" s="3">
        <f t="shared" ca="1" si="1"/>
        <v>1</v>
      </c>
      <c r="V6" s="3">
        <f t="shared" ca="1" si="1"/>
        <v>1</v>
      </c>
      <c r="W6" s="3">
        <f t="shared" ca="1" si="1"/>
        <v>1</v>
      </c>
      <c r="X6" s="3">
        <f t="shared" ca="1" si="1"/>
        <v>1</v>
      </c>
      <c r="Y6" s="3">
        <f t="shared" ca="1" si="1"/>
        <v>1</v>
      </c>
      <c r="Z6" s="3">
        <f t="shared" ca="1" si="1"/>
        <v>1</v>
      </c>
      <c r="AA6" s="3">
        <f t="shared" ca="1" si="1"/>
        <v>1</v>
      </c>
      <c r="AB6" s="3">
        <f t="shared" ca="1" si="1"/>
        <v>1</v>
      </c>
      <c r="AC6" s="3">
        <f t="shared" ca="1" si="1"/>
        <v>1</v>
      </c>
      <c r="AD6" s="3">
        <f t="shared" ca="1" si="1"/>
        <v>1</v>
      </c>
      <c r="AE6" s="3">
        <f t="shared" ca="1" si="1"/>
        <v>1</v>
      </c>
      <c r="AF6" s="3">
        <f t="shared" ca="1" si="1"/>
        <v>1</v>
      </c>
      <c r="AG6" s="3">
        <f t="shared" ca="1" si="1"/>
        <v>1</v>
      </c>
      <c r="AH6" s="3">
        <f t="shared" ca="1" si="1"/>
        <v>1</v>
      </c>
      <c r="AI6" s="3">
        <f t="shared" ca="1" si="1"/>
        <v>1</v>
      </c>
      <c r="AJ6" s="3">
        <f t="shared" ca="1" si="1"/>
        <v>1</v>
      </c>
      <c r="AK6" s="3">
        <f t="shared" ca="1" si="1"/>
        <v>1</v>
      </c>
      <c r="AL6" s="3">
        <f t="shared" ca="1" si="1"/>
        <v>1</v>
      </c>
      <c r="AM6" s="3">
        <f t="shared" ca="1" si="1"/>
        <v>1</v>
      </c>
      <c r="AN6" s="3">
        <f t="shared" ca="1" si="1"/>
        <v>1</v>
      </c>
      <c r="AO6" s="3">
        <f t="shared" ca="1" si="1"/>
        <v>1</v>
      </c>
      <c r="AP6" s="3">
        <f t="shared" ca="1" si="1"/>
        <v>1</v>
      </c>
    </row>
    <row r="7" spans="1:42" s="4" customFormat="1" ht="30" customHeight="1" x14ac:dyDescent="0.2">
      <c r="A7" s="53"/>
      <c r="B7" s="48"/>
      <c r="C7" s="54" t="s">
        <v>1058</v>
      </c>
      <c r="D7" s="3">
        <f t="shared" ref="D7:AP7" ca="1" si="2">IFERROR(IF(D5&gt;$G$2,"",SUMPRODUCT((INDIRECT($B5&amp;"!$C11:$C1009")&lt;=D5)*(INDIRECT($B5&amp;"!$D11:$D1009")="Y"))/SUM(INDIRECT($B5&amp;"!$E11:$E1009"))),"-")</f>
        <v>0.21875</v>
      </c>
      <c r="E7" s="3">
        <f t="shared" ca="1" si="2"/>
        <v>0.21875</v>
      </c>
      <c r="F7" s="3">
        <f t="shared" ca="1" si="2"/>
        <v>0.21875</v>
      </c>
      <c r="G7" s="3" t="str">
        <f t="shared" ca="1" si="2"/>
        <v/>
      </c>
      <c r="H7" s="3" t="str">
        <f t="shared" ca="1" si="2"/>
        <v/>
      </c>
      <c r="I7" s="3" t="str">
        <f t="shared" ca="1" si="2"/>
        <v/>
      </c>
      <c r="J7" s="3" t="str">
        <f t="shared" ca="1" si="2"/>
        <v/>
      </c>
      <c r="K7" s="3" t="str">
        <f t="shared" ca="1" si="2"/>
        <v/>
      </c>
      <c r="L7" s="3" t="str">
        <f t="shared" ca="1" si="2"/>
        <v/>
      </c>
      <c r="M7" s="3" t="str">
        <f t="shared" ca="1" si="2"/>
        <v/>
      </c>
      <c r="N7" s="3" t="str">
        <f t="shared" ca="1" si="2"/>
        <v/>
      </c>
      <c r="O7" s="3" t="str">
        <f t="shared" ca="1" si="2"/>
        <v/>
      </c>
      <c r="P7" s="3" t="str">
        <f t="shared" ca="1" si="2"/>
        <v/>
      </c>
      <c r="Q7" s="3" t="str">
        <f t="shared" ca="1" si="2"/>
        <v/>
      </c>
      <c r="R7" s="3" t="str">
        <f t="shared" ca="1" si="2"/>
        <v/>
      </c>
      <c r="S7" s="3" t="str">
        <f t="shared" ca="1" si="2"/>
        <v/>
      </c>
      <c r="T7" s="3" t="str">
        <f t="shared" ca="1" si="2"/>
        <v/>
      </c>
      <c r="U7" s="3" t="str">
        <f t="shared" ca="1" si="2"/>
        <v/>
      </c>
      <c r="V7" s="3" t="str">
        <f t="shared" ca="1" si="2"/>
        <v/>
      </c>
      <c r="W7" s="3" t="str">
        <f t="shared" ca="1" si="2"/>
        <v/>
      </c>
      <c r="X7" s="3" t="str">
        <f t="shared" ca="1" si="2"/>
        <v/>
      </c>
      <c r="Y7" s="3" t="str">
        <f t="shared" ca="1" si="2"/>
        <v/>
      </c>
      <c r="Z7" s="3" t="str">
        <f t="shared" ca="1" si="2"/>
        <v/>
      </c>
      <c r="AA7" s="3" t="str">
        <f t="shared" ca="1" si="2"/>
        <v/>
      </c>
      <c r="AB7" s="3" t="str">
        <f t="shared" ca="1" si="2"/>
        <v/>
      </c>
      <c r="AC7" s="3" t="str">
        <f t="shared" ca="1" si="2"/>
        <v/>
      </c>
      <c r="AD7" s="3" t="str">
        <f t="shared" ca="1" si="2"/>
        <v/>
      </c>
      <c r="AE7" s="3" t="str">
        <f t="shared" ca="1" si="2"/>
        <v/>
      </c>
      <c r="AF7" s="3" t="str">
        <f t="shared" ca="1" si="2"/>
        <v/>
      </c>
      <c r="AG7" s="3" t="str">
        <f t="shared" ca="1" si="2"/>
        <v/>
      </c>
      <c r="AH7" s="3" t="str">
        <f t="shared" ca="1" si="2"/>
        <v/>
      </c>
      <c r="AI7" s="3" t="str">
        <f t="shared" ca="1" si="2"/>
        <v/>
      </c>
      <c r="AJ7" s="3" t="str">
        <f t="shared" ca="1" si="2"/>
        <v/>
      </c>
      <c r="AK7" s="3" t="str">
        <f t="shared" ca="1" si="2"/>
        <v/>
      </c>
      <c r="AL7" s="3" t="str">
        <f t="shared" ca="1" si="2"/>
        <v/>
      </c>
      <c r="AM7" s="3" t="str">
        <f t="shared" ca="1" si="2"/>
        <v/>
      </c>
      <c r="AN7" s="3" t="str">
        <f t="shared" ca="1" si="2"/>
        <v/>
      </c>
      <c r="AO7" s="3" t="str">
        <f t="shared" ca="1" si="2"/>
        <v/>
      </c>
      <c r="AP7" s="3" t="str">
        <f t="shared" ca="1" si="2"/>
        <v/>
      </c>
    </row>
  </sheetData>
  <sheetProtection sheet="1" objects="1" formatCells="0" formatColumns="0" formatRows="0" insertColumns="0" insertRows="0" insertHyperlinks="0" deleteColumns="0" deleteRows="0" sort="0" autoFilter="0" pivotTables="0"/>
  <mergeCells count="2">
    <mergeCell ref="D2:F2"/>
    <mergeCell ref="G2:H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S200"/>
  <sheetViews>
    <sheetView showGridLines="0" zoomScale="85" zoomScaleNormal="85" workbookViewId="0">
      <pane ySplit="1" topLeftCell="A2" activePane="bottomLeft" state="frozen"/>
      <selection activeCell="J12" sqref="J12"/>
      <selection pane="bottomLeft"/>
    </sheetView>
  </sheetViews>
  <sheetFormatPr baseColWidth="10" defaultRowHeight="12.75" x14ac:dyDescent="0.2"/>
  <cols>
    <col min="1" max="1" width="12.7109375" customWidth="1"/>
    <col min="2" max="2" width="38.85546875" bestFit="1" customWidth="1"/>
    <col min="3" max="3" width="23.7109375" customWidth="1"/>
    <col min="4" max="4" width="52" customWidth="1"/>
    <col min="6" max="6" width="14.140625" customWidth="1"/>
    <col min="9" max="10" width="9.7109375" customWidth="1"/>
    <col min="11" max="11" width="21" bestFit="1" customWidth="1"/>
  </cols>
  <sheetData>
    <row r="1" spans="1:19" ht="24" customHeight="1" x14ac:dyDescent="0.2">
      <c r="B1" s="58"/>
      <c r="C1" s="58"/>
      <c r="D1" s="59" t="s">
        <v>1130</v>
      </c>
      <c r="E1" s="58"/>
    </row>
    <row r="2" spans="1:19" s="48" customFormat="1" ht="38.25" customHeight="1" x14ac:dyDescent="0.2">
      <c r="A2" s="174" t="s">
        <v>1052</v>
      </c>
      <c r="B2" s="174"/>
      <c r="C2" s="174"/>
      <c r="D2" s="174"/>
      <c r="E2" s="174"/>
    </row>
    <row r="3" spans="1:19" s="48" customFormat="1" ht="13.5" thickBot="1" x14ac:dyDescent="0.25">
      <c r="B3" s="64" t="s">
        <v>1024</v>
      </c>
      <c r="C3" s="65" t="s">
        <v>1025</v>
      </c>
      <c r="D3" s="65" t="s">
        <v>1031</v>
      </c>
      <c r="F3" s="66" t="s">
        <v>1022</v>
      </c>
      <c r="G3" s="67"/>
      <c r="J3" s="68"/>
      <c r="S3" s="69"/>
    </row>
    <row r="4" spans="1:19" s="48" customFormat="1" ht="13.5" thickBot="1" x14ac:dyDescent="0.25">
      <c r="B4" s="70" t="s">
        <v>1063</v>
      </c>
      <c r="C4" s="71" t="s">
        <v>1064</v>
      </c>
      <c r="D4" s="71" t="s">
        <v>1034</v>
      </c>
      <c r="F4" s="72" t="s">
        <v>1038</v>
      </c>
      <c r="G4" s="73"/>
    </row>
    <row r="5" spans="1:19" s="48" customFormat="1" x14ac:dyDescent="0.2">
      <c r="B5" s="74" t="s">
        <v>1065</v>
      </c>
      <c r="C5" s="75" t="s">
        <v>1066</v>
      </c>
      <c r="D5" s="75" t="s">
        <v>1035</v>
      </c>
      <c r="F5" s="76"/>
      <c r="G5" s="77"/>
    </row>
    <row r="6" spans="1:19" s="48" customFormat="1" x14ac:dyDescent="0.2">
      <c r="B6" s="74" t="s">
        <v>1067</v>
      </c>
      <c r="C6" s="75" t="s">
        <v>1068</v>
      </c>
      <c r="D6" s="75" t="s">
        <v>1036</v>
      </c>
    </row>
    <row r="7" spans="1:19" s="48" customFormat="1" x14ac:dyDescent="0.2">
      <c r="B7" s="74" t="s">
        <v>1069</v>
      </c>
      <c r="C7" s="75" t="s">
        <v>1064</v>
      </c>
      <c r="D7" s="75" t="s">
        <v>1037</v>
      </c>
    </row>
    <row r="8" spans="1:19" s="48" customFormat="1" x14ac:dyDescent="0.2">
      <c r="B8" s="74" t="s">
        <v>1070</v>
      </c>
      <c r="C8" s="75" t="s">
        <v>1064</v>
      </c>
      <c r="D8" s="75"/>
    </row>
    <row r="9" spans="1:19" s="48" customFormat="1" x14ac:dyDescent="0.2">
      <c r="B9" s="74" t="s">
        <v>1071</v>
      </c>
      <c r="C9" s="75" t="s">
        <v>1068</v>
      </c>
      <c r="D9" s="75"/>
    </row>
    <row r="10" spans="1:19" s="48" customFormat="1" x14ac:dyDescent="0.2">
      <c r="B10" s="74" t="s">
        <v>1072</v>
      </c>
      <c r="C10" s="75" t="s">
        <v>1073</v>
      </c>
      <c r="D10" s="75"/>
    </row>
    <row r="11" spans="1:19" s="48" customFormat="1" x14ac:dyDescent="0.2">
      <c r="B11" s="74" t="s">
        <v>1074</v>
      </c>
      <c r="C11" s="75" t="s">
        <v>1066</v>
      </c>
      <c r="D11" s="75"/>
    </row>
    <row r="12" spans="1:19" s="48" customFormat="1" x14ac:dyDescent="0.2">
      <c r="B12" s="74" t="s">
        <v>1075</v>
      </c>
      <c r="C12" s="75" t="s">
        <v>1073</v>
      </c>
      <c r="D12" s="75"/>
    </row>
    <row r="13" spans="1:19" s="48" customFormat="1" x14ac:dyDescent="0.2">
      <c r="B13" s="74" t="s">
        <v>1076</v>
      </c>
      <c r="C13" s="75" t="s">
        <v>1064</v>
      </c>
      <c r="D13" s="75"/>
    </row>
    <row r="14" spans="1:19" s="48" customFormat="1" x14ac:dyDescent="0.2">
      <c r="B14" s="74" t="s">
        <v>1077</v>
      </c>
      <c r="C14" s="75" t="s">
        <v>1068</v>
      </c>
      <c r="D14" s="75"/>
    </row>
    <row r="15" spans="1:19" s="48" customFormat="1" x14ac:dyDescent="0.2">
      <c r="B15" s="74" t="s">
        <v>1078</v>
      </c>
      <c r="C15" s="75" t="s">
        <v>1073</v>
      </c>
      <c r="D15" s="75"/>
    </row>
    <row r="16" spans="1:19" s="48" customFormat="1" x14ac:dyDescent="0.2">
      <c r="B16" s="74" t="s">
        <v>1079</v>
      </c>
      <c r="C16" s="75" t="s">
        <v>1066</v>
      </c>
      <c r="D16" s="75"/>
    </row>
    <row r="17" spans="2:4" s="48" customFormat="1" x14ac:dyDescent="0.2">
      <c r="B17" s="74" t="s">
        <v>1080</v>
      </c>
      <c r="C17" s="75" t="s">
        <v>1073</v>
      </c>
      <c r="D17" s="75"/>
    </row>
    <row r="18" spans="2:4" s="48" customFormat="1" x14ac:dyDescent="0.2">
      <c r="B18" s="74" t="s">
        <v>1030</v>
      </c>
      <c r="C18" s="75" t="s">
        <v>99</v>
      </c>
      <c r="D18" s="75"/>
    </row>
    <row r="19" spans="2:4" s="48" customFormat="1" x14ac:dyDescent="0.2">
      <c r="B19" s="74" t="s">
        <v>1081</v>
      </c>
      <c r="C19" s="75" t="s">
        <v>1082</v>
      </c>
      <c r="D19" s="75" t="s">
        <v>1032</v>
      </c>
    </row>
    <row r="20" spans="2:4" s="48" customFormat="1" x14ac:dyDescent="0.2">
      <c r="B20" s="74" t="s">
        <v>1083</v>
      </c>
      <c r="C20" s="75" t="s">
        <v>1084</v>
      </c>
      <c r="D20" s="78" t="s">
        <v>1033</v>
      </c>
    </row>
    <row r="21" spans="2:4" s="48" customFormat="1" x14ac:dyDescent="0.2">
      <c r="B21" s="74" t="s">
        <v>1085</v>
      </c>
      <c r="C21" s="75" t="s">
        <v>1086</v>
      </c>
      <c r="D21" s="75" t="s">
        <v>1037</v>
      </c>
    </row>
    <row r="22" spans="2:4" s="48" customFormat="1" x14ac:dyDescent="0.2">
      <c r="B22" s="74" t="s">
        <v>1087</v>
      </c>
      <c r="C22" s="75" t="s">
        <v>1088</v>
      </c>
      <c r="D22" s="75"/>
    </row>
    <row r="23" spans="2:4" s="48" customFormat="1" x14ac:dyDescent="0.2">
      <c r="B23" s="74" t="s">
        <v>1089</v>
      </c>
      <c r="C23" s="75" t="s">
        <v>1090</v>
      </c>
      <c r="D23" s="75"/>
    </row>
    <row r="24" spans="2:4" s="48" customFormat="1" x14ac:dyDescent="0.2">
      <c r="B24" s="74" t="s">
        <v>1091</v>
      </c>
      <c r="C24" s="75" t="s">
        <v>1092</v>
      </c>
      <c r="D24" s="75"/>
    </row>
    <row r="25" spans="2:4" s="48" customFormat="1" x14ac:dyDescent="0.2">
      <c r="B25" s="74" t="s">
        <v>1093</v>
      </c>
      <c r="C25" s="75" t="s">
        <v>1094</v>
      </c>
      <c r="D25" s="75"/>
    </row>
    <row r="26" spans="2:4" s="48" customFormat="1" x14ac:dyDescent="0.2">
      <c r="B26" s="74" t="s">
        <v>1095</v>
      </c>
      <c r="C26" s="75" t="s">
        <v>1096</v>
      </c>
      <c r="D26" s="75"/>
    </row>
    <row r="27" spans="2:4" s="48" customFormat="1" x14ac:dyDescent="0.2">
      <c r="B27" s="74" t="s">
        <v>1097</v>
      </c>
      <c r="C27" s="75" t="s">
        <v>1098</v>
      </c>
      <c r="D27" s="75"/>
    </row>
    <row r="28" spans="2:4" s="48" customFormat="1" x14ac:dyDescent="0.2">
      <c r="B28" s="74" t="s">
        <v>1099</v>
      </c>
      <c r="C28" s="75" t="s">
        <v>1100</v>
      </c>
      <c r="D28" s="75"/>
    </row>
    <row r="29" spans="2:4" s="48" customFormat="1" x14ac:dyDescent="0.2">
      <c r="B29" s="74" t="s">
        <v>1101</v>
      </c>
      <c r="C29" s="75" t="s">
        <v>1102</v>
      </c>
      <c r="D29" s="75"/>
    </row>
    <row r="30" spans="2:4" s="48" customFormat="1" x14ac:dyDescent="0.2">
      <c r="B30" s="74" t="s">
        <v>1103</v>
      </c>
      <c r="C30" s="75" t="s">
        <v>1104</v>
      </c>
      <c r="D30" s="75"/>
    </row>
    <row r="31" spans="2:4" s="48" customFormat="1" x14ac:dyDescent="0.2">
      <c r="B31" s="74" t="s">
        <v>1105</v>
      </c>
      <c r="C31" s="75" t="s">
        <v>1106</v>
      </c>
      <c r="D31" s="75"/>
    </row>
    <row r="32" spans="2:4" s="48" customFormat="1" x14ac:dyDescent="0.2">
      <c r="B32" s="74" t="s">
        <v>1107</v>
      </c>
      <c r="C32" s="75" t="s">
        <v>1108</v>
      </c>
      <c r="D32" s="75"/>
    </row>
    <row r="33" spans="2:4" s="48" customFormat="1" x14ac:dyDescent="0.2">
      <c r="B33" s="74" t="s">
        <v>1109</v>
      </c>
      <c r="C33" s="75" t="s">
        <v>1110</v>
      </c>
      <c r="D33" s="75"/>
    </row>
    <row r="34" spans="2:4" s="48" customFormat="1" ht="13.5" thickBot="1" x14ac:dyDescent="0.25">
      <c r="B34" s="79"/>
      <c r="C34" s="80"/>
      <c r="D34" s="80"/>
    </row>
    <row r="35" spans="2:4" s="48" customFormat="1" x14ac:dyDescent="0.2"/>
    <row r="36" spans="2:4" s="48" customFormat="1" x14ac:dyDescent="0.2"/>
    <row r="37" spans="2:4" s="48" customFormat="1" x14ac:dyDescent="0.2"/>
    <row r="38" spans="2:4" s="48" customFormat="1" ht="26.25" thickBot="1" x14ac:dyDescent="0.25">
      <c r="B38" s="149" t="s">
        <v>1128</v>
      </c>
      <c r="C38" s="153" t="s">
        <v>1129</v>
      </c>
    </row>
    <row r="39" spans="2:4" s="48" customFormat="1" x14ac:dyDescent="0.2">
      <c r="B39" s="150">
        <v>0</v>
      </c>
      <c r="C39" s="154">
        <v>0</v>
      </c>
    </row>
    <row r="40" spans="2:4" s="48" customFormat="1" x14ac:dyDescent="0.2">
      <c r="B40" s="151">
        <v>0.5</v>
      </c>
      <c r="C40" s="155">
        <v>0.5</v>
      </c>
    </row>
    <row r="41" spans="2:4" s="48" customFormat="1" x14ac:dyDescent="0.2">
      <c r="B41" s="151">
        <v>1</v>
      </c>
      <c r="C41" s="155">
        <v>1</v>
      </c>
    </row>
    <row r="42" spans="2:4" s="48" customFormat="1" x14ac:dyDescent="0.2">
      <c r="B42" s="151">
        <v>2</v>
      </c>
      <c r="C42" s="155">
        <v>2</v>
      </c>
    </row>
    <row r="43" spans="2:4" s="48" customFormat="1" x14ac:dyDescent="0.2">
      <c r="B43" s="151">
        <v>5</v>
      </c>
      <c r="C43" s="155">
        <v>5</v>
      </c>
    </row>
    <row r="44" spans="2:4" s="48" customFormat="1" x14ac:dyDescent="0.2">
      <c r="B44" s="151">
        <v>8</v>
      </c>
      <c r="C44" s="155">
        <v>8</v>
      </c>
    </row>
    <row r="45" spans="2:4" s="48" customFormat="1" x14ac:dyDescent="0.2">
      <c r="B45" s="151">
        <v>13</v>
      </c>
      <c r="C45" s="155">
        <v>13</v>
      </c>
    </row>
    <row r="46" spans="2:4" s="48" customFormat="1" x14ac:dyDescent="0.2">
      <c r="B46" s="151">
        <v>20</v>
      </c>
      <c r="C46" s="155">
        <v>20</v>
      </c>
    </row>
    <row r="47" spans="2:4" s="48" customFormat="1" x14ac:dyDescent="0.2">
      <c r="B47" s="151">
        <v>40</v>
      </c>
      <c r="C47" s="155">
        <v>40</v>
      </c>
    </row>
    <row r="48" spans="2:4" s="48" customFormat="1" x14ac:dyDescent="0.2">
      <c r="B48" s="151">
        <v>100</v>
      </c>
      <c r="C48" s="155">
        <v>100</v>
      </c>
    </row>
    <row r="49" spans="1:9" s="48" customFormat="1" ht="13.5" thickBot="1" x14ac:dyDescent="0.25">
      <c r="B49" s="152"/>
      <c r="C49" s="156"/>
    </row>
    <row r="50" spans="1:9" s="48" customFormat="1" x14ac:dyDescent="0.2"/>
    <row r="51" spans="1:9" s="48" customFormat="1" x14ac:dyDescent="0.2"/>
    <row r="52" spans="1:9" s="48" customFormat="1" x14ac:dyDescent="0.2"/>
    <row r="53" spans="1:9" s="48" customFormat="1" x14ac:dyDescent="0.2"/>
    <row r="54" spans="1:9" s="48" customFormat="1" x14ac:dyDescent="0.2"/>
    <row r="55" spans="1:9" s="48" customFormat="1" x14ac:dyDescent="0.2"/>
    <row r="56" spans="1:9" s="48" customFormat="1" ht="45.75" customHeight="1" x14ac:dyDescent="0.2">
      <c r="A56" s="174" t="s">
        <v>1053</v>
      </c>
      <c r="B56" s="174"/>
      <c r="C56" s="174"/>
      <c r="D56" s="174"/>
      <c r="E56" s="174"/>
      <c r="F56" s="174"/>
      <c r="G56" s="174"/>
      <c r="H56" s="174"/>
      <c r="I56" s="174"/>
    </row>
    <row r="57" spans="1:9" s="48" customFormat="1" x14ac:dyDescent="0.2">
      <c r="E57" s="81" t="s">
        <v>1028</v>
      </c>
    </row>
    <row r="58" spans="1:9" s="48" customFormat="1" ht="13.5" thickBot="1" x14ac:dyDescent="0.25">
      <c r="B58" s="82" t="s">
        <v>1060</v>
      </c>
      <c r="C58" s="83" t="s">
        <v>100</v>
      </c>
      <c r="E58" s="84" t="s">
        <v>1017</v>
      </c>
      <c r="F58" s="84" t="s">
        <v>1018</v>
      </c>
      <c r="G58" s="84" t="s">
        <v>1019</v>
      </c>
      <c r="H58" s="84" t="s">
        <v>1020</v>
      </c>
    </row>
    <row r="59" spans="1:9" s="48" customFormat="1" x14ac:dyDescent="0.2">
      <c r="B59" s="135" t="s">
        <v>1111</v>
      </c>
      <c r="C59" s="73" t="s">
        <v>1111</v>
      </c>
      <c r="E59" s="85"/>
      <c r="F59" s="86"/>
      <c r="G59" s="87"/>
      <c r="H59" s="88"/>
    </row>
    <row r="60" spans="1:9" s="48" customFormat="1" x14ac:dyDescent="0.2">
      <c r="B60" s="136" t="s">
        <v>1112</v>
      </c>
      <c r="C60" s="73" t="s">
        <v>1112</v>
      </c>
      <c r="E60" s="89"/>
      <c r="F60" s="90"/>
      <c r="G60" s="91"/>
      <c r="H60" s="92"/>
    </row>
    <row r="61" spans="1:9" s="48" customFormat="1" x14ac:dyDescent="0.2">
      <c r="B61" s="137" t="s">
        <v>1113</v>
      </c>
      <c r="C61" s="73" t="s">
        <v>1113</v>
      </c>
      <c r="D61" s="49" t="s">
        <v>1054</v>
      </c>
      <c r="E61" s="93"/>
      <c r="F61" s="94"/>
      <c r="G61" s="95"/>
      <c r="H61" s="96"/>
    </row>
    <row r="62" spans="1:9" s="48" customFormat="1" x14ac:dyDescent="0.2">
      <c r="B62" s="138" t="s">
        <v>1030</v>
      </c>
      <c r="C62" s="73" t="s">
        <v>99</v>
      </c>
      <c r="D62" s="98" t="s">
        <v>1046</v>
      </c>
      <c r="E62" s="97"/>
      <c r="F62" s="99"/>
      <c r="G62" s="100"/>
      <c r="H62" s="101"/>
    </row>
    <row r="63" spans="1:9" s="48" customFormat="1" x14ac:dyDescent="0.2">
      <c r="B63" s="139" t="s">
        <v>1114</v>
      </c>
      <c r="C63" s="73" t="s">
        <v>1114</v>
      </c>
      <c r="E63" s="102"/>
      <c r="F63" s="103"/>
      <c r="G63" s="104"/>
      <c r="H63" s="105"/>
    </row>
    <row r="64" spans="1:9" s="48" customFormat="1" x14ac:dyDescent="0.2">
      <c r="B64" s="140" t="s">
        <v>1115</v>
      </c>
      <c r="C64" s="73" t="s">
        <v>1115</v>
      </c>
      <c r="E64" s="106"/>
      <c r="F64" s="107"/>
      <c r="G64" s="108"/>
      <c r="H64" s="109"/>
    </row>
    <row r="65" spans="1:9" s="48" customFormat="1" x14ac:dyDescent="0.2">
      <c r="B65" s="141" t="s">
        <v>1116</v>
      </c>
      <c r="C65" s="73" t="s">
        <v>1116</v>
      </c>
      <c r="E65" s="110"/>
      <c r="F65" s="110"/>
      <c r="G65" s="110"/>
      <c r="H65" s="110"/>
    </row>
    <row r="66" spans="1:9" s="48" customFormat="1" ht="13.5" thickBot="1" x14ac:dyDescent="0.25">
      <c r="B66" s="142"/>
      <c r="C66" s="77"/>
      <c r="E66" s="79"/>
      <c r="F66" s="79"/>
      <c r="G66" s="79"/>
      <c r="H66" s="79"/>
    </row>
    <row r="67" spans="1:9" s="48" customFormat="1" x14ac:dyDescent="0.2"/>
    <row r="68" spans="1:9" s="48" customFormat="1" x14ac:dyDescent="0.2"/>
    <row r="69" spans="1:9" s="48" customFormat="1" x14ac:dyDescent="0.2"/>
    <row r="70" spans="1:9" s="48" customFormat="1" ht="47.25" customHeight="1" x14ac:dyDescent="0.2">
      <c r="B70" s="171" t="s">
        <v>1055</v>
      </c>
      <c r="C70" s="172"/>
      <c r="D70" s="172"/>
      <c r="E70" s="172"/>
      <c r="F70" s="172"/>
      <c r="G70" s="172"/>
      <c r="H70" s="172"/>
      <c r="I70" s="173"/>
    </row>
    <row r="71" spans="1:9" s="48" customFormat="1" ht="16.5" customHeight="1" thickBot="1" x14ac:dyDescent="0.25">
      <c r="B71" s="134" t="s">
        <v>1062</v>
      </c>
      <c r="C71" s="132"/>
      <c r="D71" s="132"/>
      <c r="E71" s="132"/>
      <c r="F71" s="132"/>
      <c r="G71" s="132"/>
      <c r="H71" s="132"/>
      <c r="I71" s="133"/>
    </row>
    <row r="72" spans="1:9" s="48" customFormat="1" x14ac:dyDescent="0.2">
      <c r="A72" s="131" t="s">
        <v>1039</v>
      </c>
      <c r="B72" s="111" t="s">
        <v>1039</v>
      </c>
      <c r="C72" s="112"/>
      <c r="D72" s="112"/>
      <c r="E72" s="112"/>
      <c r="F72" s="112"/>
      <c r="G72" s="112"/>
      <c r="H72" s="112"/>
      <c r="I72" s="73"/>
    </row>
    <row r="73" spans="1:9" s="48" customFormat="1" x14ac:dyDescent="0.2">
      <c r="A73" s="131" t="s">
        <v>1040</v>
      </c>
      <c r="B73" s="74" t="s">
        <v>1040</v>
      </c>
      <c r="C73" s="112"/>
      <c r="D73" s="112"/>
      <c r="E73" s="112"/>
      <c r="F73" s="112"/>
      <c r="G73" s="112"/>
      <c r="H73" s="112"/>
      <c r="I73" s="73"/>
    </row>
    <row r="74" spans="1:9" s="48" customFormat="1" x14ac:dyDescent="0.2">
      <c r="A74" s="131" t="s">
        <v>1041</v>
      </c>
      <c r="B74" s="113" t="s">
        <v>1041</v>
      </c>
      <c r="C74" s="112"/>
      <c r="D74" s="112"/>
      <c r="E74" s="112"/>
      <c r="F74" s="112"/>
      <c r="G74" s="112"/>
      <c r="H74" s="112"/>
      <c r="I74" s="73"/>
    </row>
    <row r="75" spans="1:9" s="48" customFormat="1" x14ac:dyDescent="0.2">
      <c r="A75" s="131" t="s">
        <v>1051</v>
      </c>
      <c r="B75" s="114" t="s">
        <v>1051</v>
      </c>
      <c r="C75" s="112"/>
      <c r="D75" s="112"/>
      <c r="E75" s="112"/>
      <c r="F75" s="112"/>
      <c r="G75" s="112"/>
      <c r="H75" s="112"/>
      <c r="I75" s="73"/>
    </row>
    <row r="76" spans="1:9" s="48" customFormat="1" x14ac:dyDescent="0.2">
      <c r="A76" s="131" t="s">
        <v>1042</v>
      </c>
      <c r="B76" s="115" t="s">
        <v>1042</v>
      </c>
      <c r="C76" s="112"/>
      <c r="D76" s="112"/>
      <c r="E76" s="112"/>
      <c r="F76" s="112"/>
      <c r="G76" s="112"/>
      <c r="H76" s="112"/>
      <c r="I76" s="73"/>
    </row>
    <row r="77" spans="1:9" s="48" customFormat="1" x14ac:dyDescent="0.2">
      <c r="A77" s="131" t="s">
        <v>1043</v>
      </c>
      <c r="B77" s="113" t="s">
        <v>1043</v>
      </c>
      <c r="C77" s="112"/>
      <c r="D77" s="112"/>
      <c r="E77" s="112"/>
      <c r="F77" s="112"/>
      <c r="G77" s="112"/>
      <c r="H77" s="112"/>
      <c r="I77" s="73"/>
    </row>
    <row r="78" spans="1:9" s="48" customFormat="1" x14ac:dyDescent="0.2">
      <c r="A78" s="131" t="s">
        <v>13</v>
      </c>
      <c r="B78" s="116" t="s">
        <v>13</v>
      </c>
      <c r="C78" s="112"/>
      <c r="D78" s="112"/>
      <c r="E78" s="112"/>
      <c r="F78" s="112"/>
      <c r="G78" s="112"/>
      <c r="H78" s="112"/>
      <c r="I78" s="73"/>
    </row>
    <row r="79" spans="1:9" s="48" customFormat="1" ht="13.5" thickBot="1" x14ac:dyDescent="0.25">
      <c r="B79" s="117"/>
      <c r="C79" s="112"/>
      <c r="D79" s="112"/>
      <c r="E79" s="112"/>
      <c r="F79" s="112"/>
      <c r="G79" s="112"/>
      <c r="H79" s="112"/>
      <c r="I79" s="73"/>
    </row>
    <row r="80" spans="1:9" s="48" customFormat="1" x14ac:dyDescent="0.2">
      <c r="B80" s="76"/>
      <c r="C80" s="118"/>
      <c r="D80" s="118"/>
      <c r="E80" s="118"/>
      <c r="F80" s="118"/>
      <c r="G80" s="118"/>
      <c r="H80" s="118"/>
      <c r="I80" s="77"/>
    </row>
    <row r="81" spans="2:5" s="48" customFormat="1" ht="13.5" thickBot="1" x14ac:dyDescent="0.25"/>
    <row r="82" spans="2:5" s="48" customFormat="1" ht="14.25" thickTop="1" thickBot="1" x14ac:dyDescent="0.25">
      <c r="B82" s="119"/>
      <c r="C82" s="120"/>
      <c r="D82" s="120"/>
      <c r="E82" s="121"/>
    </row>
    <row r="83" spans="2:5" s="48" customFormat="1" ht="13.5" thickBot="1" x14ac:dyDescent="0.25">
      <c r="B83" s="122"/>
      <c r="C83" s="123" t="s">
        <v>1008</v>
      </c>
      <c r="D83" s="124">
        <v>11</v>
      </c>
      <c r="E83" s="125"/>
    </row>
    <row r="84" spans="2:5" s="48" customFormat="1" ht="13.5" thickBot="1" x14ac:dyDescent="0.25">
      <c r="B84" s="122"/>
      <c r="C84" s="123" t="s">
        <v>1009</v>
      </c>
      <c r="D84" s="126">
        <v>300</v>
      </c>
      <c r="E84" s="125"/>
    </row>
    <row r="85" spans="2:5" s="48" customFormat="1" x14ac:dyDescent="0.2">
      <c r="B85" s="122"/>
      <c r="C85" s="112"/>
      <c r="D85" s="112"/>
      <c r="E85" s="125"/>
    </row>
    <row r="86" spans="2:5" s="48" customFormat="1" ht="13.5" thickBot="1" x14ac:dyDescent="0.25">
      <c r="B86" s="127"/>
      <c r="C86" s="128"/>
      <c r="D86" s="128"/>
      <c r="E86" s="129"/>
    </row>
    <row r="87" spans="2:5" s="48" customFormat="1" ht="13.5" thickTop="1" x14ac:dyDescent="0.2"/>
    <row r="88" spans="2:5" s="48" customFormat="1" x14ac:dyDescent="0.2"/>
    <row r="89" spans="2:5" s="48" customFormat="1" x14ac:dyDescent="0.2"/>
    <row r="90" spans="2:5" s="48" customFormat="1" ht="13.5" thickBot="1" x14ac:dyDescent="0.25">
      <c r="B90" s="130" t="s">
        <v>1021</v>
      </c>
      <c r="C90" s="130"/>
    </row>
    <row r="91" spans="2:5" s="48" customFormat="1" x14ac:dyDescent="0.2">
      <c r="B91" s="143" t="s">
        <v>1011</v>
      </c>
    </row>
    <row r="92" spans="2:5" s="48" customFormat="1" x14ac:dyDescent="0.2">
      <c r="B92" s="144" t="s">
        <v>1012</v>
      </c>
    </row>
    <row r="93" spans="2:5" s="48" customFormat="1" x14ac:dyDescent="0.2">
      <c r="B93" s="145" t="s">
        <v>1013</v>
      </c>
    </row>
    <row r="94" spans="2:5" s="48" customFormat="1" x14ac:dyDescent="0.2">
      <c r="B94" s="146" t="s">
        <v>1014</v>
      </c>
    </row>
    <row r="95" spans="2:5" s="48" customFormat="1" ht="13.5" thickBot="1" x14ac:dyDescent="0.25">
      <c r="B95" s="147" t="s">
        <v>1015</v>
      </c>
    </row>
    <row r="96" spans="2:5" s="48" customFormat="1" x14ac:dyDescent="0.2"/>
    <row r="97" s="48" customFormat="1" x14ac:dyDescent="0.2"/>
    <row r="98" s="48" customFormat="1" x14ac:dyDescent="0.2"/>
    <row r="99" s="48" customFormat="1" x14ac:dyDescent="0.2"/>
    <row r="100" s="48" customFormat="1" x14ac:dyDescent="0.2"/>
    <row r="101" s="48" customFormat="1" x14ac:dyDescent="0.2"/>
    <row r="102" s="48" customFormat="1" x14ac:dyDescent="0.2"/>
    <row r="103" s="48" customFormat="1" x14ac:dyDescent="0.2"/>
    <row r="104" s="48" customFormat="1" x14ac:dyDescent="0.2"/>
    <row r="105" s="48" customFormat="1" x14ac:dyDescent="0.2"/>
    <row r="106" s="48" customFormat="1" x14ac:dyDescent="0.2"/>
    <row r="107" s="48" customFormat="1" x14ac:dyDescent="0.2"/>
    <row r="108" s="48" customFormat="1" x14ac:dyDescent="0.2"/>
    <row r="109" s="48" customFormat="1" x14ac:dyDescent="0.2"/>
    <row r="110" s="48" customFormat="1" x14ac:dyDescent="0.2"/>
    <row r="111" s="48" customFormat="1" x14ac:dyDescent="0.2"/>
    <row r="112" s="48" customFormat="1" x14ac:dyDescent="0.2"/>
    <row r="113" s="48" customFormat="1" x14ac:dyDescent="0.2"/>
    <row r="114" s="48" customFormat="1" x14ac:dyDescent="0.2"/>
    <row r="115" s="48" customFormat="1" x14ac:dyDescent="0.2"/>
    <row r="116" s="48" customFormat="1" x14ac:dyDescent="0.2"/>
    <row r="117" s="48" customFormat="1" x14ac:dyDescent="0.2"/>
    <row r="118" s="48" customFormat="1" x14ac:dyDescent="0.2"/>
    <row r="119" s="48" customFormat="1" x14ac:dyDescent="0.2"/>
    <row r="120" s="48" customFormat="1" x14ac:dyDescent="0.2"/>
    <row r="121" s="48" customFormat="1" x14ac:dyDescent="0.2"/>
    <row r="122" s="48" customFormat="1" x14ac:dyDescent="0.2"/>
    <row r="123" s="48" customFormat="1" x14ac:dyDescent="0.2"/>
    <row r="124" s="48" customFormat="1" x14ac:dyDescent="0.2"/>
    <row r="125" s="48" customFormat="1" x14ac:dyDescent="0.2"/>
    <row r="126" s="48" customFormat="1" x14ac:dyDescent="0.2"/>
    <row r="127" s="48" customFormat="1" x14ac:dyDescent="0.2"/>
    <row r="128" s="48" customFormat="1" x14ac:dyDescent="0.2"/>
    <row r="129" s="48" customFormat="1" x14ac:dyDescent="0.2"/>
    <row r="130" s="48" customFormat="1" x14ac:dyDescent="0.2"/>
    <row r="131" s="48" customFormat="1" x14ac:dyDescent="0.2"/>
    <row r="132" s="48" customFormat="1" x14ac:dyDescent="0.2"/>
    <row r="133" s="48" customFormat="1" x14ac:dyDescent="0.2"/>
    <row r="134" s="48" customFormat="1" x14ac:dyDescent="0.2"/>
    <row r="135" s="48" customFormat="1" x14ac:dyDescent="0.2"/>
    <row r="136" s="48" customFormat="1" x14ac:dyDescent="0.2"/>
    <row r="137" s="48" customFormat="1" x14ac:dyDescent="0.2"/>
    <row r="138" s="48" customFormat="1" x14ac:dyDescent="0.2"/>
    <row r="139" s="48" customFormat="1" x14ac:dyDescent="0.2"/>
    <row r="140" s="48" customFormat="1" x14ac:dyDescent="0.2"/>
    <row r="141" s="48" customFormat="1" x14ac:dyDescent="0.2"/>
    <row r="142" s="48" customFormat="1" x14ac:dyDescent="0.2"/>
    <row r="143" s="48" customFormat="1" x14ac:dyDescent="0.2"/>
    <row r="144" s="48" customFormat="1" x14ac:dyDescent="0.2"/>
    <row r="145" s="48" customFormat="1" x14ac:dyDescent="0.2"/>
    <row r="146" s="48" customFormat="1" x14ac:dyDescent="0.2"/>
    <row r="147" s="48" customFormat="1" x14ac:dyDescent="0.2"/>
    <row r="148" s="48" customFormat="1" x14ac:dyDescent="0.2"/>
    <row r="149" s="48" customFormat="1" x14ac:dyDescent="0.2"/>
    <row r="150" s="48" customFormat="1" x14ac:dyDescent="0.2"/>
    <row r="151" s="48" customFormat="1" x14ac:dyDescent="0.2"/>
    <row r="152" s="48" customFormat="1" x14ac:dyDescent="0.2"/>
    <row r="153" s="48" customFormat="1" x14ac:dyDescent="0.2"/>
    <row r="154" s="48" customFormat="1" x14ac:dyDescent="0.2"/>
    <row r="155" s="48" customFormat="1" x14ac:dyDescent="0.2"/>
    <row r="156" s="48" customFormat="1" x14ac:dyDescent="0.2"/>
    <row r="157" s="48" customFormat="1" x14ac:dyDescent="0.2"/>
    <row r="158" s="48" customFormat="1" x14ac:dyDescent="0.2"/>
    <row r="159" s="48" customFormat="1" x14ac:dyDescent="0.2"/>
    <row r="160" s="48" customFormat="1" x14ac:dyDescent="0.2"/>
    <row r="161" s="48" customFormat="1" x14ac:dyDescent="0.2"/>
    <row r="162" s="48" customFormat="1" x14ac:dyDescent="0.2"/>
    <row r="163" s="48" customFormat="1" x14ac:dyDescent="0.2"/>
    <row r="164" s="48" customFormat="1" x14ac:dyDescent="0.2"/>
    <row r="165" s="48" customFormat="1" x14ac:dyDescent="0.2"/>
    <row r="166" s="48" customFormat="1" x14ac:dyDescent="0.2"/>
    <row r="167" s="48" customFormat="1" x14ac:dyDescent="0.2"/>
    <row r="168" s="48" customFormat="1" x14ac:dyDescent="0.2"/>
    <row r="169" s="48" customFormat="1" x14ac:dyDescent="0.2"/>
    <row r="170" s="48" customFormat="1" x14ac:dyDescent="0.2"/>
    <row r="171" s="48" customFormat="1" x14ac:dyDescent="0.2"/>
    <row r="172" s="48" customFormat="1" x14ac:dyDescent="0.2"/>
    <row r="173" s="48" customFormat="1" x14ac:dyDescent="0.2"/>
    <row r="174" s="48" customFormat="1" x14ac:dyDescent="0.2"/>
    <row r="175" s="48" customFormat="1" x14ac:dyDescent="0.2"/>
    <row r="176" s="48" customFormat="1" x14ac:dyDescent="0.2"/>
    <row r="177" s="48" customFormat="1" x14ac:dyDescent="0.2"/>
    <row r="178" s="48" customFormat="1" x14ac:dyDescent="0.2"/>
    <row r="179" s="48" customFormat="1" x14ac:dyDescent="0.2"/>
    <row r="180" s="48" customFormat="1" x14ac:dyDescent="0.2"/>
    <row r="181" s="48" customFormat="1" x14ac:dyDescent="0.2"/>
    <row r="182" s="48" customFormat="1" x14ac:dyDescent="0.2"/>
    <row r="183" s="48" customFormat="1" x14ac:dyDescent="0.2"/>
    <row r="184" s="48" customFormat="1" x14ac:dyDescent="0.2"/>
    <row r="185" s="48" customFormat="1" x14ac:dyDescent="0.2"/>
    <row r="186" s="48" customFormat="1" x14ac:dyDescent="0.2"/>
    <row r="187" s="48" customFormat="1" x14ac:dyDescent="0.2"/>
    <row r="188" s="48" customFormat="1" x14ac:dyDescent="0.2"/>
    <row r="189" s="48" customFormat="1" x14ac:dyDescent="0.2"/>
    <row r="190" s="48" customFormat="1" x14ac:dyDescent="0.2"/>
    <row r="191" s="48" customFormat="1" x14ac:dyDescent="0.2"/>
    <row r="192" s="48" customFormat="1" x14ac:dyDescent="0.2"/>
    <row r="193" s="48" customFormat="1" x14ac:dyDescent="0.2"/>
    <row r="194" s="48" customFormat="1" x14ac:dyDescent="0.2"/>
    <row r="195" s="48" customFormat="1" x14ac:dyDescent="0.2"/>
    <row r="196" s="48" customFormat="1" x14ac:dyDescent="0.2"/>
    <row r="197" s="48" customFormat="1" x14ac:dyDescent="0.2"/>
    <row r="198" s="48" customFormat="1" x14ac:dyDescent="0.2"/>
    <row r="199" s="48" customFormat="1" x14ac:dyDescent="0.2"/>
    <row r="200" s="48" customFormat="1" x14ac:dyDescent="0.2"/>
  </sheetData>
  <sheetProtection formatCells="0" formatColumns="0" formatRows="0" insertColumns="0" insertRows="0" insertHyperlinks="0" deleteColumns="0" deleteRows="0" sort="0" autoFilter="0" pivotTables="0"/>
  <autoFilter ref="B3:C33">
    <sortState ref="B3:C32">
      <sortCondition ref="B2"/>
    </sortState>
  </autoFilter>
  <mergeCells count="3">
    <mergeCell ref="B70:I70"/>
    <mergeCell ref="A56:I56"/>
    <mergeCell ref="A2:E2"/>
  </mergeCells>
  <conditionalFormatting sqref="C39:C49">
    <cfRule type="dataBar" priority="1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{411F759E-646F-4335-8D0A-C98C311C5555}</x14:id>
        </ext>
      </extLst>
    </cfRule>
  </conditionalFormatting>
  <dataValidations count="1">
    <dataValidation type="whole" showInputMessage="1" showErrorMessage="1" sqref="D83:D84">
      <formula1>11</formula1>
      <formula2>1048575</formula2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1F759E-646F-4335-8D0A-C98C311C5555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C39:C49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820AE5C3A37047A0C619819FADEAEB" ma:contentTypeVersion="2" ma:contentTypeDescription="Create a new document." ma:contentTypeScope="" ma:versionID="22c90828069842ecb5591ac41dfd9192">
  <xsd:schema xmlns:xsd="http://www.w3.org/2001/XMLSchema" xmlns:xs="http://www.w3.org/2001/XMLSchema" xmlns:p="http://schemas.microsoft.com/office/2006/metadata/properties" xmlns:ns2="d862a13f-a482-466e-b7f4-d27847e4e64e" xmlns:ns3="6b44be04-4f4f-4ad5-8583-fc6cfe787cfe" xmlns:ns4="http://schemas.microsoft.com/sharepoint/v4" xmlns:ns5="19e7d4f3-73fc-4856-9652-f2c720d96380" targetNamespace="http://schemas.microsoft.com/office/2006/metadata/properties" ma:root="true" ma:fieldsID="5156b204c5517e8353e27a2f8023b9d7" ns2:_="" ns3:_="" ns4:_="" ns5:_="">
    <xsd:import namespace="d862a13f-a482-466e-b7f4-d27847e4e64e"/>
    <xsd:import namespace="6b44be04-4f4f-4ad5-8583-fc6cfe787cfe"/>
    <xsd:import namespace="http://schemas.microsoft.com/sharepoint/v4"/>
    <xsd:import namespace="19e7d4f3-73fc-4856-9652-f2c720d9638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LivelinkCreator" minOccurs="0"/>
                <xsd:element ref="ns3:LivelinkDescription" minOccurs="0"/>
                <xsd:element ref="ns3:LivelinkFolderPath" minOccurs="0"/>
                <xsd:element ref="ns3:LivelinkModifier" minOccurs="0"/>
                <xsd:element ref="ns3:LivelinkObjectID" minOccurs="0"/>
                <xsd:element ref="ns3:LivelinkOriginalName" minOccurs="0"/>
                <xsd:element ref="ns3:LivelinkParentID" minOccurs="0"/>
                <xsd:element ref="ns3:LivelinkOwner" minOccurs="0"/>
                <xsd:element ref="ns4:IconOverlay" minOccurs="0"/>
                <xsd:element ref="ns5:LockedVersions" minOccurs="0"/>
                <xsd:element ref="ns5:AdvancedVersioningLimi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62a13f-a482-466e-b7f4-d27847e4e64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4be04-4f4f-4ad5-8583-fc6cfe787cfe" elementFormDefault="qualified">
    <xsd:import namespace="http://schemas.microsoft.com/office/2006/documentManagement/types"/>
    <xsd:import namespace="http://schemas.microsoft.com/office/infopath/2007/PartnerControls"/>
    <xsd:element name="LivelinkCreator" ma:index="11" nillable="true" ma:displayName="LivelinkCreator" ma:internalName="LivelinkCreator" ma:readOnly="false">
      <xsd:simpleType>
        <xsd:restriction base="dms:Text">
          <xsd:maxLength value="255"/>
        </xsd:restriction>
      </xsd:simpleType>
    </xsd:element>
    <xsd:element name="LivelinkDescription" ma:index="12" nillable="true" ma:displayName="LivelinkDescription" ma:internalName="LivelinkDescription" ma:readOnly="false">
      <xsd:simpleType>
        <xsd:restriction base="dms:Note"/>
      </xsd:simpleType>
    </xsd:element>
    <xsd:element name="LivelinkFolderPath" ma:index="13" nillable="true" ma:displayName="LivelinkFolderPath" ma:internalName="LivelinkFolderPath" ma:readOnly="false">
      <xsd:simpleType>
        <xsd:restriction base="dms:Note"/>
      </xsd:simpleType>
    </xsd:element>
    <xsd:element name="LivelinkModifier" ma:index="14" nillable="true" ma:displayName="LivelinkModifier" ma:internalName="LivelinkModifier" ma:readOnly="false">
      <xsd:simpleType>
        <xsd:restriction base="dms:Text">
          <xsd:maxLength value="255"/>
        </xsd:restriction>
      </xsd:simpleType>
    </xsd:element>
    <xsd:element name="LivelinkObjectID" ma:index="15" nillable="true" ma:displayName="LivelinkObjectID" ma:internalName="LivelinkObjectID" ma:readOnly="false">
      <xsd:simpleType>
        <xsd:restriction base="dms:Text">
          <xsd:maxLength value="255"/>
        </xsd:restriction>
      </xsd:simpleType>
    </xsd:element>
    <xsd:element name="LivelinkOriginalName" ma:index="16" nillable="true" ma:displayName="LivelinkOriginalName" ma:internalName="LivelinkOriginalName" ma:readOnly="false">
      <xsd:simpleType>
        <xsd:restriction base="dms:Text">
          <xsd:maxLength value="255"/>
        </xsd:restriction>
      </xsd:simpleType>
    </xsd:element>
    <xsd:element name="LivelinkParentID" ma:index="17" nillable="true" ma:displayName="LivelinkParentID" ma:internalName="LivelinkParentID" ma:readOnly="false">
      <xsd:simpleType>
        <xsd:restriction base="dms:Text">
          <xsd:maxLength value="255"/>
        </xsd:restriction>
      </xsd:simpleType>
    </xsd:element>
    <xsd:element name="LivelinkOwner" ma:index="18" nillable="true" ma:displayName="LivelinkOwner" ma:internalName="LivelinkOwner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e7d4f3-73fc-4856-9652-f2c720d96380" elementFormDefault="qualified">
    <xsd:import namespace="http://schemas.microsoft.com/office/2006/documentManagement/types"/>
    <xsd:import namespace="http://schemas.microsoft.com/office/infopath/2007/PartnerControls"/>
    <xsd:element name="LockedVersions" ma:index="20" nillable="true" ma:displayName="LockedVersions" ma:hidden="true" ma:internalName="LockedVersions" ma:readOnly="false">
      <xsd:simpleType>
        <xsd:restriction base="dms:Text"/>
      </xsd:simpleType>
    </xsd:element>
    <xsd:element name="AdvancedVersioningLimit" ma:index="21" nillable="true" ma:displayName="AdvancedVersioningLimit" ma:hidden="true" ma:internalName="AdvancedVersioningLimit" ma:readOnly="fals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velinkObjectID xmlns="6b44be04-4f4f-4ad5-8583-fc6cfe787cfe" xsi:nil="true"/>
    <LivelinkOriginalName xmlns="6b44be04-4f4f-4ad5-8583-fc6cfe787cfe" xsi:nil="true"/>
    <LivelinkParentID xmlns="6b44be04-4f4f-4ad5-8583-fc6cfe787cfe" xsi:nil="true"/>
    <LivelinkOwner xmlns="6b44be04-4f4f-4ad5-8583-fc6cfe787cfe" xsi:nil="true"/>
    <LivelinkDescription xmlns="6b44be04-4f4f-4ad5-8583-fc6cfe787cfe" xsi:nil="true"/>
    <LivelinkCreator xmlns="6b44be04-4f4f-4ad5-8583-fc6cfe787cfe" xsi:nil="true"/>
    <LivelinkModifier xmlns="6b44be04-4f4f-4ad5-8583-fc6cfe787cfe" xsi:nil="true"/>
    <LivelinkFolderPath xmlns="6b44be04-4f4f-4ad5-8583-fc6cfe787cfe" xsi:nil="true"/>
    <AdvancedVersioningLimit xmlns="19e7d4f3-73fc-4856-9652-f2c720d96380" xsi:nil="true"/>
    <LockedVersions xmlns="19e7d4f3-73fc-4856-9652-f2c720d96380" xsi:nil="true"/>
    <IconOverlay xmlns="http://schemas.microsoft.com/sharepoint/v4" xsi:nil="true"/>
    <_dlc_DocId xmlns="d862a13f-a482-466e-b7f4-d27847e4e64e">P7YSZEP7SPDX-2550-2683</_dlc_DocId>
    <_dlc_DocIdUrl xmlns="d862a13f-a482-466e-b7f4-d27847e4e64e">
      <Url>https://sp2013.myatos.net/sites/siFR/competence/indus/_layouts/DocIdRedir.aspx?ID=P7YSZEP7SPDX-2550-2683</Url>
      <Description>P7YSZEP7SPDX-2550-2683</Description>
    </_dlc_DocIdUrl>
    <_dlc_DocIdPersistId xmlns="d862a13f-a482-466e-b7f4-d27847e4e64e" xsi:nil="true"/>
  </documentManagement>
</p:properties>
</file>

<file path=customXml/itemProps1.xml><?xml version="1.0" encoding="utf-8"?>
<ds:datastoreItem xmlns:ds="http://schemas.openxmlformats.org/officeDocument/2006/customXml" ds:itemID="{AA61C2FE-9524-4399-B2E7-A12E53FA3E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62a13f-a482-466e-b7f4-d27847e4e64e"/>
    <ds:schemaRef ds:uri="6b44be04-4f4f-4ad5-8583-fc6cfe787cfe"/>
    <ds:schemaRef ds:uri="http://schemas.microsoft.com/sharepoint/v4"/>
    <ds:schemaRef ds:uri="19e7d4f3-73fc-4856-9652-f2c720d96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B64FEF0-FF6B-42E2-9321-CA9CE0CDE6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1AE209D-E1F2-4E6E-B03A-936DF1C13DCB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11956216-2CF7-4F61-8CDC-F3B9CB7C8600}">
  <ds:schemaRefs>
    <ds:schemaRef ds:uri="http://schemas.microsoft.com/office/2006/documentManagement/types"/>
    <ds:schemaRef ds:uri="19e7d4f3-73fc-4856-9652-f2c720d96380"/>
    <ds:schemaRef ds:uri="http://purl.org/dc/elements/1.1/"/>
    <ds:schemaRef ds:uri="http://schemas.microsoft.com/office/2006/metadata/properties"/>
    <ds:schemaRef ds:uri="http://purl.org/dc/terms/"/>
    <ds:schemaRef ds:uri="6b44be04-4f4f-4ad5-8583-fc6cfe787cfe"/>
    <ds:schemaRef ds:uri="http://purl.org/dc/dcmitype/"/>
    <ds:schemaRef ds:uri="d862a13f-a482-466e-b7f4-d27847e4e64e"/>
    <ds:schemaRef ds:uri="http://schemas.microsoft.com/sharepoint/v4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39</vt:i4>
      </vt:variant>
    </vt:vector>
  </HeadingPairs>
  <TitlesOfParts>
    <vt:vector size="42" baseType="lpstr">
      <vt:lpstr>StoryMapping</vt:lpstr>
      <vt:lpstr>ReleaseProgress</vt:lpstr>
      <vt:lpstr>Setting</vt:lpstr>
      <vt:lpstr>Applied</vt:lpstr>
      <vt:lpstr>Canceled</vt:lpstr>
      <vt:lpstr>CaptionsBarForFilter</vt:lpstr>
      <vt:lpstr>Closed</vt:lpstr>
      <vt:lpstr>DATA_LEFT</vt:lpstr>
      <vt:lpstr>DATA_MATRIX</vt:lpstr>
      <vt:lpstr>DATA_MATRIX_WITH_REF</vt:lpstr>
      <vt:lpstr>DATA_RIGHT</vt:lpstr>
      <vt:lpstr>DataSheetName</vt:lpstr>
      <vt:lpstr>In_progress</vt:lpstr>
      <vt:lpstr>LB_PRJ_NAMES</vt:lpstr>
      <vt:lpstr>LB_PROJECTS</vt:lpstr>
      <vt:lpstr>N_A</vt:lpstr>
      <vt:lpstr>Not_started</vt:lpstr>
      <vt:lpstr>PARAM_FIBONACCI</vt:lpstr>
      <vt:lpstr>PointsColumn</vt:lpstr>
      <vt:lpstr>PointsMinMax</vt:lpstr>
      <vt:lpstr>PRIORITY_VAL</vt:lpstr>
      <vt:lpstr>RefColumns</vt:lpstr>
      <vt:lpstr>RefColumnsWithCaption</vt:lpstr>
      <vt:lpstr>RowBegin</vt:lpstr>
      <vt:lpstr>RowEnd</vt:lpstr>
      <vt:lpstr>stat</vt:lpstr>
      <vt:lpstr>Suspended</vt:lpstr>
      <vt:lpstr>TASK_TYPES</vt:lpstr>
      <vt:lpstr>transfertDataCaption</vt:lpstr>
      <vt:lpstr>transfertDataRaw</vt:lpstr>
      <vt:lpstr>transfertDataTitleCurrentSprint</vt:lpstr>
      <vt:lpstr>transfertDataTitleProgress</vt:lpstr>
      <vt:lpstr>transfertDataTitles</vt:lpstr>
      <vt:lpstr>transfertSettingDataRowBegin</vt:lpstr>
      <vt:lpstr>transfertSettingDataRowEnd</vt:lpstr>
      <vt:lpstr>transfertSettingDataSheetName</vt:lpstr>
      <vt:lpstr>transfertSettingFeatures</vt:lpstr>
      <vt:lpstr>transfertSettingFibonacci</vt:lpstr>
      <vt:lpstr>transfertSettingPriority</vt:lpstr>
      <vt:lpstr>transfertSettingSprint</vt:lpstr>
      <vt:lpstr>transfertSettingStatus</vt:lpstr>
      <vt:lpstr>TYPE_ALL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AFIF</dc:creator>
  <cp:lastModifiedBy>Hassan AFIF</cp:lastModifiedBy>
  <dcterms:created xsi:type="dcterms:W3CDTF">2014-12-15T14:51:41Z</dcterms:created>
  <dcterms:modified xsi:type="dcterms:W3CDTF">2017-04-11T14:21:25Z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1.0.0</vt:lpwstr>
  </property>
  <property fmtid="{D5CDD505-2E9C-101B-9397-08002B2CF9AE}" pid="3" name="Email">
    <vt:lpwstr>h3afif@gmail.com</vt:lpwstr>
  </property>
  <property fmtid="{D5CDD505-2E9C-101B-9397-08002B2CF9AE}" pid="4" name="Licence">
    <vt:lpwstr>GNU</vt:lpwstr>
  </property>
</Properties>
</file>